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CY48" i="2" l="1"/>
  <c r="CY20" i="2"/>
  <c r="GQ13" i="2" l="1"/>
  <c r="G37" i="1" l="1"/>
  <c r="E37" i="1"/>
  <c r="D37" i="1"/>
  <c r="C37" i="1"/>
  <c r="B37" i="1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Q27" i="2"/>
  <c r="GS27" i="2" s="1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Q20" i="2"/>
  <c r="GS20" i="2" s="1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S13" i="2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39" i="1" l="1"/>
  <c r="S49" i="8"/>
  <c r="HH50" i="2"/>
  <c r="HG50" i="2"/>
  <c r="HH51" i="2"/>
  <c r="HG51" i="2"/>
  <c r="S50" i="8"/>
  <c r="S51" i="8"/>
  <c r="HH52" i="2"/>
  <c r="HG52" i="2"/>
  <c r="GV47" i="2"/>
  <c r="GU47" i="2"/>
  <c r="R46" i="8"/>
  <c r="GV49" i="2"/>
  <c r="GU49" i="2"/>
  <c r="R48" i="8"/>
  <c r="R47" i="8"/>
  <c r="GV48" i="2"/>
  <c r="GU48" i="2"/>
  <c r="R49" i="8"/>
  <c r="GV50" i="2"/>
  <c r="GU50" i="2"/>
  <c r="GV51" i="2"/>
  <c r="GU51" i="2"/>
  <c r="R50" i="8"/>
  <c r="R51" i="8"/>
  <c r="GV52" i="2"/>
  <c r="GU52" i="2"/>
  <c r="GU11" i="2"/>
  <c r="GV11" i="2"/>
  <c r="R10" i="8"/>
  <c r="GT11" i="2"/>
  <c r="GV13" i="2"/>
  <c r="R12" i="8"/>
  <c r="GU13" i="2"/>
  <c r="GT13" i="2"/>
  <c r="GU15" i="2"/>
  <c r="GV15" i="2"/>
  <c r="R14" i="8"/>
  <c r="GT15" i="2"/>
  <c r="GV17" i="2"/>
  <c r="R16" i="8"/>
  <c r="GU17" i="2"/>
  <c r="GT17" i="2"/>
  <c r="GU19" i="2"/>
  <c r="GV19" i="2"/>
  <c r="R18" i="8"/>
  <c r="GT19" i="2"/>
  <c r="GV21" i="2"/>
  <c r="R20" i="8"/>
  <c r="GU21" i="2"/>
  <c r="GT21" i="2"/>
  <c r="GU23" i="2"/>
  <c r="GV23" i="2"/>
  <c r="R22" i="8"/>
  <c r="GT23" i="2"/>
  <c r="GV25" i="2"/>
  <c r="R24" i="8"/>
  <c r="GU25" i="2"/>
  <c r="GT25" i="2"/>
  <c r="GU27" i="2"/>
  <c r="GV27" i="2"/>
  <c r="R26" i="8"/>
  <c r="GT27" i="2"/>
  <c r="GV29" i="2"/>
  <c r="R28" i="8"/>
  <c r="GU29" i="2"/>
  <c r="GT29" i="2"/>
  <c r="GU31" i="2"/>
  <c r="GV31" i="2"/>
  <c r="R30" i="8"/>
  <c r="GT31" i="2"/>
  <c r="GV33" i="2"/>
  <c r="R32" i="8"/>
  <c r="GU33" i="2"/>
  <c r="GT33" i="2"/>
  <c r="GU35" i="2"/>
  <c r="GV35" i="2"/>
  <c r="R34" i="8"/>
  <c r="GT35" i="2"/>
  <c r="GV37" i="2"/>
  <c r="R36" i="8"/>
  <c r="GU37" i="2"/>
  <c r="GT37" i="2"/>
  <c r="GU39" i="2"/>
  <c r="GV39" i="2"/>
  <c r="R38" i="8"/>
  <c r="GT39" i="2"/>
  <c r="GV41" i="2"/>
  <c r="R40" i="8"/>
  <c r="GU41" i="2"/>
  <c r="GT41" i="2"/>
  <c r="GU43" i="2"/>
  <c r="GV43" i="2"/>
  <c r="R42" i="8"/>
  <c r="GT43" i="2"/>
  <c r="GV45" i="2"/>
  <c r="R44" i="8"/>
  <c r="GU45" i="2"/>
  <c r="GV46" i="2"/>
  <c r="R45" i="8"/>
  <c r="GU46" i="2"/>
  <c r="GU7" i="2"/>
  <c r="GV7" i="2"/>
  <c r="R6" i="8"/>
  <c r="R11" i="8"/>
  <c r="GU12" i="2"/>
  <c r="GV12" i="2"/>
  <c r="R15" i="8"/>
  <c r="GU16" i="2"/>
  <c r="GV16" i="2"/>
  <c r="R23" i="8"/>
  <c r="GU24" i="2"/>
  <c r="GV24" i="2"/>
  <c r="R7" i="8"/>
  <c r="GU8" i="2"/>
  <c r="GV8" i="2"/>
  <c r="GV10" i="2"/>
  <c r="R9" i="8"/>
  <c r="GU10" i="2"/>
  <c r="GV18" i="2"/>
  <c r="R17" i="8"/>
  <c r="GU18" i="2"/>
  <c r="GV26" i="2"/>
  <c r="R25" i="8"/>
  <c r="GU26" i="2"/>
  <c r="GV30" i="2"/>
  <c r="R29" i="8"/>
  <c r="GU30" i="2"/>
  <c r="GV34" i="2"/>
  <c r="R33" i="8"/>
  <c r="GU34" i="2"/>
  <c r="GV38" i="2"/>
  <c r="R37" i="8"/>
  <c r="GU38" i="2"/>
  <c r="GV42" i="2"/>
  <c r="R41" i="8"/>
  <c r="GU42" i="2"/>
  <c r="F39" i="1"/>
  <c r="GV14" i="2"/>
  <c r="R13" i="8"/>
  <c r="GU14" i="2"/>
  <c r="GV22" i="2"/>
  <c r="R21" i="8"/>
  <c r="GU22" i="2"/>
  <c r="GT9" i="2"/>
  <c r="GV9" i="2"/>
  <c r="R8" i="8"/>
  <c r="GU9" i="2"/>
  <c r="R19" i="8"/>
  <c r="GU20" i="2"/>
  <c r="GV20" i="2"/>
  <c r="R27" i="8"/>
  <c r="GU28" i="2"/>
  <c r="GV28" i="2"/>
  <c r="R31" i="8"/>
  <c r="GU32" i="2"/>
  <c r="GV32" i="2"/>
  <c r="R35" i="8"/>
  <c r="GU36" i="2"/>
  <c r="GV36" i="2"/>
  <c r="R39" i="8"/>
  <c r="GU40" i="2"/>
  <c r="GV40" i="2"/>
  <c r="R43" i="8"/>
  <c r="GU44" i="2"/>
  <c r="GV44" i="2"/>
  <c r="HH49" i="2"/>
  <c r="S48" i="8"/>
  <c r="HG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GT24" i="2"/>
  <c r="GT44" i="2"/>
  <c r="GT26" i="2"/>
  <c r="GT42" i="2"/>
  <c r="GT5" i="2"/>
  <c r="HF36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12" i="2" l="1"/>
  <c r="HF21" i="2"/>
  <c r="HF49" i="2"/>
  <c r="HF6" i="2"/>
  <c r="HF41" i="2"/>
  <c r="HF8" i="2"/>
  <c r="HF22" i="2"/>
  <c r="HF48" i="2"/>
  <c r="K39" i="1"/>
  <c r="J39" i="1"/>
  <c r="I39" i="1"/>
  <c r="HF42" i="2"/>
  <c r="HF17" i="2"/>
  <c r="HF7" i="2"/>
  <c r="HF5" i="2"/>
  <c r="HF44" i="2"/>
  <c r="HF18" i="2"/>
  <c r="HF14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AE4" i="2"/>
  <c r="I40" i="1" l="1"/>
  <c r="G36" i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I4" i="2"/>
  <c r="EK4" i="2" s="1"/>
  <c r="EI5" i="2"/>
  <c r="EI6" i="2"/>
  <c r="EK6" i="2" s="1"/>
  <c r="EI7" i="2"/>
  <c r="EI8" i="2"/>
  <c r="EK8" i="2" s="1"/>
  <c r="EI9" i="2"/>
  <c r="EI10" i="2"/>
  <c r="EK10" i="2" s="1"/>
  <c r="EI11" i="2"/>
  <c r="EI12" i="2"/>
  <c r="EI13" i="2"/>
  <c r="EI14" i="2"/>
  <c r="EK14" i="2" s="1"/>
  <c r="EI15" i="2"/>
  <c r="EI16" i="2"/>
  <c r="EK16" i="2" s="1"/>
  <c r="EI17" i="2"/>
  <c r="EI18" i="2"/>
  <c r="EK18" i="2" s="1"/>
  <c r="EI19" i="2"/>
  <c r="EI20" i="2"/>
  <c r="EK20" i="2" s="1"/>
  <c r="EI21" i="2"/>
  <c r="EI22" i="2"/>
  <c r="EK22" i="2" s="1"/>
  <c r="EI23" i="2"/>
  <c r="EI24" i="2"/>
  <c r="EK24" i="2" s="1"/>
  <c r="EI25" i="2"/>
  <c r="EI26" i="2"/>
  <c r="EK26" i="2" s="1"/>
  <c r="EI27" i="2"/>
  <c r="EI28" i="2"/>
  <c r="EI29" i="2"/>
  <c r="EI30" i="2"/>
  <c r="EK30" i="2" s="1"/>
  <c r="EI31" i="2"/>
  <c r="EK31" i="2" s="1"/>
  <c r="EI32" i="2"/>
  <c r="EK32" i="2" s="1"/>
  <c r="EI33" i="2"/>
  <c r="EI34" i="2"/>
  <c r="EK34" i="2" s="1"/>
  <c r="EI35" i="2"/>
  <c r="EI36" i="2"/>
  <c r="EK36" i="2" s="1"/>
  <c r="EI37" i="2"/>
  <c r="EK37" i="2" s="1"/>
  <c r="EI38" i="2"/>
  <c r="EK38" i="2" s="1"/>
  <c r="EI39" i="2"/>
  <c r="EI40" i="2"/>
  <c r="EK40" i="2" s="1"/>
  <c r="EI41" i="2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K48" i="2" s="1"/>
  <c r="EI49" i="2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DW48" i="2"/>
  <c r="DY48" i="2" s="1"/>
  <c r="DK48" i="2"/>
  <c r="DM48" i="2" s="1"/>
  <c r="DA48" i="2"/>
  <c r="CM48" i="2"/>
  <c r="CO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EK41" i="2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EK39" i="2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EK35" i="2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S35" i="2"/>
  <c r="U35" i="2" s="1"/>
  <c r="GE34" i="2"/>
  <c r="GG34" i="2" s="1"/>
  <c r="FS34" i="2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EK33" i="2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EK29" i="2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G28" i="2"/>
  <c r="FI28" i="2" s="1"/>
  <c r="EU28" i="2"/>
  <c r="EW28" i="2" s="1"/>
  <c r="EK28" i="2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U27" i="2"/>
  <c r="EW27" i="2" s="1"/>
  <c r="EK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EK25" i="2"/>
  <c r="DW25" i="2"/>
  <c r="DY25" i="2" s="1"/>
  <c r="DK25" i="2"/>
  <c r="DM25" i="2" s="1"/>
  <c r="CY25" i="2"/>
  <c r="DA25" i="2" s="1"/>
  <c r="CO25" i="2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EK23" i="2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EK21" i="2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DW20" i="2"/>
  <c r="DY20" i="2" s="1"/>
  <c r="DK20" i="2"/>
  <c r="DM20" i="2" s="1"/>
  <c r="DA20" i="2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EK19" i="2"/>
  <c r="DW19" i="2"/>
  <c r="DY19" i="2" s="1"/>
  <c r="DK19" i="2"/>
  <c r="DM19" i="2" s="1"/>
  <c r="CY19" i="2"/>
  <c r="DA19" i="2" s="1"/>
  <c r="CO19" i="2"/>
  <c r="CA19" i="2"/>
  <c r="CC19" i="2" s="1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EK17" i="2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EK15" i="2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U14" i="2" s="1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EK13" i="2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EU11" i="2"/>
  <c r="EW11" i="2" s="1"/>
  <c r="EK11" i="2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EK9" i="2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EK5" i="2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DW4" i="2"/>
  <c r="DY4" i="2" s="1"/>
  <c r="DK4" i="2"/>
  <c r="DM4" i="2" s="1"/>
  <c r="CY4" i="2"/>
  <c r="DA4" i="2" s="1"/>
  <c r="CM4" i="2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EK3" i="2"/>
  <c r="DW3" i="2"/>
  <c r="DY3" i="2" s="1"/>
  <c r="DK3" i="2"/>
  <c r="CY3" i="2"/>
  <c r="CM3" i="2"/>
  <c r="CA3" i="2"/>
  <c r="BO3" i="2"/>
  <c r="BC3" i="2"/>
  <c r="AQ3" i="2"/>
  <c r="AE3" i="2"/>
  <c r="S3" i="2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G3" i="7"/>
  <c r="I3" i="7" s="1"/>
  <c r="Q51" i="8" l="1"/>
  <c r="GJ52" i="2"/>
  <c r="GI52" i="2"/>
  <c r="FU34" i="2"/>
  <c r="H37" i="1" s="1"/>
  <c r="F37" i="1"/>
  <c r="FX47" i="2"/>
  <c r="FW47" i="2"/>
  <c r="P46" i="8"/>
  <c r="P47" i="8"/>
  <c r="FX48" i="2"/>
  <c r="FW48" i="2"/>
  <c r="P49" i="8"/>
  <c r="FX50" i="2"/>
  <c r="FW50" i="2"/>
  <c r="FX49" i="2"/>
  <c r="FW49" i="2"/>
  <c r="P48" i="8"/>
  <c r="FX51" i="2"/>
  <c r="FW51" i="2"/>
  <c r="P50" i="8"/>
  <c r="P51" i="8"/>
  <c r="FX52" i="2"/>
  <c r="FW52" i="2"/>
  <c r="N51" i="8"/>
  <c r="EZ52" i="2"/>
  <c r="EY52" i="2"/>
  <c r="N47" i="8"/>
  <c r="EZ48" i="2"/>
  <c r="EY48" i="2"/>
  <c r="N49" i="8"/>
  <c r="EZ50" i="2"/>
  <c r="EY50" i="2"/>
  <c r="EY49" i="2"/>
  <c r="N48" i="8"/>
  <c r="EZ49" i="2"/>
  <c r="EY51" i="2"/>
  <c r="N50" i="8"/>
  <c r="EZ51" i="2"/>
  <c r="EA47" i="2"/>
  <c r="L46" i="8"/>
  <c r="EB47" i="2"/>
  <c r="L47" i="8"/>
  <c r="EB48" i="2"/>
  <c r="EA48" i="2"/>
  <c r="EA51" i="2"/>
  <c r="L50" i="8"/>
  <c r="EB51" i="2"/>
  <c r="L51" i="8"/>
  <c r="EB52" i="2"/>
  <c r="EA52" i="2"/>
  <c r="EA49" i="2"/>
  <c r="L48" i="8"/>
  <c r="EB49" i="2"/>
  <c r="L49" i="8"/>
  <c r="EB50" i="2"/>
  <c r="EA50" i="2"/>
  <c r="DC51" i="2"/>
  <c r="J50" i="8"/>
  <c r="DD51" i="2"/>
  <c r="J51" i="8"/>
  <c r="DD52" i="2"/>
  <c r="DC52" i="2"/>
  <c r="I50" i="8"/>
  <c r="CR51" i="2"/>
  <c r="CQ51" i="2"/>
  <c r="CR52" i="2"/>
  <c r="CQ52" i="2"/>
  <c r="I51" i="8"/>
  <c r="CR50" i="2"/>
  <c r="CQ50" i="2"/>
  <c r="I49" i="8"/>
  <c r="H50" i="8"/>
  <c r="CF51" i="2"/>
  <c r="CE51" i="2"/>
  <c r="CF52" i="2"/>
  <c r="CE52" i="2"/>
  <c r="H51" i="8"/>
  <c r="H48" i="8"/>
  <c r="CF49" i="2"/>
  <c r="CE49" i="2"/>
  <c r="CF50" i="2"/>
  <c r="CE50" i="2"/>
  <c r="H49" i="8"/>
  <c r="G48" i="8"/>
  <c r="BT49" i="2"/>
  <c r="BS49" i="2"/>
  <c r="BT50" i="2"/>
  <c r="BS50" i="2"/>
  <c r="G49" i="8"/>
  <c r="G50" i="8"/>
  <c r="BT51" i="2"/>
  <c r="BS51" i="2"/>
  <c r="BT52" i="2"/>
  <c r="BS52" i="2"/>
  <c r="G51" i="8"/>
  <c r="F46" i="8"/>
  <c r="BH47" i="2"/>
  <c r="BG47" i="2"/>
  <c r="BH48" i="2"/>
  <c r="BG48" i="2"/>
  <c r="F47" i="8"/>
  <c r="F50" i="8"/>
  <c r="BH51" i="2"/>
  <c r="BG51" i="2"/>
  <c r="BH52" i="2"/>
  <c r="BG52" i="2"/>
  <c r="F51" i="8"/>
  <c r="F48" i="8"/>
  <c r="BH49" i="2"/>
  <c r="BG49" i="2"/>
  <c r="BH50" i="2"/>
  <c r="BG50" i="2"/>
  <c r="F49" i="8"/>
  <c r="E45" i="8"/>
  <c r="AV46" i="2"/>
  <c r="AU46" i="2"/>
  <c r="AU47" i="2"/>
  <c r="E46" i="8"/>
  <c r="AV47" i="2"/>
  <c r="E47" i="8"/>
  <c r="AV48" i="2"/>
  <c r="AU48" i="2"/>
  <c r="AU51" i="2"/>
  <c r="E50" i="8"/>
  <c r="AV51" i="2"/>
  <c r="E51" i="8"/>
  <c r="AV52" i="2"/>
  <c r="AU52" i="2"/>
  <c r="AU49" i="2"/>
  <c r="E48" i="8"/>
  <c r="AV49" i="2"/>
  <c r="E49" i="8"/>
  <c r="AV50" i="2"/>
  <c r="AU50" i="2"/>
  <c r="AI51" i="2"/>
  <c r="D50" i="8"/>
  <c r="AJ51" i="2"/>
  <c r="D51" i="8"/>
  <c r="AJ52" i="2"/>
  <c r="AI52" i="2"/>
  <c r="AI49" i="2"/>
  <c r="D48" i="8"/>
  <c r="AJ49" i="2"/>
  <c r="D49" i="8"/>
  <c r="AJ50" i="2"/>
  <c r="AI50" i="2"/>
  <c r="W51" i="2"/>
  <c r="C50" i="8"/>
  <c r="X51" i="2"/>
  <c r="C51" i="8"/>
  <c r="X52" i="2"/>
  <c r="W52" i="2"/>
  <c r="B51" i="8"/>
  <c r="L52" i="2"/>
  <c r="K52" i="2"/>
  <c r="L51" i="2"/>
  <c r="K51" i="2"/>
  <c r="B50" i="8"/>
  <c r="F23" i="1"/>
  <c r="B48" i="8"/>
  <c r="L49" i="2"/>
  <c r="K49" i="2"/>
  <c r="EZ9" i="2"/>
  <c r="EY9" i="2"/>
  <c r="N8" i="8"/>
  <c r="EY12" i="2"/>
  <c r="N11" i="8"/>
  <c r="EZ12" i="2"/>
  <c r="N14" i="8"/>
  <c r="EZ15" i="2"/>
  <c r="EY15" i="2"/>
  <c r="EZ18" i="2"/>
  <c r="EY18" i="2"/>
  <c r="N17" i="8"/>
  <c r="EZ25" i="2"/>
  <c r="EY25" i="2"/>
  <c r="N24" i="8"/>
  <c r="EY28" i="2"/>
  <c r="N27" i="8"/>
  <c r="EZ28" i="2"/>
  <c r="N30" i="8"/>
  <c r="EZ31" i="2"/>
  <c r="EY31" i="2"/>
  <c r="EZ34" i="2"/>
  <c r="EY34" i="2"/>
  <c r="N33" i="8"/>
  <c r="EY8" i="2"/>
  <c r="N7" i="8"/>
  <c r="EZ8" i="2"/>
  <c r="N10" i="8"/>
  <c r="EZ11" i="2"/>
  <c r="EY11" i="2"/>
  <c r="EZ14" i="2"/>
  <c r="EY14" i="2"/>
  <c r="N13" i="8"/>
  <c r="EZ21" i="2"/>
  <c r="EY21" i="2"/>
  <c r="N20" i="8"/>
  <c r="EY24" i="2"/>
  <c r="N23" i="8"/>
  <c r="EZ24" i="2"/>
  <c r="N26" i="8"/>
  <c r="EZ27" i="2"/>
  <c r="EY27" i="2"/>
  <c r="EZ30" i="2"/>
  <c r="EY30" i="2"/>
  <c r="N29" i="8"/>
  <c r="EZ37" i="2"/>
  <c r="EY37" i="2"/>
  <c r="N36" i="8"/>
  <c r="N6" i="8"/>
  <c r="EZ7" i="2"/>
  <c r="EY7" i="2"/>
  <c r="EZ10" i="2"/>
  <c r="EY10" i="2"/>
  <c r="N9" i="8"/>
  <c r="EZ17" i="2"/>
  <c r="EY17" i="2"/>
  <c r="N16" i="8"/>
  <c r="EY20" i="2"/>
  <c r="N19" i="8"/>
  <c r="EZ20" i="2"/>
  <c r="N22" i="8"/>
  <c r="EZ23" i="2"/>
  <c r="EY23" i="2"/>
  <c r="EZ26" i="2"/>
  <c r="EY26" i="2"/>
  <c r="N25" i="8"/>
  <c r="EZ33" i="2"/>
  <c r="EY33" i="2"/>
  <c r="N32" i="8"/>
  <c r="EY36" i="2"/>
  <c r="N35" i="8"/>
  <c r="EZ36" i="2"/>
  <c r="EZ13" i="2"/>
  <c r="EY13" i="2"/>
  <c r="N12" i="8"/>
  <c r="EY16" i="2"/>
  <c r="N15" i="8"/>
  <c r="EZ16" i="2"/>
  <c r="N18" i="8"/>
  <c r="EZ19" i="2"/>
  <c r="EY19" i="2"/>
  <c r="EZ22" i="2"/>
  <c r="EY22" i="2"/>
  <c r="N21" i="8"/>
  <c r="EZ29" i="2"/>
  <c r="EY29" i="2"/>
  <c r="N28" i="8"/>
  <c r="EY32" i="2"/>
  <c r="N31" i="8"/>
  <c r="EZ32" i="2"/>
  <c r="N34" i="8"/>
  <c r="EZ35" i="2"/>
  <c r="EY35" i="2"/>
  <c r="P5" i="8"/>
  <c r="FX6" i="2"/>
  <c r="FW6" i="2"/>
  <c r="P7" i="8"/>
  <c r="FX8" i="2"/>
  <c r="FW8" i="2"/>
  <c r="FX11" i="2"/>
  <c r="FW11" i="2"/>
  <c r="P10" i="8"/>
  <c r="FX13" i="2"/>
  <c r="FW13" i="2"/>
  <c r="P12" i="8"/>
  <c r="P13" i="8"/>
  <c r="FX14" i="2"/>
  <c r="FW14" i="2"/>
  <c r="P15" i="8"/>
  <c r="FX16" i="2"/>
  <c r="FW16" i="2"/>
  <c r="FX19" i="2"/>
  <c r="FW19" i="2"/>
  <c r="P18" i="8"/>
  <c r="FX21" i="2"/>
  <c r="FW21" i="2"/>
  <c r="P20" i="8"/>
  <c r="P21" i="8"/>
  <c r="FX22" i="2"/>
  <c r="FW22" i="2"/>
  <c r="P23" i="8"/>
  <c r="FX24" i="2"/>
  <c r="FW24" i="2"/>
  <c r="FX27" i="2"/>
  <c r="FW27" i="2"/>
  <c r="P26" i="8"/>
  <c r="FX29" i="2"/>
  <c r="FW29" i="2"/>
  <c r="P28" i="8"/>
  <c r="P29" i="8"/>
  <c r="FX30" i="2"/>
  <c r="FW30" i="2"/>
  <c r="P31" i="8"/>
  <c r="FX32" i="2"/>
  <c r="FW32" i="2"/>
  <c r="FX35" i="2"/>
  <c r="FW35" i="2"/>
  <c r="P34" i="8"/>
  <c r="FX37" i="2"/>
  <c r="FW37" i="2"/>
  <c r="P36" i="8"/>
  <c r="P37" i="8"/>
  <c r="FX38" i="2"/>
  <c r="FW38" i="2"/>
  <c r="FX41" i="2"/>
  <c r="FW41" i="2"/>
  <c r="P40" i="8"/>
  <c r="P41" i="8"/>
  <c r="FX42" i="2"/>
  <c r="FW42" i="2"/>
  <c r="FX43" i="2"/>
  <c r="FW43" i="2"/>
  <c r="P42" i="8"/>
  <c r="P43" i="8"/>
  <c r="FX44" i="2"/>
  <c r="FW44" i="2"/>
  <c r="FX7" i="2"/>
  <c r="FW7" i="2"/>
  <c r="P6" i="8"/>
  <c r="FX9" i="2"/>
  <c r="FW9" i="2"/>
  <c r="P8" i="8"/>
  <c r="P9" i="8"/>
  <c r="FX10" i="2"/>
  <c r="FW10" i="2"/>
  <c r="P11" i="8"/>
  <c r="FX12" i="2"/>
  <c r="FW12" i="2"/>
  <c r="FX15" i="2"/>
  <c r="FW15" i="2"/>
  <c r="P14" i="8"/>
  <c r="FX17" i="2"/>
  <c r="FW17" i="2"/>
  <c r="P16" i="8"/>
  <c r="P17" i="8"/>
  <c r="FX18" i="2"/>
  <c r="FW18" i="2"/>
  <c r="P19" i="8"/>
  <c r="FX20" i="2"/>
  <c r="FW20" i="2"/>
  <c r="FX23" i="2"/>
  <c r="FW23" i="2"/>
  <c r="P22" i="8"/>
  <c r="FX25" i="2"/>
  <c r="FW25" i="2"/>
  <c r="P24" i="8"/>
  <c r="P25" i="8"/>
  <c r="FX26" i="2"/>
  <c r="FW26" i="2"/>
  <c r="P27" i="8"/>
  <c r="FX28" i="2"/>
  <c r="FW28" i="2"/>
  <c r="FX31" i="2"/>
  <c r="FW31" i="2"/>
  <c r="P30" i="8"/>
  <c r="FX33" i="2"/>
  <c r="FW33" i="2"/>
  <c r="P32" i="8"/>
  <c r="P35" i="8"/>
  <c r="FX36" i="2"/>
  <c r="FW36" i="2"/>
  <c r="FX39" i="2"/>
  <c r="FW39" i="2"/>
  <c r="P38" i="8"/>
  <c r="P39" i="8"/>
  <c r="FX40" i="2"/>
  <c r="FW40" i="2"/>
  <c r="FX45" i="2"/>
  <c r="FW45" i="2"/>
  <c r="P44" i="8"/>
  <c r="P45" i="8"/>
  <c r="FX46" i="2"/>
  <c r="FW46" i="2"/>
  <c r="EA8" i="2"/>
  <c r="EB8" i="2"/>
  <c r="L7" i="8"/>
  <c r="EA10" i="2"/>
  <c r="EB10" i="2"/>
  <c r="L9" i="8"/>
  <c r="L10" i="8"/>
  <c r="EB11" i="2"/>
  <c r="EA11" i="2"/>
  <c r="L12" i="8"/>
  <c r="EB13" i="2"/>
  <c r="EA13" i="2"/>
  <c r="EA16" i="2"/>
  <c r="EB16" i="2"/>
  <c r="L15" i="8"/>
  <c r="EA18" i="2"/>
  <c r="EB18" i="2"/>
  <c r="L17" i="8"/>
  <c r="L18" i="8"/>
  <c r="EB19" i="2"/>
  <c r="EA19" i="2"/>
  <c r="L20" i="8"/>
  <c r="EB21" i="2"/>
  <c r="EA21" i="2"/>
  <c r="EA24" i="2"/>
  <c r="EB24" i="2"/>
  <c r="L23" i="8"/>
  <c r="EA26" i="2"/>
  <c r="EB26" i="2"/>
  <c r="L25" i="8"/>
  <c r="L26" i="8"/>
  <c r="EB27" i="2"/>
  <c r="EA27" i="2"/>
  <c r="L28" i="8"/>
  <c r="EB29" i="2"/>
  <c r="EA29" i="2"/>
  <c r="EA32" i="2"/>
  <c r="EB32" i="2"/>
  <c r="L31" i="8"/>
  <c r="EA34" i="2"/>
  <c r="EB34" i="2"/>
  <c r="L33" i="8"/>
  <c r="L34" i="8"/>
  <c r="EB35" i="2"/>
  <c r="EA35" i="2"/>
  <c r="L36" i="8"/>
  <c r="EB37" i="2"/>
  <c r="EA37" i="2"/>
  <c r="EA40" i="2"/>
  <c r="EB40" i="2"/>
  <c r="L39" i="8"/>
  <c r="L40" i="8"/>
  <c r="EB41" i="2"/>
  <c r="EA41" i="2"/>
  <c r="EA46" i="2"/>
  <c r="EB46" i="2"/>
  <c r="L45" i="8"/>
  <c r="L8" i="8"/>
  <c r="EB9" i="2"/>
  <c r="EA9" i="2"/>
  <c r="EA12" i="2"/>
  <c r="EB12" i="2"/>
  <c r="L11" i="8"/>
  <c r="EA14" i="2"/>
  <c r="EB14" i="2"/>
  <c r="L13" i="8"/>
  <c r="L14" i="8"/>
  <c r="EB15" i="2"/>
  <c r="EA15" i="2"/>
  <c r="L16" i="8"/>
  <c r="EB17" i="2"/>
  <c r="EA17" i="2"/>
  <c r="EA20" i="2"/>
  <c r="EB20" i="2"/>
  <c r="L19" i="8"/>
  <c r="EA22" i="2"/>
  <c r="EB22" i="2"/>
  <c r="L21" i="8"/>
  <c r="L22" i="8"/>
  <c r="EB23" i="2"/>
  <c r="EA23" i="2"/>
  <c r="L24" i="8"/>
  <c r="EB25" i="2"/>
  <c r="EA25" i="2"/>
  <c r="EA28" i="2"/>
  <c r="EB28" i="2"/>
  <c r="L27" i="8"/>
  <c r="EA30" i="2"/>
  <c r="EB30" i="2"/>
  <c r="L29" i="8"/>
  <c r="L30" i="8"/>
  <c r="EB31" i="2"/>
  <c r="EA31" i="2"/>
  <c r="L32" i="8"/>
  <c r="EB33" i="2"/>
  <c r="EA33" i="2"/>
  <c r="EA36" i="2"/>
  <c r="EB36" i="2"/>
  <c r="L35" i="8"/>
  <c r="EA38" i="2"/>
  <c r="EB38" i="2"/>
  <c r="L37" i="8"/>
  <c r="L38" i="8"/>
  <c r="EB39" i="2"/>
  <c r="EA39" i="2"/>
  <c r="EA42" i="2"/>
  <c r="EB42" i="2"/>
  <c r="L41" i="8"/>
  <c r="L42" i="8"/>
  <c r="EB43" i="2"/>
  <c r="EA43" i="2"/>
  <c r="EA44" i="2"/>
  <c r="L43" i="8"/>
  <c r="EB44" i="2"/>
  <c r="L44" i="8"/>
  <c r="EB45" i="2"/>
  <c r="EA45" i="2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46" i="2"/>
  <c r="BG46" i="2"/>
  <c r="F45" i="8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AV9" i="2"/>
  <c r="AU9" i="2"/>
  <c r="E8" i="8"/>
  <c r="E11" i="8"/>
  <c r="AV12" i="2"/>
  <c r="AU12" i="2"/>
  <c r="E13" i="8"/>
  <c r="AV14" i="2"/>
  <c r="AU14" i="2"/>
  <c r="AV15" i="2"/>
  <c r="AU15" i="2"/>
  <c r="E14" i="8"/>
  <c r="AV17" i="2"/>
  <c r="AU17" i="2"/>
  <c r="E16" i="8"/>
  <c r="E19" i="8"/>
  <c r="AV20" i="2"/>
  <c r="AU20" i="2"/>
  <c r="E21" i="8"/>
  <c r="AV22" i="2"/>
  <c r="AU22" i="2"/>
  <c r="AV23" i="2"/>
  <c r="AU23" i="2"/>
  <c r="E22" i="8"/>
  <c r="AV25" i="2"/>
  <c r="AU25" i="2"/>
  <c r="E24" i="8"/>
  <c r="E27" i="8"/>
  <c r="AV28" i="2"/>
  <c r="AU28" i="2"/>
  <c r="E29" i="8"/>
  <c r="AV30" i="2"/>
  <c r="AU30" i="2"/>
  <c r="AV31" i="2"/>
  <c r="AU31" i="2"/>
  <c r="E30" i="8"/>
  <c r="AV33" i="2"/>
  <c r="AU33" i="2"/>
  <c r="E32" i="8"/>
  <c r="E35" i="8"/>
  <c r="AV36" i="2"/>
  <c r="AU36" i="2"/>
  <c r="E37" i="8"/>
  <c r="AV38" i="2"/>
  <c r="AU38" i="2"/>
  <c r="AV39" i="2"/>
  <c r="AU39" i="2"/>
  <c r="E38" i="8"/>
  <c r="E41" i="8"/>
  <c r="AV42" i="2"/>
  <c r="AU42" i="2"/>
  <c r="AV43" i="2"/>
  <c r="AU43" i="2"/>
  <c r="E42" i="8"/>
  <c r="E43" i="8"/>
  <c r="AV44" i="2"/>
  <c r="AU44" i="2"/>
  <c r="AV45" i="2"/>
  <c r="AU45" i="2"/>
  <c r="E44" i="8"/>
  <c r="E7" i="8"/>
  <c r="AV8" i="2"/>
  <c r="AU8" i="2"/>
  <c r="E9" i="8"/>
  <c r="AV10" i="2"/>
  <c r="AU10" i="2"/>
  <c r="AV11" i="2"/>
  <c r="AU11" i="2"/>
  <c r="E10" i="8"/>
  <c r="AV13" i="2"/>
  <c r="AU13" i="2"/>
  <c r="E12" i="8"/>
  <c r="E15" i="8"/>
  <c r="AV16" i="2"/>
  <c r="AU16" i="2"/>
  <c r="E17" i="8"/>
  <c r="AV18" i="2"/>
  <c r="AU18" i="2"/>
  <c r="AV19" i="2"/>
  <c r="AU19" i="2"/>
  <c r="E18" i="8"/>
  <c r="AV21" i="2"/>
  <c r="AU21" i="2"/>
  <c r="E20" i="8"/>
  <c r="E23" i="8"/>
  <c r="AV24" i="2"/>
  <c r="AU24" i="2"/>
  <c r="E25" i="8"/>
  <c r="AV26" i="2"/>
  <c r="AU26" i="2"/>
  <c r="AV27" i="2"/>
  <c r="AU27" i="2"/>
  <c r="E26" i="8"/>
  <c r="AV29" i="2"/>
  <c r="AU29" i="2"/>
  <c r="E28" i="8"/>
  <c r="E31" i="8"/>
  <c r="AV32" i="2"/>
  <c r="AU32" i="2"/>
  <c r="E33" i="8"/>
  <c r="AV34" i="2"/>
  <c r="AU34" i="2"/>
  <c r="AV35" i="2"/>
  <c r="AU35" i="2"/>
  <c r="E34" i="8"/>
  <c r="AV37" i="2"/>
  <c r="AU37" i="2"/>
  <c r="E36" i="8"/>
  <c r="E39" i="8"/>
  <c r="AV40" i="2"/>
  <c r="AU40" i="2"/>
  <c r="AV41" i="2"/>
  <c r="AU41" i="2"/>
  <c r="E40" i="8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T51" i="8" s="1"/>
  <c r="U51" i="8" s="1"/>
  <c r="V51" i="8" s="1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T50" i="8" s="1"/>
  <c r="U50" i="8" s="1"/>
  <c r="V50" i="8" s="1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T49" i="8" s="1"/>
  <c r="U49" i="8" s="1"/>
  <c r="V49" i="8" s="1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/>
  <c r="GH6" i="2"/>
  <c r="GH12" i="2"/>
  <c r="GH14" i="2"/>
  <c r="GH17" i="2"/>
  <c r="GH18" i="2"/>
  <c r="GH21" i="2"/>
  <c r="GH24" i="2"/>
  <c r="GH41" i="2"/>
  <c r="GH44" i="2"/>
  <c r="GH47" i="2"/>
  <c r="GH48" i="2"/>
  <c r="GH49" i="2"/>
  <c r="GH50" i="2"/>
  <c r="GH51" i="2"/>
  <c r="GH52" i="2"/>
  <c r="FV35" i="2"/>
  <c r="FV39" i="2"/>
  <c r="FV43" i="2"/>
  <c r="FV47" i="2"/>
  <c r="FV50" i="2"/>
  <c r="FV51" i="2"/>
  <c r="FV52" i="2"/>
  <c r="F36" i="1"/>
  <c r="FI3" i="2"/>
  <c r="FJ5" i="2" s="1"/>
  <c r="FJ43" i="2"/>
  <c r="FJ50" i="2"/>
  <c r="FJ51" i="2"/>
  <c r="FJ52" i="2"/>
  <c r="F35" i="1"/>
  <c r="EW3" i="2"/>
  <c r="EX5" i="2" s="1"/>
  <c r="EX12" i="2"/>
  <c r="EX20" i="2"/>
  <c r="EX26" i="2"/>
  <c r="EX32" i="2"/>
  <c r="EX41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7" i="2" s="1"/>
  <c r="DN50" i="2"/>
  <c r="DN51" i="2"/>
  <c r="DN52" i="2"/>
  <c r="F31" i="1"/>
  <c r="DA3" i="2"/>
  <c r="DB5" i="2" s="1"/>
  <c r="DB24" i="2"/>
  <c r="DB47" i="2"/>
  <c r="DB50" i="2"/>
  <c r="DB51" i="2"/>
  <c r="DB52" i="2"/>
  <c r="F30" i="1"/>
  <c r="CO3" i="2"/>
  <c r="CP17" i="2" s="1"/>
  <c r="CP6" i="2"/>
  <c r="CP10" i="2"/>
  <c r="CP15" i="2"/>
  <c r="CP16" i="2"/>
  <c r="CP21" i="2"/>
  <c r="CP24" i="2"/>
  <c r="CP25" i="2"/>
  <c r="CP29" i="2"/>
  <c r="CP32" i="2"/>
  <c r="CP33" i="2"/>
  <c r="CP37" i="2"/>
  <c r="CP40" i="2"/>
  <c r="CP42" i="2"/>
  <c r="CP46" i="2"/>
  <c r="CP50" i="2"/>
  <c r="CP51" i="2"/>
  <c r="CP52" i="2"/>
  <c r="F29" i="1"/>
  <c r="CC3" i="2"/>
  <c r="CD5" i="2" s="1"/>
  <c r="CD21" i="2"/>
  <c r="CD50" i="2"/>
  <c r="CD51" i="2"/>
  <c r="CD52" i="2"/>
  <c r="F28" i="1"/>
  <c r="BQ3" i="2"/>
  <c r="BR35" i="2" s="1"/>
  <c r="BR49" i="2"/>
  <c r="BR50" i="2"/>
  <c r="BR51" i="2"/>
  <c r="BR52" i="2"/>
  <c r="F27" i="1"/>
  <c r="BE3" i="2"/>
  <c r="BF4" i="2" s="1"/>
  <c r="BF13" i="2"/>
  <c r="BF23" i="2"/>
  <c r="BF27" i="2"/>
  <c r="BF31" i="2"/>
  <c r="BF39" i="2"/>
  <c r="BF43" i="2"/>
  <c r="BF47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48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4" i="7"/>
  <c r="K4" i="7"/>
  <c r="J4" i="7"/>
  <c r="L5" i="7"/>
  <c r="K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L3" i="7"/>
  <c r="K3" i="7"/>
  <c r="J3" i="7"/>
  <c r="DB15" i="2" l="1"/>
  <c r="EX43" i="2"/>
  <c r="EX27" i="2"/>
  <c r="EX14" i="2"/>
  <c r="FJ47" i="2"/>
  <c r="FJ13" i="2"/>
  <c r="BF35" i="2"/>
  <c r="BF19" i="2"/>
  <c r="CP45" i="2"/>
  <c r="CP36" i="2"/>
  <c r="CP28" i="2"/>
  <c r="CP20" i="2"/>
  <c r="CP9" i="2"/>
  <c r="DB35" i="2"/>
  <c r="EX34" i="2"/>
  <c r="EX21" i="2"/>
  <c r="EX6" i="2"/>
  <c r="FJ31" i="2"/>
  <c r="FJ26" i="2"/>
  <c r="BF46" i="2"/>
  <c r="BF42" i="2"/>
  <c r="BF34" i="2"/>
  <c r="BF26" i="2"/>
  <c r="BF18" i="2"/>
  <c r="BF11" i="2"/>
  <c r="DB43" i="2"/>
  <c r="FV46" i="2"/>
  <c r="FV42" i="2"/>
  <c r="FV31" i="2"/>
  <c r="BF37" i="2"/>
  <c r="BF29" i="2"/>
  <c r="BF21" i="2"/>
  <c r="BF9" i="2"/>
  <c r="CP39" i="2"/>
  <c r="CP31" i="2"/>
  <c r="CP23" i="2"/>
  <c r="CP13" i="2"/>
  <c r="CP8" i="2"/>
  <c r="DB49" i="2"/>
  <c r="DB30" i="2"/>
  <c r="DB19" i="2"/>
  <c r="DN24" i="2"/>
  <c r="EX10" i="2"/>
  <c r="FV49" i="2"/>
  <c r="FV45" i="2"/>
  <c r="FV41" i="2"/>
  <c r="FV37" i="2"/>
  <c r="BF38" i="2"/>
  <c r="BF30" i="2"/>
  <c r="BF22" i="2"/>
  <c r="DB32" i="2"/>
  <c r="DB22" i="2"/>
  <c r="DB12" i="2"/>
  <c r="DN37" i="2"/>
  <c r="FV38" i="2"/>
  <c r="BF49" i="2"/>
  <c r="BF45" i="2"/>
  <c r="BF41" i="2"/>
  <c r="BF33" i="2"/>
  <c r="BF25" i="2"/>
  <c r="BF17" i="2"/>
  <c r="CP49" i="2"/>
  <c r="CP44" i="2"/>
  <c r="CP35" i="2"/>
  <c r="CP27" i="2"/>
  <c r="CP19" i="2"/>
  <c r="DB40" i="2"/>
  <c r="DB10" i="2"/>
  <c r="EX48" i="2"/>
  <c r="EX39" i="2"/>
  <c r="EX30" i="2"/>
  <c r="EX24" i="2"/>
  <c r="EX18" i="2"/>
  <c r="FJ49" i="2"/>
  <c r="FJ39" i="2"/>
  <c r="FJ22" i="2"/>
  <c r="V49" i="2"/>
  <c r="BF48" i="2"/>
  <c r="BF44" i="2"/>
  <c r="BF40" i="2"/>
  <c r="BF36" i="2"/>
  <c r="BF32" i="2"/>
  <c r="BF28" i="2"/>
  <c r="BF24" i="2"/>
  <c r="BF20" i="2"/>
  <c r="BF15" i="2"/>
  <c r="BF7" i="2"/>
  <c r="CD49" i="2"/>
  <c r="CP47" i="2"/>
  <c r="CP43" i="2"/>
  <c r="CP38" i="2"/>
  <c r="CP34" i="2"/>
  <c r="CP30" i="2"/>
  <c r="CP26" i="2"/>
  <c r="CP22" i="2"/>
  <c r="CP18" i="2"/>
  <c r="CP11" i="2"/>
  <c r="CP7" i="2"/>
  <c r="DB48" i="2"/>
  <c r="DB37" i="2"/>
  <c r="DB28" i="2"/>
  <c r="DB17" i="2"/>
  <c r="DB8" i="2"/>
  <c r="DN14" i="2"/>
  <c r="EX46" i="2"/>
  <c r="EX36" i="2"/>
  <c r="EX28" i="2"/>
  <c r="EX22" i="2"/>
  <c r="EX16" i="2"/>
  <c r="EX8" i="2"/>
  <c r="FJ48" i="2"/>
  <c r="FJ35" i="2"/>
  <c r="FJ17" i="2"/>
  <c r="FV48" i="2"/>
  <c r="FV44" i="2"/>
  <c r="FV40" i="2"/>
  <c r="FV36" i="2"/>
  <c r="DN44" i="2"/>
  <c r="DN30" i="2"/>
  <c r="DN19" i="2"/>
  <c r="DN8" i="2"/>
  <c r="DN48" i="2"/>
  <c r="DN42" i="2"/>
  <c r="DN33" i="2"/>
  <c r="DN27" i="2"/>
  <c r="DN21" i="2"/>
  <c r="DN16" i="2"/>
  <c r="DN9" i="2"/>
  <c r="DN6" i="2"/>
  <c r="DN49" i="2"/>
  <c r="DN47" i="2"/>
  <c r="DN43" i="2"/>
  <c r="DN39" i="2"/>
  <c r="DN35" i="2"/>
  <c r="DN31" i="2"/>
  <c r="DN29" i="2"/>
  <c r="DN25" i="2"/>
  <c r="DN22" i="2"/>
  <c r="DN20" i="2"/>
  <c r="DN18" i="2"/>
  <c r="DN15" i="2"/>
  <c r="DN10" i="2"/>
  <c r="DN5" i="2"/>
  <c r="DN45" i="2"/>
  <c r="DN40" i="2"/>
  <c r="DN38" i="2"/>
  <c r="DN36" i="2"/>
  <c r="DN34" i="2"/>
  <c r="DN32" i="2"/>
  <c r="DN28" i="2"/>
  <c r="DN26" i="2"/>
  <c r="DN17" i="2"/>
  <c r="DN11" i="2"/>
  <c r="AH17" i="2"/>
  <c r="AH24" i="2"/>
  <c r="AH5" i="2"/>
  <c r="AH19" i="2"/>
  <c r="AH42" i="2"/>
  <c r="AH21" i="2"/>
  <c r="AH18" i="2"/>
  <c r="CD24" i="2"/>
  <c r="CD18" i="2"/>
  <c r="CD44" i="2"/>
  <c r="CD6" i="2"/>
  <c r="EX49" i="2"/>
  <c r="EX47" i="2"/>
  <c r="EX44" i="2"/>
  <c r="EX42" i="2"/>
  <c r="EX40" i="2"/>
  <c r="EX37" i="2"/>
  <c r="EX35" i="2"/>
  <c r="EX33" i="2"/>
  <c r="EX31" i="2"/>
  <c r="EX29" i="2"/>
  <c r="EX25" i="2"/>
  <c r="EX23" i="2"/>
  <c r="EX19" i="2"/>
  <c r="EX17" i="2"/>
  <c r="EX15" i="2"/>
  <c r="EX13" i="2"/>
  <c r="EX11" i="2"/>
  <c r="EX9" i="2"/>
  <c r="EX7" i="2"/>
  <c r="FV15" i="2"/>
  <c r="FV23" i="2"/>
  <c r="FV7" i="2"/>
  <c r="FV27" i="2"/>
  <c r="FV19" i="2"/>
  <c r="FV11" i="2"/>
  <c r="FV3" i="2"/>
  <c r="FV33" i="2"/>
  <c r="FV29" i="2"/>
  <c r="FV25" i="2"/>
  <c r="FV21" i="2"/>
  <c r="FV17" i="2"/>
  <c r="FV13" i="2"/>
  <c r="FV9" i="2"/>
  <c r="FV5" i="2"/>
  <c r="FX34" i="2"/>
  <c r="FV34" i="2"/>
  <c r="I37" i="1" s="1"/>
  <c r="FV32" i="2"/>
  <c r="FV30" i="2"/>
  <c r="FV28" i="2"/>
  <c r="FV26" i="2"/>
  <c r="FV24" i="2"/>
  <c r="FV22" i="2"/>
  <c r="FV20" i="2"/>
  <c r="FV18" i="2"/>
  <c r="FV16" i="2"/>
  <c r="FV14" i="2"/>
  <c r="FV12" i="2"/>
  <c r="FV10" i="2"/>
  <c r="FV8" i="2"/>
  <c r="FV6" i="2"/>
  <c r="FV4" i="2"/>
  <c r="FW34" i="2"/>
  <c r="J37" i="1" s="1"/>
  <c r="P33" i="8"/>
  <c r="T44" i="8"/>
  <c r="U44" i="8" s="1"/>
  <c r="T36" i="8"/>
  <c r="U36" i="8" s="1"/>
  <c r="T20" i="8"/>
  <c r="U20" i="8" s="1"/>
  <c r="T45" i="8"/>
  <c r="U45" i="8" s="1"/>
  <c r="T12" i="8"/>
  <c r="U12" i="8" s="1"/>
  <c r="T28" i="8"/>
  <c r="U28" i="8" s="1"/>
  <c r="FJ8" i="2"/>
  <c r="CP5" i="2"/>
  <c r="T37" i="8"/>
  <c r="U37" i="8" s="1"/>
  <c r="T29" i="8"/>
  <c r="U29" i="8" s="1"/>
  <c r="T21" i="8"/>
  <c r="U21" i="8" s="1"/>
  <c r="T13" i="8"/>
  <c r="U13" i="8" s="1"/>
  <c r="T3" i="8"/>
  <c r="U3" i="8" s="1"/>
  <c r="T15" i="8"/>
  <c r="U15" i="8" s="1"/>
  <c r="T31" i="8"/>
  <c r="U31" i="8" s="1"/>
  <c r="V41" i="2"/>
  <c r="V32" i="2"/>
  <c r="V21" i="2"/>
  <c r="V38" i="2"/>
  <c r="V25" i="2"/>
  <c r="V18" i="2"/>
  <c r="FJ45" i="2"/>
  <c r="FJ41" i="2"/>
  <c r="FJ37" i="2"/>
  <c r="FJ33" i="2"/>
  <c r="FJ29" i="2"/>
  <c r="FJ24" i="2"/>
  <c r="FJ20" i="2"/>
  <c r="FJ15" i="2"/>
  <c r="FJ10" i="2"/>
  <c r="FJ6" i="2"/>
  <c r="FJ46" i="2"/>
  <c r="FJ44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B44" i="2"/>
  <c r="DB42" i="2"/>
  <c r="DB39" i="2"/>
  <c r="DB36" i="2"/>
  <c r="DB34" i="2"/>
  <c r="DB31" i="2"/>
  <c r="DB29" i="2"/>
  <c r="DB26" i="2"/>
  <c r="DB23" i="2"/>
  <c r="DB21" i="2"/>
  <c r="DB18" i="2"/>
  <c r="DB16" i="2"/>
  <c r="DB14" i="2"/>
  <c r="DB11" i="2"/>
  <c r="DB9" i="2"/>
  <c r="DB6" i="2"/>
  <c r="DB7" i="2"/>
  <c r="T10" i="8"/>
  <c r="U10" i="8" s="1"/>
  <c r="BR21" i="2"/>
  <c r="BR37" i="2"/>
  <c r="BR6" i="2"/>
  <c r="BR24" i="2"/>
  <c r="BR18" i="2"/>
  <c r="BR5" i="2"/>
  <c r="T38" i="8"/>
  <c r="U38" i="8" s="1"/>
  <c r="T22" i="8"/>
  <c r="U22" i="8" s="1"/>
  <c r="T11" i="8"/>
  <c r="U11" i="8" s="1"/>
  <c r="T27" i="8"/>
  <c r="U27" i="8" s="1"/>
  <c r="BF5" i="2"/>
  <c r="BF16" i="2"/>
  <c r="BF14" i="2"/>
  <c r="BF12" i="2"/>
  <c r="BF10" i="2"/>
  <c r="BF8" i="2"/>
  <c r="BF6" i="2"/>
  <c r="T42" i="8"/>
  <c r="U42" i="8" s="1"/>
  <c r="T30" i="8"/>
  <c r="U30" i="8" s="1"/>
  <c r="V44" i="2"/>
  <c r="V39" i="2"/>
  <c r="V33" i="2"/>
  <c r="V28" i="2"/>
  <c r="V24" i="2"/>
  <c r="V20" i="2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I27" i="1" s="1"/>
  <c r="H26" i="1"/>
  <c r="H25" i="1"/>
  <c r="AH6" i="2"/>
  <c r="J25" i="1"/>
  <c r="H24" i="1"/>
  <c r="V3" i="2"/>
  <c r="M20" i="1" l="1"/>
  <c r="M13" i="1" s="1"/>
  <c r="I36" i="1"/>
  <c r="I25" i="1"/>
  <c r="I38" i="1"/>
  <c r="I29" i="1"/>
  <c r="T2" i="8"/>
  <c r="U2" i="8" s="1"/>
  <c r="V17" i="8" s="1"/>
  <c r="I28" i="1"/>
  <c r="B16" i="1"/>
  <c r="F47" i="1" s="1"/>
  <c r="B15" i="1"/>
  <c r="I31" i="1"/>
  <c r="I24" i="1"/>
  <c r="M19" i="1"/>
  <c r="M18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48" i="8" l="1"/>
  <c r="V44" i="8"/>
  <c r="V20" i="8"/>
  <c r="V23" i="8"/>
  <c r="V43" i="8"/>
  <c r="V5" i="8"/>
  <c r="V4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<sst xmlns="http://schemas.openxmlformats.org/spreadsheetml/2006/main" count="1166" uniqueCount="198">
  <si>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</si>
  <si>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</si>
  <si>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</si>
  <si>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</si>
  <si>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</si>
  <si>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</si>
  <si>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</si>
  <si>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</si>
  <si>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</si>
  <si>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</si>
  <si>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</si>
  <si>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</si>
  <si>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</si>
  <si>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</si>
  <si>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</si>
  <si>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</si>
  <si>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</si>
  <si>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</si>
  <si>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</si>
  <si>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</si>
  <si>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</si>
  <si>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</si>
  <si>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</si>
  <si>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</si>
  <si>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</si>
  <si>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</si>
  <si>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</si>
  <si>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</si>
  <si>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</si>
  <si>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</si>
  <si>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</si>
  <si>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</si>
  <si>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</si>
  <si>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</si>
  <si>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</si>
  <si>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</si>
  <si>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</si>
  <si>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</si>
  <si>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</si>
  <si>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</si>
  <si>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</si>
  <si>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</si>
  <si>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</si>
  <si>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</si>
  <si>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</si>
  <si>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</si>
  <si>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</si>
  <si>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</si>
  <si>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</si>
  <si>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</si>
  <si>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</si>
  <si>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</si>
  <si>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</si>
  <si>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</si>
  <si>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</si>
  <si>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</si>
  <si>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</si>
  <si>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</si>
  <si>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</si>
  <si>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</si>
  <si>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</si>
  <si>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</si>
  <si>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</si>
  <si>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</si>
  <si>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</si>
  <si>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</si>
  <si>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</si>
  <si>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</si>
  <si>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</si>
  <si>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</si>
  <si>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</si>
  <si>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</si>
  <si>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</si>
  <si>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</si>
  <si>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</si>
  <si>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</si>
  <si>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</si>
  <si>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</si>
  <si>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</si>
  <si>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</si>
  <si>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</si>
  <si>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</si>
  <si>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</si>
  <si>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</si>
  <si>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</si>
  <si>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</si>
  <si>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</si>
  <si>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</si>
  <si>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</si>
  <si>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</si>
  <si>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</si>
  <si>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</si>
  <si>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</si>
  <si>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</si>
  <si>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</si>
  <si>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</si>
  <si>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</si>
  <si>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</si>
  <si>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JSS3 A</t>
  </si>
  <si>
    <t xml:space="preserve">1st </t>
  </si>
  <si>
    <t>Courteous</t>
  </si>
  <si>
    <t>Needs to actively participate in class</t>
  </si>
  <si>
    <t>Well mannered</t>
  </si>
  <si>
    <t>needs to be attentive in class</t>
  </si>
  <si>
    <t>Assistant Class Captain</t>
  </si>
  <si>
    <t>Calm and polite</t>
  </si>
  <si>
    <t>talks a lot in class</t>
  </si>
  <si>
    <t>Needs to listen to directives</t>
  </si>
  <si>
    <t>Self confident</t>
  </si>
  <si>
    <t>Shows good attitude toward school</t>
  </si>
  <si>
    <t>Exhibits a positive attitude toward learning</t>
  </si>
  <si>
    <t>An enthusiastic learner</t>
  </si>
  <si>
    <t xml:space="preserve">Kind  and obedient </t>
  </si>
  <si>
    <t>Responds well</t>
  </si>
  <si>
    <t>Basic Tech</t>
  </si>
  <si>
    <t>ABDUL UMAR HASSAN</t>
  </si>
  <si>
    <t>ABDULLAHI ADAM MUHAMMAD</t>
  </si>
  <si>
    <t>ABUBAKAR ADAMU IDRIS</t>
  </si>
  <si>
    <t>ABUBAKAR IDRIS BAWARE</t>
  </si>
  <si>
    <t>ABUBAKAR MUHAMMAD</t>
  </si>
  <si>
    <t>ADAMU YAKUBU TIMTA</t>
  </si>
  <si>
    <t>AL-MANSUR ALIYU</t>
  </si>
  <si>
    <t>ALI DANIEL</t>
  </si>
  <si>
    <t>ALI IBRAHIM MUSA</t>
  </si>
  <si>
    <t>ALKALI ABBAS IDRIS</t>
  </si>
  <si>
    <t>BASHIR MOHAMMED MUSTAPHA</t>
  </si>
  <si>
    <t>BABAGANA YUNUS JIDDA</t>
  </si>
  <si>
    <t>BAJELE IBRAHIM</t>
  </si>
  <si>
    <t xml:space="preserve">DAHIRU MUHAMMED IDRIS </t>
  </si>
  <si>
    <t>DANIEL DIVINE FENG</t>
  </si>
  <si>
    <t>MOUYE ADAM</t>
  </si>
  <si>
    <t>RAMAT MUHAMMED ABBA</t>
  </si>
  <si>
    <t>SAMAILA FALNI BADAU</t>
  </si>
  <si>
    <t>TIJANI MUKTAR TITIMA</t>
  </si>
  <si>
    <t>USMAN ABDULRAHMAN</t>
  </si>
  <si>
    <t>USMAN MUHAMMED MUSTAPHA</t>
  </si>
  <si>
    <t>YAKUBU KAIGAMA LUQMAN</t>
  </si>
  <si>
    <t>ZACHARIAH WABULARI</t>
  </si>
  <si>
    <t>ABDULRAMAN FAREEDA SADIQUE</t>
  </si>
  <si>
    <t>ABUBAKAR SADIYA HALIMA</t>
  </si>
  <si>
    <t>JA'AFAR KHADIJA</t>
  </si>
  <si>
    <t>JACOB DORCAS</t>
  </si>
  <si>
    <t>JOHNNA SALEM BOURMANDA</t>
  </si>
  <si>
    <t xml:space="preserve">JOSEPH NAOMI </t>
  </si>
  <si>
    <t>JOSHUA KUBILI</t>
  </si>
  <si>
    <t>LUQMAN ADEENA</t>
  </si>
  <si>
    <t>MADU STEPHANE HENA</t>
  </si>
  <si>
    <t>MUKTAR HALIMA</t>
  </si>
  <si>
    <t>MICHAEL RACHEAL</t>
  </si>
  <si>
    <t>MUHAMMED BILKISU GARBA</t>
  </si>
  <si>
    <t>MUSA AISHA AHMED</t>
  </si>
  <si>
    <t>MUSA MABRUKA WAZIRI</t>
  </si>
  <si>
    <t>MUSA SARAH BALAMI</t>
  </si>
  <si>
    <t>MUSTAPHA FATIMA NURAIN</t>
  </si>
  <si>
    <t>RABIU NANA KHADIJA</t>
  </si>
  <si>
    <t>RAMAT HABIBE MUHAMMED</t>
  </si>
  <si>
    <t>SHAIBU KHADIJA UMAR</t>
  </si>
  <si>
    <t>SHETTIMA FATIMA ABUBAKAR</t>
  </si>
  <si>
    <t>SHUAIBU FIRDAUSI ATTAHIRU</t>
  </si>
  <si>
    <t>SULEIMAN ATIKATU</t>
  </si>
  <si>
    <t>YAKUBU HABIBA YUSUF</t>
  </si>
  <si>
    <t>ABUBAKAR AMINA ADAM</t>
  </si>
  <si>
    <t>BORNO</t>
  </si>
  <si>
    <t>BIU</t>
  </si>
  <si>
    <t>BAMA</t>
  </si>
  <si>
    <t>GWAZA</t>
  </si>
  <si>
    <t>MMC</t>
  </si>
  <si>
    <t>ASKIRA/UBA</t>
  </si>
  <si>
    <t>KALABALGE</t>
  </si>
  <si>
    <t>MARTE</t>
  </si>
  <si>
    <t>PLATEAU</t>
  </si>
  <si>
    <t>BARIKIN LADI</t>
  </si>
  <si>
    <t>MAFA</t>
  </si>
  <si>
    <t>ADAMAWA</t>
  </si>
  <si>
    <t>HONG</t>
  </si>
  <si>
    <t>KANO</t>
  </si>
  <si>
    <t>WUDIL</t>
  </si>
  <si>
    <t>JIGAWA</t>
  </si>
  <si>
    <t>BIRNIN KUDU</t>
  </si>
  <si>
    <t>CHAD</t>
  </si>
  <si>
    <t>CHARIBAGIURMI</t>
  </si>
  <si>
    <t>MADAGALI</t>
  </si>
  <si>
    <t>HAWUL</t>
  </si>
  <si>
    <t xml:space="preserve">OYO </t>
  </si>
  <si>
    <t>LAGENU</t>
  </si>
  <si>
    <t>KWAYA KUSAR</t>
  </si>
  <si>
    <t>DUSWA</t>
  </si>
  <si>
    <t>DAMBOA</t>
  </si>
  <si>
    <t>ABUJA</t>
  </si>
  <si>
    <t>ABAJI</t>
  </si>
  <si>
    <t xml:space="preserve">YOBE </t>
  </si>
  <si>
    <t>NGURU</t>
  </si>
  <si>
    <t xml:space="preserve">1ST </t>
  </si>
  <si>
    <t>Admission_No</t>
  </si>
  <si>
    <t>16th January, 2026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</si>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</sst>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4"/>
      <color rgb="FF000000"/>
      <name val="Tahoma"/>
      <family val="2"/>
    </font>
    <font>
      <sz val="14"/>
      <name val="Tahoma"/>
      <family val="2"/>
    </font>
    <font>
      <sz val="11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1">
    <xf numFmtId="0" fontId="0" fillId="0" borderId="0"/>
    <xf numFmtId="0" fontId="6" fillId="0" borderId="0"/>
    <xf numFmtId="0" fontId="11" fillId="0" borderId="0"/>
    <xf numFmtId="0" fontId="6" fillId="0" borderId="0"/>
    <xf numFmtId="0" fontId="12" fillId="0" borderId="0">
      <alignment vertical="center"/>
    </xf>
    <xf numFmtId="0" fontId="14" fillId="0" borderId="0">
      <protection locked="0"/>
    </xf>
    <xf numFmtId="0" fontId="13" fillId="0" borderId="0">
      <protection locked="0"/>
    </xf>
    <xf numFmtId="0" fontId="5" fillId="0" borderId="0"/>
    <xf numFmtId="0" fontId="5" fillId="0" borderId="0"/>
    <xf numFmtId="0" fontId="13" fillId="0" borderId="0">
      <protection locked="0"/>
    </xf>
    <xf numFmtId="0" fontId="36" fillId="0" borderId="0" applyNumberFormat="0" applyFill="0" applyBorder="0" applyAlignment="0" applyProtection="0"/>
  </cellStyleXfs>
  <cellXfs count="245">
    <xf numFmtId="0" fontId="0" fillId="0" borderId="0" xfId="0"/>
    <xf numFmtId="0" fontId="0" fillId="0" borderId="2" xfId="0" applyBorder="1"/>
    <xf numFmtId="0" fontId="7" fillId="0" borderId="0" xfId="0" applyFont="1"/>
    <xf numFmtId="0" fontId="0" fillId="0" borderId="9" xfId="0" applyBorder="1"/>
    <xf numFmtId="0" fontId="8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center" textRotation="90" wrapText="1"/>
    </xf>
    <xf numFmtId="0" fontId="9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7" fillId="0" borderId="0" xfId="0" applyFont="1" applyBorder="1"/>
    <xf numFmtId="0" fontId="0" fillId="0" borderId="24" xfId="0" applyBorder="1"/>
    <xf numFmtId="0" fontId="0" fillId="0" borderId="25" xfId="0" applyBorder="1"/>
    <xf numFmtId="0" fontId="8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6" fillId="0" borderId="9" xfId="0" applyFont="1" applyBorder="1"/>
    <xf numFmtId="49" fontId="17" fillId="0" borderId="9" xfId="0" applyNumberFormat="1" applyFont="1" applyBorder="1"/>
    <xf numFmtId="0" fontId="16" fillId="0" borderId="8" xfId="0" applyFont="1" applyBorder="1" applyProtection="1">
      <protection locked="0"/>
    </xf>
    <xf numFmtId="0" fontId="16" fillId="0" borderId="0" xfId="0" applyFont="1" applyBorder="1"/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17" fillId="0" borderId="18" xfId="0" applyFont="1" applyBorder="1"/>
    <xf numFmtId="0" fontId="19" fillId="0" borderId="8" xfId="0" applyFont="1" applyBorder="1"/>
    <xf numFmtId="0" fontId="20" fillId="0" borderId="11" xfId="0" applyFont="1" applyBorder="1"/>
    <xf numFmtId="0" fontId="19" fillId="0" borderId="11" xfId="0" applyFont="1" applyBorder="1"/>
    <xf numFmtId="0" fontId="19" fillId="0" borderId="9" xfId="0" applyFont="1" applyBorder="1"/>
    <xf numFmtId="0" fontId="19" fillId="0" borderId="0" xfId="0" applyFont="1" applyBorder="1"/>
    <xf numFmtId="0" fontId="19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6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8" fillId="8" borderId="9" xfId="0" applyFont="1" applyFill="1" applyBorder="1" applyAlignment="1">
      <alignment vertical="center"/>
    </xf>
    <xf numFmtId="0" fontId="18" fillId="8" borderId="9" xfId="0" applyFont="1" applyFill="1" applyBorder="1" applyAlignment="1">
      <alignment vertical="center" textRotation="90"/>
    </xf>
    <xf numFmtId="0" fontId="18" fillId="8" borderId="9" xfId="0" applyFont="1" applyFill="1" applyBorder="1" applyAlignment="1">
      <alignment horizontal="left" vertical="center" textRotation="90" wrapText="1"/>
    </xf>
    <xf numFmtId="0" fontId="18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9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9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9" fillId="3" borderId="9" xfId="0" applyFont="1" applyFill="1" applyBorder="1" applyAlignment="1">
      <alignment vertical="center"/>
    </xf>
    <xf numFmtId="0" fontId="9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7" fillId="0" borderId="9" xfId="0" applyNumberFormat="1" applyFont="1" applyBorder="1" applyAlignment="1">
      <alignment textRotation="90" wrapText="1"/>
    </xf>
    <xf numFmtId="49" fontId="17" fillId="0" borderId="9" xfId="0" applyNumberFormat="1" applyFont="1" applyBorder="1" applyAlignment="1">
      <alignment vertical="center" textRotation="90" wrapText="1"/>
    </xf>
    <xf numFmtId="0" fontId="21" fillId="0" borderId="9" xfId="0" applyFont="1" applyBorder="1" applyAlignment="1">
      <alignment textRotation="45"/>
    </xf>
    <xf numFmtId="0" fontId="21" fillId="0" borderId="9" xfId="0" applyFont="1" applyBorder="1" applyAlignment="1" applyProtection="1">
      <alignment textRotation="45"/>
      <protection locked="0"/>
    </xf>
    <xf numFmtId="0" fontId="13" fillId="0" borderId="9" xfId="0" applyFont="1" applyBorder="1" applyAlignment="1"/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3" fillId="0" borderId="2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2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5" fillId="0" borderId="29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6" fillId="0" borderId="2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0" borderId="0" xfId="0"/>
    <xf numFmtId="0" fontId="31" fillId="0" borderId="9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vertical="center" wrapText="1"/>
    </xf>
    <xf numFmtId="0" fontId="34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vertical="center" wrapText="1"/>
    </xf>
    <xf numFmtId="0" fontId="34" fillId="0" borderId="9" xfId="0" applyFont="1" applyFill="1" applyBorder="1" applyAlignment="1">
      <alignment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14" fillId="0" borderId="0" xfId="4" applyFont="1">
      <alignment vertical="center"/>
    </xf>
    <xf numFmtId="0" fontId="14" fillId="15" borderId="9" xfId="4" applyFont="1" applyFill="1" applyBorder="1">
      <alignment vertical="center"/>
    </xf>
    <xf numFmtId="0" fontId="25" fillId="0" borderId="27" xfId="4" applyFont="1" applyBorder="1" applyAlignment="1">
      <alignment horizontal="center" vertical="center"/>
    </xf>
    <xf numFmtId="0" fontId="25" fillId="0" borderId="9" xfId="4" applyFont="1" applyBorder="1" applyAlignment="1">
      <alignment horizontal="center" vertical="center"/>
    </xf>
    <xf numFmtId="0" fontId="22" fillId="0" borderId="27" xfId="4" applyFont="1" applyBorder="1" applyAlignment="1">
      <alignment horizontal="center" vertical="center"/>
    </xf>
    <xf numFmtId="0" fontId="22" fillId="0" borderId="9" xfId="4" applyFont="1" applyBorder="1" applyAlignment="1">
      <alignment horizontal="center" vertical="center"/>
    </xf>
    <xf numFmtId="0" fontId="14" fillId="0" borderId="0" xfId="4" applyFont="1">
      <alignment vertical="center"/>
    </xf>
    <xf numFmtId="0" fontId="14" fillId="15" borderId="9" xfId="4" applyFont="1" applyFill="1" applyBorder="1">
      <alignment vertical="center"/>
    </xf>
    <xf numFmtId="0" fontId="25" fillId="0" borderId="9" xfId="4" applyFont="1" applyBorder="1" applyAlignment="1">
      <alignment horizontal="center" vertical="center"/>
    </xf>
    <xf numFmtId="0" fontId="22" fillId="0" borderId="9" xfId="4" applyFont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5" fillId="16" borderId="30" xfId="0" applyFont="1" applyFill="1" applyBorder="1"/>
    <xf numFmtId="0" fontId="0" fillId="0" borderId="11" xfId="0" applyBorder="1"/>
    <xf numFmtId="0" fontId="21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0" fillId="0" borderId="0" xfId="0"/>
    <xf numFmtId="0" fontId="1" fillId="0" borderId="30" xfId="0" applyFont="1" applyBorder="1"/>
    <xf numFmtId="0" fontId="1" fillId="17" borderId="30" xfId="0" applyFont="1" applyFill="1" applyBorder="1"/>
    <xf numFmtId="0" fontId="1" fillId="0" borderId="0" xfId="0" applyFont="1" applyAlignment="1">
      <alignment horizontal="center" vertical="center"/>
    </xf>
    <xf numFmtId="0" fontId="36" fillId="0" borderId="9" xfId="10" applyBorder="1" applyAlignment="1"/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18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5" fillId="0" borderId="18" xfId="0" applyFont="1" applyBorder="1"/>
    <xf numFmtId="0" fontId="15" fillId="0" borderId="0" xfId="0" applyFont="1" applyBorder="1"/>
    <xf numFmtId="0" fontId="0" fillId="0" borderId="0" xfId="0"/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textRotation="90"/>
    </xf>
    <xf numFmtId="49" fontId="17" fillId="0" borderId="9" xfId="0" applyNumberFormat="1" applyFont="1" applyBorder="1" applyAlignment="1">
      <alignment horizontal="center" textRotation="90"/>
    </xf>
    <xf numFmtId="49" fontId="17" fillId="0" borderId="7" xfId="0" applyNumberFormat="1" applyFont="1" applyBorder="1" applyAlignment="1">
      <alignment horizontal="center" textRotation="90" wrapText="1"/>
    </xf>
    <xf numFmtId="49" fontId="17" fillId="0" borderId="9" xfId="0" applyNumberFormat="1" applyFont="1" applyBorder="1" applyAlignment="1">
      <alignment horizontal="center" textRotation="90" wrapText="1"/>
    </xf>
    <xf numFmtId="49" fontId="17" fillId="0" borderId="10" xfId="0" applyNumberFormat="1" applyFont="1" applyBorder="1" applyAlignment="1">
      <alignment horizontal="left" textRotation="90" wrapText="1"/>
    </xf>
    <xf numFmtId="49" fontId="17" fillId="0" borderId="28" xfId="0" applyNumberFormat="1" applyFont="1" applyBorder="1" applyAlignment="1">
      <alignment horizontal="left" textRotation="90" wrapText="1"/>
    </xf>
    <xf numFmtId="49" fontId="17" fillId="0" borderId="7" xfId="0" applyNumberFormat="1" applyFont="1" applyBorder="1" applyAlignment="1">
      <alignment horizontal="left" textRotation="90" wrapText="1"/>
    </xf>
    <xf numFmtId="0" fontId="0" fillId="0" borderId="0" xfId="0" applyBorder="1" applyAlignment="1">
      <alignment horizontal="left"/>
    </xf>
    <xf numFmtId="0" fontId="19" fillId="0" borderId="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6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0" fontId="17" fillId="0" borderId="10" xfId="0" applyFont="1" applyBorder="1"/>
    <xf numFmtId="0" fontId="17" fillId="0" borderId="1" xfId="0" applyFont="1" applyBorder="1"/>
    <xf numFmtId="0" fontId="17" fillId="0" borderId="13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6" fillId="0" borderId="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7" fillId="0" borderId="7" xfId="0" applyFont="1" applyBorder="1"/>
    <xf numFmtId="0" fontId="17" fillId="0" borderId="4" xfId="0" applyFont="1" applyBorder="1"/>
    <xf numFmtId="0" fontId="16" fillId="0" borderId="5" xfId="0" applyFont="1" applyBorder="1"/>
    <xf numFmtId="0" fontId="16" fillId="0" borderId="12" xfId="0" applyFont="1" applyBorder="1"/>
    <xf numFmtId="0" fontId="17" fillId="0" borderId="9" xfId="0" applyFont="1" applyBorder="1"/>
    <xf numFmtId="0" fontId="17" fillId="0" borderId="11" xfId="0" applyFont="1" applyBorder="1"/>
    <xf numFmtId="164" fontId="16" fillId="0" borderId="2" xfId="0" applyNumberFormat="1" applyFont="1" applyBorder="1"/>
    <xf numFmtId="164" fontId="16" fillId="0" borderId="15" xfId="0" applyNumberFormat="1" applyFont="1" applyBorder="1"/>
    <xf numFmtId="0" fontId="17" fillId="0" borderId="0" xfId="0" applyFont="1" applyBorder="1" applyAlignment="1">
      <alignment horizontal="left"/>
    </xf>
    <xf numFmtId="0" fontId="16" fillId="0" borderId="0" xfId="0" applyFont="1" applyBorder="1"/>
    <xf numFmtId="0" fontId="17" fillId="0" borderId="0" xfId="0" applyFont="1" applyBorder="1"/>
    <xf numFmtId="0" fontId="17" fillId="0" borderId="16" xfId="0" applyFont="1" applyBorder="1"/>
    <xf numFmtId="0" fontId="16" fillId="0" borderId="0" xfId="0" applyFont="1" applyBorder="1" applyAlignment="1">
      <alignment horizontal="center"/>
    </xf>
    <xf numFmtId="0" fontId="16" fillId="0" borderId="16" xfId="0" applyFont="1" applyBorder="1"/>
    <xf numFmtId="0" fontId="0" fillId="0" borderId="0" xfId="0" applyAlignment="1">
      <alignment horizontal="center"/>
    </xf>
  </cellXfs>
  <cellStyles count="11">
    <cellStyle name="Hyperlink" xfId="10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9"/>
    <cellStyle name="Normal 2 3" xfId="5"/>
    <cellStyle name="Normal 3" xfId="1"/>
    <cellStyle name="Normal 3 2" xfId="4"/>
    <cellStyle name="Normal 4" xfId="7"/>
  </cellStyles>
  <dxfs count="5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>
  <autoFilter ref="A1:J51"/>
  <tableColumns count="10">
    <tableColumn id="1" name="Admission_No"/>
    <tableColumn id="2" name="Names " dataDxfId="51"/>
    <tableColumn id="3" name="Class " dataDxfId="50"/>
    <tableColumn id="4" name="Age" dataDxfId="49"/>
    <tableColumn id="5" name="State of Origin " dataDxfId="48"/>
    <tableColumn id="6" name="LGA" dataDxfId="47"/>
    <tableColumn id="7" name="Term " dataDxfId="46"/>
    <tableColumn id="8" name="Next Term Begins" dataDxfId="45"/>
    <tableColumn id="9" name="Password" dataDxfId="44"/>
    <tableColumn id="10" name="Email" dataDxfId="4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42"/>
    <tableColumn id="3" name="Position of authourity" dataDxfId="4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0" tableBorderDxfId="39">
  <autoFilter ref="A1:I51"/>
  <tableColumns count="9">
    <tableColumn id="1" name="Admission_No"/>
    <tableColumn id="2" name="Puntuality " dataDxfId="38"/>
    <tableColumn id="3" name="Attendance in class" dataDxfId="37"/>
    <tableColumn id="4" name="Neatness" dataDxfId="36"/>
    <tableColumn id="5" name="Politeness" dataDxfId="35"/>
    <tableColumn id="6" name="Honesty" dataDxfId="34"/>
    <tableColumn id="7" name="Attentiveness" dataDxfId="33"/>
    <tableColumn id="8" name="Obedience" dataDxfId="32"/>
    <tableColumn id="9" name="Self Control" dataDxfId="3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0" dataDxfId="29">
  <autoFilter ref="A1:F51"/>
  <tableColumns count="6">
    <tableColumn id="1" name="Admission_No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5"/>
  <sheetViews>
    <sheetView tabSelected="1" topLeftCell="C1" zoomScaleNormal="100" workbookViewId="0">
      <selection activeCell="J3" sqref="J3:J48"/>
    </sheetView>
  </sheetViews>
  <sheetFormatPr defaultColWidth="9" defaultRowHeight="15"/>
  <cols>
    <col min="1" max="1" width="21" customWidth="1"/>
    <col min="2" max="2" width="33.140625" bestFit="1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8.7109375" style="184" customWidth="1"/>
    <col min="10" max="10" width="11" customWidth="1"/>
    <col min="11" max="11" width="41.85546875" customWidth="1"/>
  </cols>
  <sheetData>
    <row r="1" spans="1:10">
      <c r="A1" s="176" t="s">
        <v>193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77" t="s">
        <v>6</v>
      </c>
      <c r="I1" s="187" t="s">
        <v>195</v>
      </c>
      <c r="J1" s="187" t="s">
        <v>196</v>
      </c>
    </row>
    <row r="2" spans="1:10">
      <c r="A2" s="176">
        <v>1</v>
      </c>
      <c r="B2" s="157" t="s">
        <v>115</v>
      </c>
      <c r="C2" s="128" t="s">
        <v>98</v>
      </c>
      <c r="D2" s="44">
        <v>14</v>
      </c>
      <c r="E2" s="3" t="s">
        <v>162</v>
      </c>
      <c r="F2" s="128" t="s">
        <v>163</v>
      </c>
      <c r="G2" s="126" t="s">
        <v>99</v>
      </c>
      <c r="H2" s="127" t="s">
        <v>194</v>
      </c>
      <c r="I2" s="125">
        <v>1234</v>
      </c>
      <c r="J2" s="188" t="s">
        <v>197</v>
      </c>
    </row>
    <row r="3" spans="1:10">
      <c r="A3" s="176">
        <v>2</v>
      </c>
      <c r="B3" s="157" t="s">
        <v>116</v>
      </c>
      <c r="C3" s="128" t="s">
        <v>98</v>
      </c>
      <c r="D3" s="44">
        <v>13</v>
      </c>
      <c r="E3" s="3" t="s">
        <v>162</v>
      </c>
      <c r="F3" s="128" t="s">
        <v>164</v>
      </c>
      <c r="G3" s="126" t="s">
        <v>99</v>
      </c>
      <c r="H3" s="127" t="s">
        <v>194</v>
      </c>
      <c r="I3" s="125">
        <v>1234</v>
      </c>
      <c r="J3" s="125"/>
    </row>
    <row r="4" spans="1:10">
      <c r="A4" s="176">
        <v>3</v>
      </c>
      <c r="B4" s="158" t="s">
        <v>117</v>
      </c>
      <c r="C4" s="128" t="s">
        <v>98</v>
      </c>
      <c r="D4" s="44">
        <v>14</v>
      </c>
      <c r="E4" s="3" t="s">
        <v>162</v>
      </c>
      <c r="F4" s="44" t="s">
        <v>165</v>
      </c>
      <c r="G4" s="126" t="s">
        <v>99</v>
      </c>
      <c r="H4" s="127" t="s">
        <v>194</v>
      </c>
      <c r="I4" s="125">
        <v>1234</v>
      </c>
      <c r="J4" s="125"/>
    </row>
    <row r="5" spans="1:10">
      <c r="A5" s="176">
        <v>4</v>
      </c>
      <c r="B5" s="159" t="s">
        <v>118</v>
      </c>
      <c r="C5" s="128" t="s">
        <v>98</v>
      </c>
      <c r="D5" s="44">
        <v>14</v>
      </c>
      <c r="E5" s="3" t="s">
        <v>162</v>
      </c>
      <c r="F5" s="44" t="s">
        <v>165</v>
      </c>
      <c r="G5" s="126" t="s">
        <v>99</v>
      </c>
      <c r="H5" s="127" t="s">
        <v>194</v>
      </c>
      <c r="I5" s="125">
        <v>1234</v>
      </c>
      <c r="J5" s="125"/>
    </row>
    <row r="6" spans="1:10">
      <c r="A6" s="176">
        <v>5</v>
      </c>
      <c r="B6" s="158" t="s">
        <v>119</v>
      </c>
      <c r="C6" s="128" t="s">
        <v>98</v>
      </c>
      <c r="D6" s="44">
        <v>15</v>
      </c>
      <c r="E6" s="3" t="s">
        <v>162</v>
      </c>
      <c r="F6" s="44" t="s">
        <v>166</v>
      </c>
      <c r="G6" s="126" t="s">
        <v>99</v>
      </c>
      <c r="H6" s="127" t="s">
        <v>194</v>
      </c>
      <c r="I6" s="125">
        <v>1234</v>
      </c>
      <c r="J6" s="125"/>
    </row>
    <row r="7" spans="1:10">
      <c r="A7" s="176">
        <v>6</v>
      </c>
      <c r="B7" s="157" t="s">
        <v>120</v>
      </c>
      <c r="C7" s="128" t="s">
        <v>98</v>
      </c>
      <c r="D7" s="44">
        <v>13</v>
      </c>
      <c r="E7" s="44" t="s">
        <v>162</v>
      </c>
      <c r="F7" s="44" t="s">
        <v>165</v>
      </c>
      <c r="G7" s="126" t="s">
        <v>99</v>
      </c>
      <c r="H7" s="127" t="s">
        <v>194</v>
      </c>
      <c r="I7" s="125">
        <v>1234</v>
      </c>
      <c r="J7" s="125"/>
    </row>
    <row r="8" spans="1:10">
      <c r="A8" s="176">
        <v>7</v>
      </c>
      <c r="B8" s="157" t="s">
        <v>121</v>
      </c>
      <c r="C8" s="128" t="s">
        <v>98</v>
      </c>
      <c r="D8" s="44">
        <v>13</v>
      </c>
      <c r="E8" s="44" t="s">
        <v>162</v>
      </c>
      <c r="F8" s="44" t="s">
        <v>163</v>
      </c>
      <c r="G8" s="126" t="s">
        <v>99</v>
      </c>
      <c r="H8" s="127" t="s">
        <v>194</v>
      </c>
      <c r="I8" s="125">
        <v>1234</v>
      </c>
      <c r="J8" s="125"/>
    </row>
    <row r="9" spans="1:10">
      <c r="A9" s="176">
        <v>8</v>
      </c>
      <c r="B9" s="157" t="s">
        <v>122</v>
      </c>
      <c r="C9" s="128" t="s">
        <v>98</v>
      </c>
      <c r="D9" s="44">
        <v>13</v>
      </c>
      <c r="E9" s="44" t="s">
        <v>162</v>
      </c>
      <c r="F9" s="44" t="s">
        <v>167</v>
      </c>
      <c r="G9" s="126" t="s">
        <v>99</v>
      </c>
      <c r="H9" s="127" t="s">
        <v>194</v>
      </c>
      <c r="I9" s="125">
        <v>1234</v>
      </c>
      <c r="J9" s="125"/>
    </row>
    <row r="10" spans="1:10">
      <c r="A10" s="176">
        <v>9</v>
      </c>
      <c r="B10" s="157" t="s">
        <v>123</v>
      </c>
      <c r="C10" s="128" t="s">
        <v>98</v>
      </c>
      <c r="D10" s="44">
        <v>13</v>
      </c>
      <c r="E10" s="44" t="s">
        <v>162</v>
      </c>
      <c r="F10" s="44" t="s">
        <v>163</v>
      </c>
      <c r="G10" s="126" t="s">
        <v>99</v>
      </c>
      <c r="H10" s="127" t="s">
        <v>194</v>
      </c>
      <c r="I10" s="125">
        <v>1234</v>
      </c>
      <c r="J10" s="125"/>
    </row>
    <row r="11" spans="1:10">
      <c r="A11" s="176">
        <v>10</v>
      </c>
      <c r="B11" s="157" t="s">
        <v>124</v>
      </c>
      <c r="C11" s="128" t="s">
        <v>98</v>
      </c>
      <c r="D11" s="44">
        <v>14</v>
      </c>
      <c r="E11" s="44" t="s">
        <v>162</v>
      </c>
      <c r="F11" s="44" t="s">
        <v>168</v>
      </c>
      <c r="G11" s="126" t="s">
        <v>99</v>
      </c>
      <c r="H11" s="127" t="s">
        <v>194</v>
      </c>
      <c r="I11" s="125">
        <v>1234</v>
      </c>
      <c r="J11" s="125"/>
    </row>
    <row r="12" spans="1:10">
      <c r="A12" s="176">
        <v>11</v>
      </c>
      <c r="B12" s="157" t="s">
        <v>125</v>
      </c>
      <c r="C12" s="128" t="s">
        <v>98</v>
      </c>
      <c r="D12" s="44">
        <v>13</v>
      </c>
      <c r="E12" s="44" t="s">
        <v>162</v>
      </c>
      <c r="F12" s="44" t="s">
        <v>163</v>
      </c>
      <c r="G12" s="126" t="s">
        <v>99</v>
      </c>
      <c r="H12" s="127" t="s">
        <v>194</v>
      </c>
      <c r="I12" s="125">
        <v>1234</v>
      </c>
      <c r="J12" s="125"/>
    </row>
    <row r="13" spans="1:10">
      <c r="A13" s="176">
        <v>12</v>
      </c>
      <c r="B13" s="157" t="s">
        <v>126</v>
      </c>
      <c r="C13" s="128" t="s">
        <v>98</v>
      </c>
      <c r="D13" s="44">
        <v>14</v>
      </c>
      <c r="E13" s="44" t="s">
        <v>162</v>
      </c>
      <c r="F13" s="44" t="s">
        <v>169</v>
      </c>
      <c r="G13" s="126" t="s">
        <v>99</v>
      </c>
      <c r="H13" s="127" t="s">
        <v>194</v>
      </c>
      <c r="I13" s="125">
        <v>1234</v>
      </c>
      <c r="J13" s="125"/>
    </row>
    <row r="14" spans="1:10">
      <c r="A14" s="176">
        <v>13</v>
      </c>
      <c r="B14" s="157" t="s">
        <v>127</v>
      </c>
      <c r="C14" s="128" t="s">
        <v>98</v>
      </c>
      <c r="D14" s="44">
        <v>14</v>
      </c>
      <c r="E14" s="44" t="s">
        <v>162</v>
      </c>
      <c r="F14" s="44" t="s">
        <v>164</v>
      </c>
      <c r="G14" s="126" t="s">
        <v>99</v>
      </c>
      <c r="H14" s="127" t="s">
        <v>194</v>
      </c>
      <c r="I14" s="125">
        <v>1234</v>
      </c>
      <c r="J14" s="125"/>
    </row>
    <row r="15" spans="1:10">
      <c r="A15" s="176">
        <v>14</v>
      </c>
      <c r="B15" s="157" t="s">
        <v>128</v>
      </c>
      <c r="C15" s="128" t="s">
        <v>98</v>
      </c>
      <c r="D15" s="44">
        <v>13</v>
      </c>
      <c r="E15" s="44" t="s">
        <v>162</v>
      </c>
      <c r="F15" s="44" t="s">
        <v>165</v>
      </c>
      <c r="G15" s="126" t="s">
        <v>99</v>
      </c>
      <c r="H15" s="127" t="s">
        <v>194</v>
      </c>
      <c r="I15" s="125">
        <v>1234</v>
      </c>
      <c r="J15" s="125"/>
    </row>
    <row r="16" spans="1:10">
      <c r="A16" s="176">
        <v>15</v>
      </c>
      <c r="B16" s="157" t="s">
        <v>129</v>
      </c>
      <c r="C16" s="128" t="s">
        <v>98</v>
      </c>
      <c r="D16" s="44">
        <v>11</v>
      </c>
      <c r="E16" s="44" t="s">
        <v>170</v>
      </c>
      <c r="F16" s="44" t="s">
        <v>171</v>
      </c>
      <c r="G16" s="126" t="s">
        <v>99</v>
      </c>
      <c r="H16" s="127" t="s">
        <v>194</v>
      </c>
      <c r="I16" s="125">
        <v>1234</v>
      </c>
      <c r="J16" s="125"/>
    </row>
    <row r="17" spans="1:10">
      <c r="A17" s="176">
        <v>16</v>
      </c>
      <c r="B17" s="157" t="s">
        <v>130</v>
      </c>
      <c r="C17" s="128" t="s">
        <v>98</v>
      </c>
      <c r="D17" s="44">
        <v>15</v>
      </c>
      <c r="E17" s="44" t="s">
        <v>162</v>
      </c>
      <c r="F17" s="44" t="s">
        <v>166</v>
      </c>
      <c r="G17" s="126" t="s">
        <v>99</v>
      </c>
      <c r="H17" s="127" t="s">
        <v>194</v>
      </c>
      <c r="I17" s="125">
        <v>1234</v>
      </c>
      <c r="J17" s="125"/>
    </row>
    <row r="18" spans="1:10">
      <c r="A18" s="176">
        <v>17</v>
      </c>
      <c r="B18" s="157" t="s">
        <v>131</v>
      </c>
      <c r="C18" s="128" t="s">
        <v>98</v>
      </c>
      <c r="D18" s="44">
        <v>13</v>
      </c>
      <c r="E18" s="44" t="s">
        <v>162</v>
      </c>
      <c r="F18" s="44" t="s">
        <v>172</v>
      </c>
      <c r="G18" s="126" t="s">
        <v>99</v>
      </c>
      <c r="H18" s="127" t="s">
        <v>194</v>
      </c>
      <c r="I18" s="125">
        <v>1234</v>
      </c>
      <c r="J18" s="125"/>
    </row>
    <row r="19" spans="1:10">
      <c r="A19" s="176">
        <v>18</v>
      </c>
      <c r="B19" s="157" t="s">
        <v>132</v>
      </c>
      <c r="C19" s="128" t="s">
        <v>98</v>
      </c>
      <c r="D19" s="44">
        <v>13</v>
      </c>
      <c r="E19" s="44" t="s">
        <v>173</v>
      </c>
      <c r="F19" s="44" t="s">
        <v>174</v>
      </c>
      <c r="G19" s="126" t="s">
        <v>99</v>
      </c>
      <c r="H19" s="127" t="s">
        <v>194</v>
      </c>
      <c r="I19" s="125">
        <v>1234</v>
      </c>
      <c r="J19" s="125"/>
    </row>
    <row r="20" spans="1:10">
      <c r="A20" s="176">
        <v>19</v>
      </c>
      <c r="B20" s="157" t="s">
        <v>133</v>
      </c>
      <c r="C20" s="128" t="s">
        <v>98</v>
      </c>
      <c r="D20" s="44">
        <v>12</v>
      </c>
      <c r="E20" s="44" t="s">
        <v>162</v>
      </c>
      <c r="F20" s="44" t="s">
        <v>163</v>
      </c>
      <c r="G20" s="126" t="s">
        <v>99</v>
      </c>
      <c r="H20" s="127" t="s">
        <v>194</v>
      </c>
      <c r="I20" s="125">
        <v>1234</v>
      </c>
      <c r="J20" s="125"/>
    </row>
    <row r="21" spans="1:10">
      <c r="A21" s="176">
        <v>20</v>
      </c>
      <c r="B21" s="157" t="s">
        <v>134</v>
      </c>
      <c r="C21" s="128" t="s">
        <v>98</v>
      </c>
      <c r="D21" s="44">
        <v>13</v>
      </c>
      <c r="E21" s="44" t="s">
        <v>162</v>
      </c>
      <c r="F21" s="44" t="s">
        <v>166</v>
      </c>
      <c r="G21" s="126" t="s">
        <v>99</v>
      </c>
      <c r="H21" s="127" t="s">
        <v>194</v>
      </c>
      <c r="I21" s="125">
        <v>1234</v>
      </c>
      <c r="J21" s="125"/>
    </row>
    <row r="22" spans="1:10">
      <c r="A22" s="176">
        <v>21</v>
      </c>
      <c r="B22" s="157" t="s">
        <v>135</v>
      </c>
      <c r="C22" s="128" t="s">
        <v>98</v>
      </c>
      <c r="D22" s="44">
        <v>15</v>
      </c>
      <c r="E22" s="44" t="s">
        <v>162</v>
      </c>
      <c r="F22" s="44" t="s">
        <v>166</v>
      </c>
      <c r="G22" s="126" t="s">
        <v>99</v>
      </c>
      <c r="H22" s="127" t="s">
        <v>194</v>
      </c>
      <c r="I22" s="125">
        <v>1234</v>
      </c>
      <c r="J22" s="125"/>
    </row>
    <row r="23" spans="1:10">
      <c r="A23" s="176">
        <v>22</v>
      </c>
      <c r="B23" s="160" t="s">
        <v>136</v>
      </c>
      <c r="C23" s="128" t="s">
        <v>98</v>
      </c>
      <c r="D23" s="44">
        <v>14</v>
      </c>
      <c r="E23" s="44" t="s">
        <v>162</v>
      </c>
      <c r="F23" s="44" t="s">
        <v>165</v>
      </c>
      <c r="G23" s="126" t="s">
        <v>99</v>
      </c>
      <c r="H23" s="127" t="s">
        <v>194</v>
      </c>
      <c r="I23" s="125">
        <v>1234</v>
      </c>
      <c r="J23" s="125"/>
    </row>
    <row r="24" spans="1:10">
      <c r="A24" s="176">
        <v>23</v>
      </c>
      <c r="B24" s="161" t="s">
        <v>137</v>
      </c>
      <c r="C24" s="128" t="s">
        <v>98</v>
      </c>
      <c r="D24" s="44">
        <v>15</v>
      </c>
      <c r="E24" s="44" t="s">
        <v>162</v>
      </c>
      <c r="F24" s="44" t="s">
        <v>167</v>
      </c>
      <c r="G24" s="126" t="s">
        <v>99</v>
      </c>
      <c r="H24" s="127" t="s">
        <v>194</v>
      </c>
      <c r="I24" s="125">
        <v>1234</v>
      </c>
      <c r="J24" s="125"/>
    </row>
    <row r="25" spans="1:10">
      <c r="A25" s="176">
        <v>24</v>
      </c>
      <c r="B25" s="161" t="s">
        <v>138</v>
      </c>
      <c r="C25" s="128" t="s">
        <v>98</v>
      </c>
      <c r="D25" s="44">
        <v>13</v>
      </c>
      <c r="E25" s="44" t="s">
        <v>175</v>
      </c>
      <c r="F25" s="44" t="s">
        <v>176</v>
      </c>
      <c r="G25" s="126" t="s">
        <v>99</v>
      </c>
      <c r="H25" s="127" t="s">
        <v>194</v>
      </c>
      <c r="I25" s="125">
        <v>1234</v>
      </c>
      <c r="J25" s="125"/>
    </row>
    <row r="26" spans="1:10">
      <c r="A26" s="176">
        <v>25</v>
      </c>
      <c r="B26" s="161" t="s">
        <v>139</v>
      </c>
      <c r="C26" s="128" t="s">
        <v>98</v>
      </c>
      <c r="D26" s="44">
        <v>13</v>
      </c>
      <c r="E26" s="44" t="s">
        <v>162</v>
      </c>
      <c r="F26" s="44" t="s">
        <v>172</v>
      </c>
      <c r="G26" s="126" t="s">
        <v>99</v>
      </c>
      <c r="H26" s="127" t="s">
        <v>194</v>
      </c>
      <c r="I26" s="125">
        <v>1234</v>
      </c>
      <c r="J26" s="125"/>
    </row>
    <row r="27" spans="1:10">
      <c r="A27" s="176">
        <v>26</v>
      </c>
      <c r="B27" s="162" t="s">
        <v>140</v>
      </c>
      <c r="C27" s="128" t="s">
        <v>98</v>
      </c>
      <c r="D27" s="44">
        <v>13</v>
      </c>
      <c r="E27" s="44" t="s">
        <v>177</v>
      </c>
      <c r="F27" s="44" t="s">
        <v>178</v>
      </c>
      <c r="G27" s="126" t="s">
        <v>99</v>
      </c>
      <c r="H27" s="127" t="s">
        <v>194</v>
      </c>
      <c r="I27" s="125">
        <v>1234</v>
      </c>
      <c r="J27" s="125"/>
    </row>
    <row r="28" spans="1:10">
      <c r="A28" s="176">
        <v>27</v>
      </c>
      <c r="B28" s="161" t="s">
        <v>141</v>
      </c>
      <c r="C28" s="128" t="s">
        <v>98</v>
      </c>
      <c r="D28" s="44">
        <v>12</v>
      </c>
      <c r="E28" s="44" t="s">
        <v>162</v>
      </c>
      <c r="F28" s="44" t="s">
        <v>167</v>
      </c>
      <c r="G28" s="126" t="s">
        <v>99</v>
      </c>
      <c r="H28" s="127" t="s">
        <v>194</v>
      </c>
      <c r="I28" s="125">
        <v>1234</v>
      </c>
      <c r="J28" s="125"/>
    </row>
    <row r="29" spans="1:10">
      <c r="A29" s="176">
        <v>28</v>
      </c>
      <c r="B29" s="162" t="s">
        <v>142</v>
      </c>
      <c r="C29" s="128" t="s">
        <v>98</v>
      </c>
      <c r="D29" s="44">
        <v>13</v>
      </c>
      <c r="E29" s="44" t="s">
        <v>179</v>
      </c>
      <c r="F29" s="44" t="s">
        <v>180</v>
      </c>
      <c r="G29" s="126" t="s">
        <v>99</v>
      </c>
      <c r="H29" s="127" t="s">
        <v>194</v>
      </c>
      <c r="I29" s="125">
        <v>1234</v>
      </c>
      <c r="J29" s="125"/>
    </row>
    <row r="30" spans="1:10">
      <c r="A30" s="176">
        <v>29</v>
      </c>
      <c r="B30" s="162" t="s">
        <v>143</v>
      </c>
      <c r="C30" s="128" t="s">
        <v>98</v>
      </c>
      <c r="D30" s="44">
        <v>13</v>
      </c>
      <c r="E30" s="44" t="s">
        <v>173</v>
      </c>
      <c r="F30" s="44" t="s">
        <v>181</v>
      </c>
      <c r="G30" s="126" t="s">
        <v>99</v>
      </c>
      <c r="H30" s="127" t="s">
        <v>194</v>
      </c>
      <c r="I30" s="125">
        <v>1234</v>
      </c>
      <c r="J30" s="125"/>
    </row>
    <row r="31" spans="1:10">
      <c r="A31" s="176">
        <v>30</v>
      </c>
      <c r="B31" s="162" t="s">
        <v>144</v>
      </c>
      <c r="C31" s="128" t="s">
        <v>98</v>
      </c>
      <c r="D31" s="44">
        <v>14</v>
      </c>
      <c r="E31" s="44" t="s">
        <v>162</v>
      </c>
      <c r="F31" s="44" t="s">
        <v>182</v>
      </c>
      <c r="G31" s="126" t="s">
        <v>99</v>
      </c>
      <c r="H31" s="127" t="s">
        <v>194</v>
      </c>
      <c r="I31" s="125">
        <v>1234</v>
      </c>
      <c r="J31" s="125"/>
    </row>
    <row r="32" spans="1:10">
      <c r="A32" s="176">
        <v>31</v>
      </c>
      <c r="B32" s="161" t="s">
        <v>145</v>
      </c>
      <c r="C32" s="128" t="s">
        <v>98</v>
      </c>
      <c r="D32" s="44">
        <v>12</v>
      </c>
      <c r="E32" s="44" t="s">
        <v>183</v>
      </c>
      <c r="F32" s="44" t="s">
        <v>184</v>
      </c>
      <c r="G32" s="126" t="s">
        <v>99</v>
      </c>
      <c r="H32" s="127" t="s">
        <v>194</v>
      </c>
      <c r="I32" s="125">
        <v>1234</v>
      </c>
      <c r="J32" s="125"/>
    </row>
    <row r="33" spans="1:10">
      <c r="A33" s="176">
        <v>32</v>
      </c>
      <c r="B33" s="162" t="s">
        <v>146</v>
      </c>
      <c r="C33" s="128" t="s">
        <v>98</v>
      </c>
      <c r="D33" s="44">
        <v>13</v>
      </c>
      <c r="E33" s="44" t="s">
        <v>162</v>
      </c>
      <c r="F33" s="44" t="s">
        <v>185</v>
      </c>
      <c r="G33" s="126" t="s">
        <v>99</v>
      </c>
      <c r="H33" s="127" t="s">
        <v>194</v>
      </c>
      <c r="I33" s="125">
        <v>1234</v>
      </c>
      <c r="J33" s="125"/>
    </row>
    <row r="34" spans="1:10">
      <c r="A34" s="176">
        <v>33</v>
      </c>
      <c r="B34" s="161" t="s">
        <v>147</v>
      </c>
      <c r="C34" s="128" t="s">
        <v>98</v>
      </c>
      <c r="D34" s="44">
        <v>13</v>
      </c>
      <c r="E34" s="44" t="s">
        <v>162</v>
      </c>
      <c r="F34" s="44" t="s">
        <v>166</v>
      </c>
      <c r="G34" s="126" t="s">
        <v>99</v>
      </c>
      <c r="H34" s="127" t="s">
        <v>194</v>
      </c>
      <c r="I34" s="125">
        <v>1234</v>
      </c>
      <c r="J34" s="125"/>
    </row>
    <row r="35" spans="1:10">
      <c r="A35" s="176">
        <v>34</v>
      </c>
      <c r="B35" s="162" t="s">
        <v>148</v>
      </c>
      <c r="C35" s="128" t="s">
        <v>98</v>
      </c>
      <c r="D35" s="44">
        <v>12</v>
      </c>
      <c r="E35" s="44" t="s">
        <v>162</v>
      </c>
      <c r="F35" s="44" t="s">
        <v>185</v>
      </c>
      <c r="G35" s="126" t="s">
        <v>99</v>
      </c>
      <c r="H35" s="127" t="s">
        <v>194</v>
      </c>
      <c r="I35" s="125">
        <v>1234</v>
      </c>
      <c r="J35" s="125"/>
    </row>
    <row r="36" spans="1:10">
      <c r="A36" s="176">
        <v>35</v>
      </c>
      <c r="B36" s="161" t="s">
        <v>149</v>
      </c>
      <c r="C36" s="128" t="s">
        <v>98</v>
      </c>
      <c r="D36" s="44">
        <v>14</v>
      </c>
      <c r="E36" s="44" t="s">
        <v>162</v>
      </c>
      <c r="F36" s="44" t="s">
        <v>165</v>
      </c>
      <c r="G36" s="126" t="s">
        <v>99</v>
      </c>
      <c r="H36" s="127" t="s">
        <v>194</v>
      </c>
      <c r="I36" s="125">
        <v>1234</v>
      </c>
      <c r="J36" s="125"/>
    </row>
    <row r="37" spans="1:10">
      <c r="A37" s="176">
        <v>36</v>
      </c>
      <c r="B37" s="162" t="s">
        <v>150</v>
      </c>
      <c r="C37" s="128" t="s">
        <v>98</v>
      </c>
      <c r="D37" s="44">
        <v>13</v>
      </c>
      <c r="E37" s="44" t="s">
        <v>162</v>
      </c>
      <c r="F37" s="44" t="s">
        <v>165</v>
      </c>
      <c r="G37" s="126" t="s">
        <v>99</v>
      </c>
      <c r="H37" s="127" t="s">
        <v>194</v>
      </c>
      <c r="I37" s="125">
        <v>1234</v>
      </c>
      <c r="J37" s="125"/>
    </row>
    <row r="38" spans="1:10">
      <c r="A38" s="176">
        <v>37</v>
      </c>
      <c r="B38" s="161" t="s">
        <v>151</v>
      </c>
      <c r="C38" s="128" t="s">
        <v>98</v>
      </c>
      <c r="D38" s="44">
        <v>13</v>
      </c>
      <c r="E38" s="44" t="s">
        <v>162</v>
      </c>
      <c r="F38" s="44" t="s">
        <v>186</v>
      </c>
      <c r="G38" s="126" t="s">
        <v>99</v>
      </c>
      <c r="H38" s="127" t="s">
        <v>194</v>
      </c>
      <c r="I38" s="125">
        <v>1234</v>
      </c>
      <c r="J38" s="125"/>
    </row>
    <row r="39" spans="1:10">
      <c r="A39" s="176">
        <v>38</v>
      </c>
      <c r="B39" s="162" t="s">
        <v>152</v>
      </c>
      <c r="C39" s="128" t="s">
        <v>98</v>
      </c>
      <c r="D39" s="44">
        <v>12</v>
      </c>
      <c r="E39" s="44" t="s">
        <v>162</v>
      </c>
      <c r="F39" s="44" t="s">
        <v>182</v>
      </c>
      <c r="G39" s="126" t="s">
        <v>99</v>
      </c>
      <c r="H39" s="127" t="s">
        <v>194</v>
      </c>
      <c r="I39" s="125">
        <v>1234</v>
      </c>
      <c r="J39" s="125"/>
    </row>
    <row r="40" spans="1:10">
      <c r="A40" s="176">
        <v>39</v>
      </c>
      <c r="B40" s="161" t="s">
        <v>153</v>
      </c>
      <c r="C40" s="128" t="s">
        <v>98</v>
      </c>
      <c r="D40" s="44">
        <v>12</v>
      </c>
      <c r="E40" s="44" t="s">
        <v>162</v>
      </c>
      <c r="F40" s="44" t="s">
        <v>166</v>
      </c>
      <c r="G40" s="126" t="s">
        <v>99</v>
      </c>
      <c r="H40" s="127" t="s">
        <v>194</v>
      </c>
      <c r="I40" s="125">
        <v>1234</v>
      </c>
      <c r="J40" s="125"/>
    </row>
    <row r="41" spans="1:10">
      <c r="A41" s="176">
        <v>40</v>
      </c>
      <c r="B41" s="163" t="s">
        <v>154</v>
      </c>
      <c r="C41" s="128" t="s">
        <v>98</v>
      </c>
      <c r="D41" s="44">
        <v>13</v>
      </c>
      <c r="E41" s="44" t="s">
        <v>162</v>
      </c>
      <c r="F41" s="44" t="s">
        <v>163</v>
      </c>
      <c r="G41" s="126" t="s">
        <v>99</v>
      </c>
      <c r="H41" s="127" t="s">
        <v>194</v>
      </c>
      <c r="I41" s="125">
        <v>1234</v>
      </c>
      <c r="J41" s="125"/>
    </row>
    <row r="42" spans="1:10">
      <c r="A42" s="176">
        <v>41</v>
      </c>
      <c r="B42" s="164" t="s">
        <v>155</v>
      </c>
      <c r="C42" s="128" t="s">
        <v>98</v>
      </c>
      <c r="D42" s="44">
        <v>13</v>
      </c>
      <c r="E42" s="44" t="s">
        <v>162</v>
      </c>
      <c r="F42" s="44" t="s">
        <v>163</v>
      </c>
      <c r="G42" s="126" t="s">
        <v>99</v>
      </c>
      <c r="H42" s="127" t="s">
        <v>194</v>
      </c>
      <c r="I42" s="125">
        <v>1234</v>
      </c>
      <c r="J42" s="125"/>
    </row>
    <row r="43" spans="1:10">
      <c r="A43" s="176">
        <v>42</v>
      </c>
      <c r="B43" s="163" t="s">
        <v>156</v>
      </c>
      <c r="C43" s="128" t="s">
        <v>98</v>
      </c>
      <c r="D43" s="44">
        <v>13</v>
      </c>
      <c r="E43" s="44" t="s">
        <v>162</v>
      </c>
      <c r="F43" s="44" t="s">
        <v>187</v>
      </c>
      <c r="G43" s="126" t="s">
        <v>99</v>
      </c>
      <c r="H43" s="127" t="s">
        <v>194</v>
      </c>
      <c r="I43" s="125">
        <v>1234</v>
      </c>
      <c r="J43" s="125"/>
    </row>
    <row r="44" spans="1:10">
      <c r="A44" s="176">
        <v>43</v>
      </c>
      <c r="B44" s="164" t="s">
        <v>157</v>
      </c>
      <c r="C44" s="128" t="s">
        <v>98</v>
      </c>
      <c r="D44" s="44">
        <v>14</v>
      </c>
      <c r="E44" s="44" t="s">
        <v>162</v>
      </c>
      <c r="F44" s="44" t="s">
        <v>169</v>
      </c>
      <c r="G44" s="126" t="s">
        <v>99</v>
      </c>
      <c r="H44" s="127" t="s">
        <v>194</v>
      </c>
      <c r="I44" s="125">
        <v>1234</v>
      </c>
      <c r="J44" s="125"/>
    </row>
    <row r="45" spans="1:10">
      <c r="A45" s="176">
        <v>44</v>
      </c>
      <c r="B45" s="164" t="s">
        <v>158</v>
      </c>
      <c r="C45" s="128" t="s">
        <v>98</v>
      </c>
      <c r="D45" s="44">
        <v>14</v>
      </c>
      <c r="E45" s="44" t="s">
        <v>188</v>
      </c>
      <c r="F45" s="44" t="s">
        <v>189</v>
      </c>
      <c r="G45" s="126" t="s">
        <v>99</v>
      </c>
      <c r="H45" s="127" t="s">
        <v>194</v>
      </c>
      <c r="I45" s="125">
        <v>1234</v>
      </c>
      <c r="J45" s="125"/>
    </row>
    <row r="46" spans="1:10">
      <c r="A46" s="176">
        <v>45</v>
      </c>
      <c r="B46" s="164" t="s">
        <v>159</v>
      </c>
      <c r="C46" s="126" t="s">
        <v>98</v>
      </c>
      <c r="D46" s="126">
        <v>13</v>
      </c>
      <c r="E46" s="126" t="s">
        <v>190</v>
      </c>
      <c r="F46" s="126" t="s">
        <v>191</v>
      </c>
      <c r="G46" s="126" t="s">
        <v>192</v>
      </c>
      <c r="H46" s="127" t="s">
        <v>194</v>
      </c>
      <c r="I46" s="125">
        <v>1234</v>
      </c>
      <c r="J46" s="125"/>
    </row>
    <row r="47" spans="1:10">
      <c r="A47" s="176">
        <v>46</v>
      </c>
      <c r="B47" s="164" t="s">
        <v>160</v>
      </c>
      <c r="C47" s="126" t="s">
        <v>98</v>
      </c>
      <c r="D47" s="126">
        <v>14</v>
      </c>
      <c r="E47" s="126" t="s">
        <v>162</v>
      </c>
      <c r="F47" s="126" t="s">
        <v>163</v>
      </c>
      <c r="G47" s="126" t="s">
        <v>99</v>
      </c>
      <c r="H47" s="127" t="s">
        <v>194</v>
      </c>
      <c r="I47" s="125">
        <v>1234</v>
      </c>
      <c r="J47" s="125"/>
    </row>
    <row r="48" spans="1:10">
      <c r="A48" s="176">
        <v>47</v>
      </c>
      <c r="B48" s="164" t="s">
        <v>161</v>
      </c>
      <c r="C48" s="126" t="s">
        <v>98</v>
      </c>
      <c r="D48" s="126">
        <v>14</v>
      </c>
      <c r="E48" s="126" t="s">
        <v>162</v>
      </c>
      <c r="F48" s="126" t="s">
        <v>166</v>
      </c>
      <c r="G48" s="126" t="s">
        <v>99</v>
      </c>
      <c r="H48" s="127" t="s">
        <v>194</v>
      </c>
      <c r="I48" s="125">
        <v>1234</v>
      </c>
      <c r="J48" s="125"/>
    </row>
    <row r="49" spans="1:10">
      <c r="A49">
        <v>48</v>
      </c>
      <c r="B49" s="164"/>
      <c r="C49" s="126"/>
      <c r="D49" s="126"/>
      <c r="E49" s="126"/>
      <c r="F49" s="126"/>
      <c r="G49" s="126"/>
      <c r="H49" s="127"/>
      <c r="I49" s="127"/>
      <c r="J49" s="125"/>
    </row>
    <row r="50" spans="1:10">
      <c r="A50">
        <v>49</v>
      </c>
      <c r="B50" s="164"/>
      <c r="C50" s="126"/>
      <c r="D50" s="126"/>
      <c r="E50" s="126"/>
      <c r="F50" s="126"/>
      <c r="G50" s="126"/>
      <c r="H50" s="127"/>
      <c r="I50" s="127"/>
      <c r="J50" s="125"/>
    </row>
    <row r="51" spans="1:10">
      <c r="A51">
        <v>50</v>
      </c>
      <c r="B51" s="164"/>
      <c r="C51" s="126"/>
      <c r="D51" s="126"/>
      <c r="E51" s="126"/>
      <c r="F51" s="126"/>
      <c r="G51" s="126"/>
      <c r="H51" s="127"/>
      <c r="I51" s="127"/>
      <c r="J51" s="125"/>
    </row>
    <row r="52" spans="1:10">
      <c r="B52" s="156"/>
      <c r="C52" s="11"/>
    </row>
    <row r="53" spans="1:10">
      <c r="B53" s="156"/>
    </row>
    <row r="54" spans="1:10">
      <c r="B54" s="156"/>
    </row>
    <row r="55" spans="1:10">
      <c r="B55" s="156"/>
    </row>
  </sheetData>
  <phoneticPr fontId="10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B15" sqref="B15"/>
    </sheetView>
  </sheetViews>
  <sheetFormatPr defaultColWidth="9" defaultRowHeight="15"/>
  <cols>
    <col min="1" max="1" width="21" style="175" customWidth="1"/>
    <col min="2" max="2" width="41.85546875" customWidth="1"/>
    <col min="3" max="3" width="22.42578125" customWidth="1"/>
  </cols>
  <sheetData>
    <row r="1" spans="1:5">
      <c r="A1" s="176" t="s">
        <v>193</v>
      </c>
      <c r="B1" s="15" t="s">
        <v>19</v>
      </c>
      <c r="C1" s="15" t="s">
        <v>20</v>
      </c>
      <c r="D1" s="15"/>
      <c r="E1" s="15"/>
    </row>
    <row r="2" spans="1:5">
      <c r="A2" s="176">
        <v>1</v>
      </c>
      <c r="B2" s="128" t="s">
        <v>100</v>
      </c>
      <c r="C2" s="3" t="s">
        <v>21</v>
      </c>
    </row>
    <row r="3" spans="1:5">
      <c r="A3" s="176">
        <v>2</v>
      </c>
      <c r="B3" s="129" t="s">
        <v>85</v>
      </c>
      <c r="C3" s="3" t="s">
        <v>22</v>
      </c>
    </row>
    <row r="4" spans="1:5">
      <c r="A4" s="176">
        <v>3</v>
      </c>
      <c r="B4" s="128" t="s">
        <v>101</v>
      </c>
      <c r="C4" s="3" t="s">
        <v>22</v>
      </c>
    </row>
    <row r="5" spans="1:5">
      <c r="A5" s="176">
        <v>4</v>
      </c>
      <c r="B5" s="128" t="s">
        <v>100</v>
      </c>
      <c r="C5" s="3" t="s">
        <v>22</v>
      </c>
    </row>
    <row r="6" spans="1:5">
      <c r="A6" s="176">
        <v>5</v>
      </c>
      <c r="B6" s="129" t="s">
        <v>85</v>
      </c>
      <c r="C6" s="3" t="s">
        <v>22</v>
      </c>
    </row>
    <row r="7" spans="1:5">
      <c r="A7" s="176">
        <v>6</v>
      </c>
      <c r="B7" s="129" t="s">
        <v>85</v>
      </c>
      <c r="C7" s="3" t="s">
        <v>22</v>
      </c>
    </row>
    <row r="8" spans="1:5">
      <c r="A8" s="176">
        <v>7</v>
      </c>
      <c r="B8" s="128" t="s">
        <v>100</v>
      </c>
      <c r="C8" s="3" t="s">
        <v>22</v>
      </c>
    </row>
    <row r="9" spans="1:5">
      <c r="A9" s="176">
        <v>8</v>
      </c>
      <c r="B9" s="128" t="s">
        <v>102</v>
      </c>
      <c r="C9" s="3" t="s">
        <v>22</v>
      </c>
    </row>
    <row r="10" spans="1:5">
      <c r="A10" s="176">
        <v>9</v>
      </c>
      <c r="B10" s="129" t="s">
        <v>85</v>
      </c>
      <c r="C10" s="3" t="s">
        <v>22</v>
      </c>
    </row>
    <row r="11" spans="1:5">
      <c r="A11" s="176">
        <v>10</v>
      </c>
      <c r="B11" s="128" t="s">
        <v>103</v>
      </c>
      <c r="C11" s="3" t="s">
        <v>22</v>
      </c>
    </row>
    <row r="12" spans="1:5">
      <c r="A12" s="176">
        <v>11</v>
      </c>
      <c r="B12" s="128" t="s">
        <v>100</v>
      </c>
      <c r="C12" s="3" t="s">
        <v>104</v>
      </c>
    </row>
    <row r="13" spans="1:5">
      <c r="A13" s="176">
        <v>12</v>
      </c>
      <c r="B13" s="129" t="s">
        <v>85</v>
      </c>
      <c r="C13" s="3" t="s">
        <v>22</v>
      </c>
    </row>
    <row r="14" spans="1:5">
      <c r="A14" s="176">
        <v>13</v>
      </c>
      <c r="B14" s="128" t="s">
        <v>105</v>
      </c>
      <c r="C14" s="3" t="s">
        <v>22</v>
      </c>
    </row>
    <row r="15" spans="1:5">
      <c r="A15" s="176">
        <v>14</v>
      </c>
      <c r="B15" s="128" t="s">
        <v>103</v>
      </c>
      <c r="C15" s="3" t="s">
        <v>22</v>
      </c>
    </row>
    <row r="16" spans="1:5">
      <c r="A16" s="176">
        <v>15</v>
      </c>
      <c r="B16" s="129" t="s">
        <v>85</v>
      </c>
      <c r="C16" s="3" t="s">
        <v>22</v>
      </c>
    </row>
    <row r="17" spans="1:3">
      <c r="A17" s="176">
        <v>16</v>
      </c>
      <c r="B17" s="128" t="s">
        <v>106</v>
      </c>
      <c r="C17" s="3" t="s">
        <v>22</v>
      </c>
    </row>
    <row r="18" spans="1:3">
      <c r="A18" s="176">
        <v>17</v>
      </c>
      <c r="B18" s="129" t="s">
        <v>85</v>
      </c>
      <c r="C18" s="3" t="s">
        <v>22</v>
      </c>
    </row>
    <row r="19" spans="1:3">
      <c r="A19" s="176">
        <v>18</v>
      </c>
      <c r="B19" s="129" t="s">
        <v>85</v>
      </c>
      <c r="C19" s="3" t="s">
        <v>22</v>
      </c>
    </row>
    <row r="20" spans="1:3">
      <c r="A20" s="176">
        <v>19</v>
      </c>
      <c r="B20" s="128" t="s">
        <v>107</v>
      </c>
      <c r="C20" s="3" t="s">
        <v>22</v>
      </c>
    </row>
    <row r="21" spans="1:3">
      <c r="A21" s="176">
        <v>20</v>
      </c>
      <c r="B21" s="129" t="s">
        <v>85</v>
      </c>
      <c r="C21" s="3" t="s">
        <v>22</v>
      </c>
    </row>
    <row r="22" spans="1:3">
      <c r="A22" s="176">
        <v>21</v>
      </c>
      <c r="B22" s="129" t="s">
        <v>85</v>
      </c>
      <c r="C22" s="3" t="s">
        <v>22</v>
      </c>
    </row>
    <row r="23" spans="1:3">
      <c r="A23" s="176">
        <v>22</v>
      </c>
      <c r="B23" s="128" t="s">
        <v>108</v>
      </c>
      <c r="C23" s="3" t="s">
        <v>22</v>
      </c>
    </row>
    <row r="24" spans="1:3">
      <c r="A24" s="176">
        <v>23</v>
      </c>
      <c r="B24" s="129" t="s">
        <v>85</v>
      </c>
      <c r="C24" s="3" t="s">
        <v>22</v>
      </c>
    </row>
    <row r="25" spans="1:3">
      <c r="A25" s="176">
        <v>24</v>
      </c>
      <c r="B25" s="129" t="s">
        <v>85</v>
      </c>
      <c r="C25" s="3" t="s">
        <v>22</v>
      </c>
    </row>
    <row r="26" spans="1:3">
      <c r="A26" s="176">
        <v>25</v>
      </c>
      <c r="B26" s="129" t="s">
        <v>85</v>
      </c>
      <c r="C26" s="3" t="s">
        <v>22</v>
      </c>
    </row>
    <row r="27" spans="1:3">
      <c r="A27" s="176">
        <v>26</v>
      </c>
      <c r="B27" s="128" t="s">
        <v>102</v>
      </c>
      <c r="C27" s="3" t="s">
        <v>22</v>
      </c>
    </row>
    <row r="28" spans="1:3">
      <c r="A28" s="176">
        <v>27</v>
      </c>
      <c r="B28" s="129" t="s">
        <v>85</v>
      </c>
      <c r="C28" s="3" t="s">
        <v>22</v>
      </c>
    </row>
    <row r="29" spans="1:3">
      <c r="A29" s="176">
        <v>28</v>
      </c>
      <c r="B29" s="128" t="s">
        <v>109</v>
      </c>
      <c r="C29" s="3" t="s">
        <v>22</v>
      </c>
    </row>
    <row r="30" spans="1:3">
      <c r="A30" s="176">
        <v>29</v>
      </c>
      <c r="B30" s="129" t="s">
        <v>85</v>
      </c>
      <c r="C30" s="3" t="s">
        <v>22</v>
      </c>
    </row>
    <row r="31" spans="1:3">
      <c r="A31" s="176">
        <v>30</v>
      </c>
      <c r="B31" s="128" t="s">
        <v>110</v>
      </c>
      <c r="C31" s="3" t="s">
        <v>22</v>
      </c>
    </row>
    <row r="32" spans="1:3">
      <c r="A32" s="176">
        <v>31</v>
      </c>
      <c r="B32" s="129" t="s">
        <v>85</v>
      </c>
      <c r="C32" s="3" t="s">
        <v>22</v>
      </c>
    </row>
    <row r="33" spans="1:3">
      <c r="A33" s="176">
        <v>32</v>
      </c>
      <c r="B33" s="128" t="s">
        <v>111</v>
      </c>
      <c r="C33" s="3" t="s">
        <v>22</v>
      </c>
    </row>
    <row r="34" spans="1:3">
      <c r="A34" s="176">
        <v>33</v>
      </c>
      <c r="B34" s="128" t="s">
        <v>100</v>
      </c>
      <c r="C34" s="3" t="s">
        <v>22</v>
      </c>
    </row>
    <row r="35" spans="1:3">
      <c r="A35" s="176">
        <v>34</v>
      </c>
      <c r="B35" s="128" t="s">
        <v>112</v>
      </c>
      <c r="C35" s="3" t="s">
        <v>22</v>
      </c>
    </row>
    <row r="36" spans="1:3">
      <c r="A36" s="176">
        <v>35</v>
      </c>
      <c r="B36" s="129" t="s">
        <v>85</v>
      </c>
      <c r="C36" s="3" t="s">
        <v>22</v>
      </c>
    </row>
    <row r="37" spans="1:3">
      <c r="A37" s="176">
        <v>36</v>
      </c>
      <c r="B37" s="128" t="s">
        <v>113</v>
      </c>
      <c r="C37" s="3" t="s">
        <v>22</v>
      </c>
    </row>
    <row r="38" spans="1:3">
      <c r="A38" s="176">
        <v>37</v>
      </c>
      <c r="B38" s="129" t="s">
        <v>85</v>
      </c>
      <c r="C38" s="3" t="s">
        <v>22</v>
      </c>
    </row>
    <row r="39" spans="1:3">
      <c r="A39" s="176">
        <v>38</v>
      </c>
      <c r="B39" s="128" t="s">
        <v>100</v>
      </c>
      <c r="C39" s="3" t="s">
        <v>22</v>
      </c>
    </row>
    <row r="40" spans="1:3">
      <c r="A40" s="176">
        <v>39</v>
      </c>
      <c r="B40" s="129" t="s">
        <v>85</v>
      </c>
      <c r="C40" s="3" t="s">
        <v>22</v>
      </c>
    </row>
    <row r="41" spans="1:3">
      <c r="A41" s="176">
        <v>40</v>
      </c>
      <c r="B41" s="129" t="s">
        <v>85</v>
      </c>
      <c r="C41" s="3" t="s">
        <v>22</v>
      </c>
    </row>
    <row r="42" spans="1:3">
      <c r="A42" s="176">
        <v>41</v>
      </c>
      <c r="B42" s="128" t="s">
        <v>102</v>
      </c>
      <c r="C42" s="3" t="s">
        <v>21</v>
      </c>
    </row>
    <row r="43" spans="1:3">
      <c r="A43" s="176">
        <v>42</v>
      </c>
      <c r="B43" s="129" t="s">
        <v>85</v>
      </c>
      <c r="C43" s="3" t="s">
        <v>22</v>
      </c>
    </row>
    <row r="44" spans="1:3">
      <c r="A44" s="176">
        <v>43</v>
      </c>
      <c r="B44" s="128" t="s">
        <v>110</v>
      </c>
      <c r="C44" s="3" t="s">
        <v>22</v>
      </c>
    </row>
    <row r="45" spans="1:3">
      <c r="A45" s="176">
        <v>44</v>
      </c>
      <c r="B45" s="129" t="s">
        <v>85</v>
      </c>
      <c r="C45" s="3" t="s">
        <v>22</v>
      </c>
    </row>
    <row r="46" spans="1:3">
      <c r="A46" s="176">
        <v>45</v>
      </c>
      <c r="B46" s="129" t="s">
        <v>85</v>
      </c>
      <c r="C46" s="3" t="s">
        <v>22</v>
      </c>
    </row>
    <row r="47" spans="1:3">
      <c r="A47" s="176">
        <v>46</v>
      </c>
      <c r="B47" s="129" t="s">
        <v>85</v>
      </c>
      <c r="C47" s="3" t="s">
        <v>22</v>
      </c>
    </row>
    <row r="48" spans="1:3">
      <c r="A48" s="176">
        <v>47</v>
      </c>
      <c r="B48" s="129" t="s">
        <v>85</v>
      </c>
      <c r="C48" s="3" t="s">
        <v>22</v>
      </c>
    </row>
    <row r="49" spans="1:3">
      <c r="A49" s="175">
        <v>48</v>
      </c>
      <c r="B49" s="129" t="s">
        <v>85</v>
      </c>
      <c r="C49" s="3" t="s">
        <v>22</v>
      </c>
    </row>
    <row r="50" spans="1:3">
      <c r="A50" s="175">
        <v>49</v>
      </c>
      <c r="B50" s="129" t="s">
        <v>85</v>
      </c>
      <c r="C50" s="3" t="s">
        <v>22</v>
      </c>
    </row>
    <row r="51" spans="1:3">
      <c r="A51" s="175">
        <v>50</v>
      </c>
      <c r="B51" s="129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8"/>
    </sheetView>
  </sheetViews>
  <sheetFormatPr defaultColWidth="9" defaultRowHeight="15"/>
  <cols>
    <col min="1" max="1" width="21" style="1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76" t="s">
        <v>193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179" t="s">
        <v>30</v>
      </c>
    </row>
    <row r="2" spans="1:9">
      <c r="A2" s="176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3</v>
      </c>
      <c r="H2" s="3">
        <v>2</v>
      </c>
      <c r="I2" s="179">
        <v>4</v>
      </c>
    </row>
    <row r="3" spans="1:9">
      <c r="A3" s="176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179">
        <v>4</v>
      </c>
    </row>
    <row r="4" spans="1:9">
      <c r="A4" s="176">
        <v>3</v>
      </c>
      <c r="B4" s="3">
        <v>2</v>
      </c>
      <c r="C4" s="3">
        <v>4</v>
      </c>
      <c r="D4" s="3">
        <v>3</v>
      </c>
      <c r="E4" s="3">
        <v>3</v>
      </c>
      <c r="F4" s="3">
        <v>2</v>
      </c>
      <c r="G4" s="3">
        <v>3</v>
      </c>
      <c r="H4" s="3">
        <v>2</v>
      </c>
      <c r="I4" s="179">
        <v>4</v>
      </c>
    </row>
    <row r="5" spans="1:9">
      <c r="A5" s="176">
        <v>4</v>
      </c>
      <c r="B5" s="3">
        <v>4</v>
      </c>
      <c r="C5" s="3">
        <v>5</v>
      </c>
      <c r="D5" s="3">
        <v>3</v>
      </c>
      <c r="E5" s="3">
        <v>3</v>
      </c>
      <c r="F5" s="3">
        <v>2</v>
      </c>
      <c r="G5" s="3">
        <v>4</v>
      </c>
      <c r="H5" s="3">
        <v>2</v>
      </c>
      <c r="I5" s="179">
        <v>4</v>
      </c>
    </row>
    <row r="6" spans="1:9">
      <c r="A6" s="176">
        <v>5</v>
      </c>
      <c r="B6" s="3">
        <v>3</v>
      </c>
      <c r="C6" s="3">
        <v>3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179">
        <v>4</v>
      </c>
    </row>
    <row r="7" spans="1:9">
      <c r="A7" s="176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179">
        <v>4</v>
      </c>
    </row>
    <row r="8" spans="1:9">
      <c r="A8" s="176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179">
        <v>4</v>
      </c>
    </row>
    <row r="9" spans="1:9">
      <c r="A9" s="176">
        <v>8</v>
      </c>
      <c r="B9" s="3">
        <v>2</v>
      </c>
      <c r="C9" s="3">
        <v>3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179">
        <v>4</v>
      </c>
    </row>
    <row r="10" spans="1:9">
      <c r="A10" s="176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3</v>
      </c>
      <c r="H10" s="3">
        <v>2</v>
      </c>
      <c r="I10" s="179">
        <v>4</v>
      </c>
    </row>
    <row r="11" spans="1:9">
      <c r="A11" s="176">
        <v>10</v>
      </c>
      <c r="B11" s="3">
        <v>3</v>
      </c>
      <c r="C11" s="3">
        <v>5</v>
      </c>
      <c r="D11" s="3">
        <v>3</v>
      </c>
      <c r="E11" s="3">
        <v>3</v>
      </c>
      <c r="F11" s="3">
        <v>2</v>
      </c>
      <c r="G11" s="3">
        <v>3</v>
      </c>
      <c r="H11" s="3">
        <v>2</v>
      </c>
      <c r="I11" s="179">
        <v>4</v>
      </c>
    </row>
    <row r="12" spans="1:9">
      <c r="A12" s="176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179">
        <v>4</v>
      </c>
    </row>
    <row r="13" spans="1:9">
      <c r="A13" s="176">
        <v>12</v>
      </c>
      <c r="B13" s="3">
        <v>3</v>
      </c>
      <c r="C13" s="3">
        <v>4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179">
        <v>4</v>
      </c>
    </row>
    <row r="14" spans="1:9">
      <c r="A14" s="176">
        <v>13</v>
      </c>
      <c r="B14" s="3">
        <v>4</v>
      </c>
      <c r="C14" s="3">
        <v>5</v>
      </c>
      <c r="D14" s="3">
        <v>3</v>
      </c>
      <c r="E14" s="3">
        <v>3</v>
      </c>
      <c r="F14" s="3">
        <v>2</v>
      </c>
      <c r="G14" s="3">
        <v>4</v>
      </c>
      <c r="H14" s="3">
        <v>2</v>
      </c>
      <c r="I14" s="179">
        <v>4</v>
      </c>
    </row>
    <row r="15" spans="1:9">
      <c r="A15" s="176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179">
        <v>4</v>
      </c>
    </row>
    <row r="16" spans="1:9">
      <c r="A16" s="176">
        <v>15</v>
      </c>
      <c r="B16" s="3">
        <v>4</v>
      </c>
      <c r="C16" s="3">
        <v>4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179">
        <v>4</v>
      </c>
    </row>
    <row r="17" spans="1:9">
      <c r="A17" s="176">
        <v>16</v>
      </c>
      <c r="B17" s="3">
        <v>4</v>
      </c>
      <c r="C17" s="3">
        <v>5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179">
        <v>4</v>
      </c>
    </row>
    <row r="18" spans="1:9">
      <c r="A18" s="176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179">
        <v>4</v>
      </c>
    </row>
    <row r="19" spans="1:9">
      <c r="A19" s="176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179">
        <v>4</v>
      </c>
    </row>
    <row r="20" spans="1:9">
      <c r="A20" s="176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79">
        <v>4</v>
      </c>
    </row>
    <row r="21" spans="1:9">
      <c r="A21" s="176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179">
        <v>4</v>
      </c>
    </row>
    <row r="22" spans="1:9">
      <c r="A22" s="176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179">
        <v>4</v>
      </c>
    </row>
    <row r="23" spans="1:9">
      <c r="A23" s="176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179">
        <v>4</v>
      </c>
    </row>
    <row r="24" spans="1:9">
      <c r="A24" s="176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179">
        <v>4</v>
      </c>
    </row>
    <row r="25" spans="1:9">
      <c r="A25" s="176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179">
        <v>4</v>
      </c>
    </row>
    <row r="26" spans="1:9">
      <c r="A26" s="176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179">
        <v>4</v>
      </c>
    </row>
    <row r="27" spans="1:9">
      <c r="A27" s="176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179">
        <v>4</v>
      </c>
    </row>
    <row r="28" spans="1:9">
      <c r="A28" s="176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179">
        <v>4</v>
      </c>
    </row>
    <row r="29" spans="1:9">
      <c r="A29" s="176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179">
        <v>4</v>
      </c>
    </row>
    <row r="30" spans="1:9">
      <c r="A30" s="176">
        <v>29</v>
      </c>
      <c r="B30" s="3">
        <v>3</v>
      </c>
      <c r="C30" s="3">
        <v>4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179">
        <v>4</v>
      </c>
    </row>
    <row r="31" spans="1:9">
      <c r="A31" s="176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179">
        <v>4</v>
      </c>
    </row>
    <row r="32" spans="1:9">
      <c r="A32" s="176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179">
        <v>4</v>
      </c>
    </row>
    <row r="33" spans="1:9">
      <c r="A33" s="176">
        <v>32</v>
      </c>
      <c r="B33" s="3">
        <v>4</v>
      </c>
      <c r="C33" s="3">
        <v>5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179">
        <v>4</v>
      </c>
    </row>
    <row r="34" spans="1:9">
      <c r="A34" s="176">
        <v>33</v>
      </c>
      <c r="B34" s="3">
        <v>3</v>
      </c>
      <c r="C34" s="3">
        <v>4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179">
        <v>4</v>
      </c>
    </row>
    <row r="35" spans="1:9">
      <c r="A35" s="176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179">
        <v>4</v>
      </c>
    </row>
    <row r="36" spans="1:9">
      <c r="A36" s="176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179">
        <v>4</v>
      </c>
    </row>
    <row r="37" spans="1:9">
      <c r="A37" s="176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179">
        <v>4</v>
      </c>
    </row>
    <row r="38" spans="1:9">
      <c r="A38" s="176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179">
        <v>4</v>
      </c>
    </row>
    <row r="39" spans="1:9">
      <c r="A39" s="176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179">
        <v>4</v>
      </c>
    </row>
    <row r="40" spans="1:9">
      <c r="A40" s="176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179">
        <v>4</v>
      </c>
    </row>
    <row r="41" spans="1:9">
      <c r="A41" s="176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179">
        <v>4</v>
      </c>
    </row>
    <row r="42" spans="1:9">
      <c r="A42" s="176">
        <v>41</v>
      </c>
      <c r="B42" s="3">
        <v>4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179">
        <v>4</v>
      </c>
    </row>
    <row r="43" spans="1:9">
      <c r="A43" s="176">
        <v>42</v>
      </c>
      <c r="B43" s="3">
        <v>4</v>
      </c>
      <c r="C43" s="3">
        <v>5</v>
      </c>
      <c r="D43" s="3">
        <v>3</v>
      </c>
      <c r="E43" s="3">
        <v>3</v>
      </c>
      <c r="F43" s="3">
        <v>2</v>
      </c>
      <c r="G43" s="3">
        <v>4</v>
      </c>
      <c r="H43" s="3">
        <v>2</v>
      </c>
      <c r="I43" s="179">
        <v>4</v>
      </c>
    </row>
    <row r="44" spans="1:9">
      <c r="A44" s="176">
        <v>43</v>
      </c>
      <c r="B44" s="3">
        <v>4</v>
      </c>
      <c r="C44" s="3">
        <v>5</v>
      </c>
      <c r="D44" s="3">
        <v>3</v>
      </c>
      <c r="E44" s="3">
        <v>3</v>
      </c>
      <c r="F44" s="3">
        <v>2</v>
      </c>
      <c r="G44" s="3">
        <v>4</v>
      </c>
      <c r="H44" s="3">
        <v>2</v>
      </c>
      <c r="I44" s="179">
        <v>4</v>
      </c>
    </row>
    <row r="45" spans="1:9">
      <c r="A45" s="176">
        <v>44</v>
      </c>
      <c r="B45" s="3">
        <v>4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179">
        <v>4</v>
      </c>
    </row>
    <row r="46" spans="1:9">
      <c r="A46" s="176">
        <v>45</v>
      </c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179">
        <v>4</v>
      </c>
    </row>
    <row r="47" spans="1:9">
      <c r="A47" s="176">
        <v>46</v>
      </c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179">
        <v>4</v>
      </c>
    </row>
    <row r="48" spans="1:9">
      <c r="A48" s="176">
        <v>47</v>
      </c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179">
        <v>4</v>
      </c>
    </row>
    <row r="49" spans="1:9">
      <c r="A49" s="175">
        <v>48</v>
      </c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179">
        <v>4</v>
      </c>
    </row>
    <row r="50" spans="1:9">
      <c r="A50" s="175">
        <v>49</v>
      </c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179">
        <v>4</v>
      </c>
    </row>
    <row r="51" spans="1:9">
      <c r="A51" s="175">
        <v>50</v>
      </c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179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8"/>
    </sheetView>
  </sheetViews>
  <sheetFormatPr defaultColWidth="9" defaultRowHeight="15"/>
  <cols>
    <col min="1" max="1" width="21" style="175" customWidth="1"/>
    <col min="2" max="3" width="12.7109375" customWidth="1"/>
  </cols>
  <sheetData>
    <row r="1" spans="1:6">
      <c r="A1" s="176" t="s">
        <v>193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76">
        <v>1</v>
      </c>
      <c r="B2" s="41">
        <v>3</v>
      </c>
      <c r="C2" s="41">
        <v>3</v>
      </c>
      <c r="D2" s="41">
        <v>3</v>
      </c>
      <c r="E2" s="41">
        <v>5</v>
      </c>
      <c r="F2" s="41">
        <v>3</v>
      </c>
    </row>
    <row r="3" spans="1:6">
      <c r="A3" s="176">
        <v>2</v>
      </c>
      <c r="B3" s="41">
        <v>4</v>
      </c>
      <c r="C3" s="41">
        <v>3</v>
      </c>
      <c r="D3" s="41">
        <v>3</v>
      </c>
      <c r="E3" s="41">
        <v>5</v>
      </c>
      <c r="F3" s="41">
        <v>2</v>
      </c>
    </row>
    <row r="4" spans="1:6">
      <c r="A4" s="176">
        <v>3</v>
      </c>
      <c r="B4" s="41">
        <v>4</v>
      </c>
      <c r="C4" s="41">
        <v>3</v>
      </c>
      <c r="D4" s="41">
        <v>3</v>
      </c>
      <c r="E4" s="41">
        <v>5</v>
      </c>
      <c r="F4" s="41">
        <v>3</v>
      </c>
    </row>
    <row r="5" spans="1:6">
      <c r="A5" s="176">
        <v>4</v>
      </c>
      <c r="B5" s="41">
        <v>2</v>
      </c>
      <c r="C5" s="41">
        <v>3</v>
      </c>
      <c r="D5" s="41">
        <v>3</v>
      </c>
      <c r="E5" s="41">
        <v>5</v>
      </c>
      <c r="F5" s="41">
        <v>3</v>
      </c>
    </row>
    <row r="6" spans="1:6">
      <c r="A6" s="176">
        <v>5</v>
      </c>
      <c r="B6" s="41">
        <v>4</v>
      </c>
      <c r="C6" s="41">
        <v>3</v>
      </c>
      <c r="D6" s="41">
        <v>3</v>
      </c>
      <c r="E6" s="41">
        <v>5</v>
      </c>
      <c r="F6" s="41">
        <v>2</v>
      </c>
    </row>
    <row r="7" spans="1:6">
      <c r="A7" s="176">
        <v>6</v>
      </c>
      <c r="B7" s="41">
        <v>4</v>
      </c>
      <c r="C7" s="41">
        <v>3</v>
      </c>
      <c r="D7" s="41">
        <v>3</v>
      </c>
      <c r="E7" s="41">
        <v>5</v>
      </c>
      <c r="F7" s="41">
        <v>3</v>
      </c>
    </row>
    <row r="8" spans="1:6">
      <c r="A8" s="176">
        <v>7</v>
      </c>
      <c r="B8" s="41">
        <v>4</v>
      </c>
      <c r="C8" s="41">
        <v>3</v>
      </c>
      <c r="D8" s="41">
        <v>3</v>
      </c>
      <c r="E8" s="41">
        <v>5</v>
      </c>
      <c r="F8" s="41">
        <v>3</v>
      </c>
    </row>
    <row r="9" spans="1:6">
      <c r="A9" s="176">
        <v>8</v>
      </c>
      <c r="B9" s="41">
        <v>4</v>
      </c>
      <c r="C9" s="41">
        <v>3</v>
      </c>
      <c r="D9" s="41">
        <v>3</v>
      </c>
      <c r="E9" s="41">
        <v>5</v>
      </c>
      <c r="F9" s="41">
        <v>2</v>
      </c>
    </row>
    <row r="10" spans="1:6">
      <c r="A10" s="176">
        <v>9</v>
      </c>
      <c r="B10" s="41">
        <v>2</v>
      </c>
      <c r="C10" s="41">
        <v>3</v>
      </c>
      <c r="D10" s="41">
        <v>3</v>
      </c>
      <c r="E10" s="41">
        <v>5</v>
      </c>
      <c r="F10" s="41">
        <v>3</v>
      </c>
    </row>
    <row r="11" spans="1:6">
      <c r="A11" s="176">
        <v>10</v>
      </c>
      <c r="B11" s="41">
        <v>3</v>
      </c>
      <c r="C11" s="41">
        <v>3</v>
      </c>
      <c r="D11" s="41">
        <v>3</v>
      </c>
      <c r="E11" s="41">
        <v>5</v>
      </c>
      <c r="F11" s="41">
        <v>3</v>
      </c>
    </row>
    <row r="12" spans="1:6">
      <c r="A12" s="176">
        <v>11</v>
      </c>
      <c r="B12" s="41">
        <v>3</v>
      </c>
      <c r="C12" s="41">
        <v>3</v>
      </c>
      <c r="D12" s="41">
        <v>3</v>
      </c>
      <c r="E12" s="41">
        <v>5</v>
      </c>
      <c r="F12" s="41">
        <v>3</v>
      </c>
    </row>
    <row r="13" spans="1:6">
      <c r="A13" s="176">
        <v>12</v>
      </c>
      <c r="B13" s="41">
        <v>2</v>
      </c>
      <c r="C13" s="41">
        <v>3</v>
      </c>
      <c r="D13" s="41">
        <v>3</v>
      </c>
      <c r="E13" s="41">
        <v>5</v>
      </c>
      <c r="F13" s="41">
        <v>3</v>
      </c>
    </row>
    <row r="14" spans="1:6">
      <c r="A14" s="176">
        <v>13</v>
      </c>
      <c r="B14" s="41">
        <v>4</v>
      </c>
      <c r="C14" s="41">
        <v>3</v>
      </c>
      <c r="D14" s="41">
        <v>3</v>
      </c>
      <c r="E14" s="41">
        <v>5</v>
      </c>
      <c r="F14" s="41">
        <v>2</v>
      </c>
    </row>
    <row r="15" spans="1:6">
      <c r="A15" s="176">
        <v>14</v>
      </c>
      <c r="B15" s="41">
        <v>3</v>
      </c>
      <c r="C15" s="41">
        <v>3</v>
      </c>
      <c r="D15" s="41">
        <v>3</v>
      </c>
      <c r="E15" s="41">
        <v>5</v>
      </c>
      <c r="F15" s="41">
        <v>3</v>
      </c>
    </row>
    <row r="16" spans="1:6">
      <c r="A16" s="176">
        <v>15</v>
      </c>
      <c r="B16" s="41">
        <v>4</v>
      </c>
      <c r="C16" s="41">
        <v>3</v>
      </c>
      <c r="D16" s="41">
        <v>3</v>
      </c>
      <c r="E16" s="41">
        <v>5</v>
      </c>
      <c r="F16" s="41">
        <v>3</v>
      </c>
    </row>
    <row r="17" spans="1:6">
      <c r="A17" s="176">
        <v>16</v>
      </c>
      <c r="B17" s="41">
        <v>2</v>
      </c>
      <c r="C17" s="41">
        <v>3</v>
      </c>
      <c r="D17" s="41">
        <v>3</v>
      </c>
      <c r="E17" s="41">
        <v>5</v>
      </c>
      <c r="F17" s="41">
        <v>3</v>
      </c>
    </row>
    <row r="18" spans="1:6">
      <c r="A18" s="176">
        <v>17</v>
      </c>
      <c r="B18" s="41">
        <v>4</v>
      </c>
      <c r="C18" s="41">
        <v>3</v>
      </c>
      <c r="D18" s="41">
        <v>3</v>
      </c>
      <c r="E18" s="41">
        <v>5</v>
      </c>
      <c r="F18" s="41">
        <v>3</v>
      </c>
    </row>
    <row r="19" spans="1:6">
      <c r="A19" s="176">
        <v>18</v>
      </c>
      <c r="B19" s="41">
        <v>4</v>
      </c>
      <c r="C19" s="41">
        <v>3</v>
      </c>
      <c r="D19" s="41">
        <v>3</v>
      </c>
      <c r="E19" s="41">
        <v>5</v>
      </c>
      <c r="F19" s="41">
        <v>2</v>
      </c>
    </row>
    <row r="20" spans="1:6">
      <c r="A20" s="176">
        <v>19</v>
      </c>
      <c r="B20" s="41">
        <v>2</v>
      </c>
      <c r="C20" s="41">
        <v>3</v>
      </c>
      <c r="D20" s="41">
        <v>3</v>
      </c>
      <c r="E20" s="41">
        <v>5</v>
      </c>
      <c r="F20" s="41">
        <v>3</v>
      </c>
    </row>
    <row r="21" spans="1:6">
      <c r="A21" s="176">
        <v>20</v>
      </c>
      <c r="B21" s="41">
        <v>4</v>
      </c>
      <c r="C21" s="41">
        <v>3</v>
      </c>
      <c r="D21" s="41">
        <v>3</v>
      </c>
      <c r="E21" s="41">
        <v>5</v>
      </c>
      <c r="F21" s="41">
        <v>3</v>
      </c>
    </row>
    <row r="22" spans="1:6">
      <c r="A22" s="176">
        <v>21</v>
      </c>
      <c r="B22" s="41">
        <v>3</v>
      </c>
      <c r="C22" s="41">
        <v>3</v>
      </c>
      <c r="D22" s="41">
        <v>3</v>
      </c>
      <c r="E22" s="41">
        <v>5</v>
      </c>
      <c r="F22" s="41">
        <v>3</v>
      </c>
    </row>
    <row r="23" spans="1:6">
      <c r="A23" s="176">
        <v>22</v>
      </c>
      <c r="B23" s="41">
        <v>4</v>
      </c>
      <c r="C23" s="41">
        <v>3</v>
      </c>
      <c r="D23" s="41">
        <v>3</v>
      </c>
      <c r="E23" s="41">
        <v>5</v>
      </c>
      <c r="F23" s="41">
        <v>3</v>
      </c>
    </row>
    <row r="24" spans="1:6">
      <c r="A24" s="176">
        <v>23</v>
      </c>
      <c r="B24" s="41">
        <v>4</v>
      </c>
      <c r="C24" s="41">
        <v>3</v>
      </c>
      <c r="D24" s="41">
        <v>3</v>
      </c>
      <c r="E24" s="41">
        <v>5</v>
      </c>
      <c r="F24" s="41">
        <v>3</v>
      </c>
    </row>
    <row r="25" spans="1:6">
      <c r="A25" s="176">
        <v>24</v>
      </c>
      <c r="B25" s="41">
        <v>4</v>
      </c>
      <c r="C25" s="41">
        <v>3</v>
      </c>
      <c r="D25" s="41">
        <v>3</v>
      </c>
      <c r="E25" s="41">
        <v>5</v>
      </c>
      <c r="F25" s="41">
        <v>3</v>
      </c>
    </row>
    <row r="26" spans="1:6">
      <c r="A26" s="176">
        <v>25</v>
      </c>
      <c r="B26" s="41">
        <v>4</v>
      </c>
      <c r="C26" s="41">
        <v>3</v>
      </c>
      <c r="D26" s="41">
        <v>3</v>
      </c>
      <c r="E26" s="41">
        <v>5</v>
      </c>
      <c r="F26" s="41">
        <v>3</v>
      </c>
    </row>
    <row r="27" spans="1:6">
      <c r="A27" s="176">
        <v>26</v>
      </c>
      <c r="B27" s="41">
        <v>3</v>
      </c>
      <c r="C27" s="41">
        <v>3</v>
      </c>
      <c r="D27" s="41">
        <v>3</v>
      </c>
      <c r="E27" s="41">
        <v>5</v>
      </c>
      <c r="F27" s="41">
        <v>3</v>
      </c>
    </row>
    <row r="28" spans="1:6">
      <c r="A28" s="176">
        <v>27</v>
      </c>
      <c r="B28" s="41">
        <v>4</v>
      </c>
      <c r="C28" s="41">
        <v>3</v>
      </c>
      <c r="D28" s="41">
        <v>3</v>
      </c>
      <c r="E28" s="41">
        <v>5</v>
      </c>
      <c r="F28" s="41">
        <v>3</v>
      </c>
    </row>
    <row r="29" spans="1:6">
      <c r="A29" s="176">
        <v>28</v>
      </c>
      <c r="B29" s="41">
        <v>4</v>
      </c>
      <c r="C29" s="41">
        <v>3</v>
      </c>
      <c r="D29" s="41">
        <v>3</v>
      </c>
      <c r="E29" s="41">
        <v>5</v>
      </c>
      <c r="F29" s="41">
        <v>2</v>
      </c>
    </row>
    <row r="30" spans="1:6">
      <c r="A30" s="176">
        <v>29</v>
      </c>
      <c r="B30" s="41">
        <v>4</v>
      </c>
      <c r="C30" s="41">
        <v>3</v>
      </c>
      <c r="D30" s="41">
        <v>3</v>
      </c>
      <c r="E30" s="41">
        <v>5</v>
      </c>
      <c r="F30" s="41">
        <v>3</v>
      </c>
    </row>
    <row r="31" spans="1:6">
      <c r="A31" s="176">
        <v>30</v>
      </c>
      <c r="B31" s="41">
        <v>4</v>
      </c>
      <c r="C31" s="41">
        <v>3</v>
      </c>
      <c r="D31" s="41">
        <v>3</v>
      </c>
      <c r="E31" s="41">
        <v>5</v>
      </c>
      <c r="F31" s="41">
        <v>2</v>
      </c>
    </row>
    <row r="32" spans="1:6">
      <c r="A32" s="176">
        <v>31</v>
      </c>
      <c r="B32" s="41">
        <v>4</v>
      </c>
      <c r="C32" s="41">
        <v>3</v>
      </c>
      <c r="D32" s="41">
        <v>3</v>
      </c>
      <c r="E32" s="41">
        <v>5</v>
      </c>
      <c r="F32" s="41">
        <v>3</v>
      </c>
    </row>
    <row r="33" spans="1:6">
      <c r="A33" s="176">
        <v>32</v>
      </c>
      <c r="B33" s="41">
        <v>4</v>
      </c>
      <c r="C33" s="41">
        <v>3</v>
      </c>
      <c r="D33" s="41">
        <v>3</v>
      </c>
      <c r="E33" s="41">
        <v>5</v>
      </c>
      <c r="F33" s="41">
        <v>3</v>
      </c>
    </row>
    <row r="34" spans="1:6">
      <c r="A34" s="176">
        <v>33</v>
      </c>
      <c r="B34" s="41">
        <v>2</v>
      </c>
      <c r="C34" s="41">
        <v>3</v>
      </c>
      <c r="D34" s="41">
        <v>3</v>
      </c>
      <c r="E34" s="41">
        <v>5</v>
      </c>
      <c r="F34" s="41">
        <v>3</v>
      </c>
    </row>
    <row r="35" spans="1:6">
      <c r="A35" s="176">
        <v>34</v>
      </c>
      <c r="B35" s="41">
        <v>4</v>
      </c>
      <c r="C35" s="41">
        <v>3</v>
      </c>
      <c r="D35" s="41">
        <v>3</v>
      </c>
      <c r="E35" s="41">
        <v>5</v>
      </c>
      <c r="F35" s="41">
        <v>3</v>
      </c>
    </row>
    <row r="36" spans="1:6">
      <c r="A36" s="176">
        <v>35</v>
      </c>
      <c r="B36" s="41">
        <v>4</v>
      </c>
      <c r="C36" s="41">
        <v>3</v>
      </c>
      <c r="D36" s="41">
        <v>3</v>
      </c>
      <c r="E36" s="41">
        <v>5</v>
      </c>
      <c r="F36" s="41">
        <v>3</v>
      </c>
    </row>
    <row r="37" spans="1:6">
      <c r="A37" s="176">
        <v>36</v>
      </c>
      <c r="B37" s="41">
        <v>4</v>
      </c>
      <c r="C37" s="41">
        <v>3</v>
      </c>
      <c r="D37" s="41">
        <v>3</v>
      </c>
      <c r="E37" s="41">
        <v>5</v>
      </c>
      <c r="F37" s="41">
        <v>3</v>
      </c>
    </row>
    <row r="38" spans="1:6">
      <c r="A38" s="176">
        <v>37</v>
      </c>
      <c r="B38" s="41">
        <v>3</v>
      </c>
      <c r="C38" s="41">
        <v>3</v>
      </c>
      <c r="D38" s="41">
        <v>3</v>
      </c>
      <c r="E38" s="41">
        <v>5</v>
      </c>
      <c r="F38" s="41">
        <v>2</v>
      </c>
    </row>
    <row r="39" spans="1:6">
      <c r="A39" s="176">
        <v>38</v>
      </c>
      <c r="B39" s="41">
        <v>4</v>
      </c>
      <c r="C39" s="41">
        <v>3</v>
      </c>
      <c r="D39" s="41">
        <v>3</v>
      </c>
      <c r="E39" s="41">
        <v>5</v>
      </c>
      <c r="F39" s="41">
        <v>3</v>
      </c>
    </row>
    <row r="40" spans="1:6">
      <c r="A40" s="176">
        <v>39</v>
      </c>
      <c r="B40" s="41">
        <v>3</v>
      </c>
      <c r="C40" s="41">
        <v>3</v>
      </c>
      <c r="D40" s="41">
        <v>3</v>
      </c>
      <c r="E40" s="41">
        <v>5</v>
      </c>
      <c r="F40" s="41">
        <v>3</v>
      </c>
    </row>
    <row r="41" spans="1:6">
      <c r="A41" s="176">
        <v>40</v>
      </c>
      <c r="B41" s="41">
        <v>4</v>
      </c>
      <c r="C41" s="41">
        <v>3</v>
      </c>
      <c r="D41" s="41">
        <v>3</v>
      </c>
      <c r="E41" s="41">
        <v>5</v>
      </c>
      <c r="F41" s="41">
        <v>3</v>
      </c>
    </row>
    <row r="42" spans="1:6">
      <c r="A42" s="176">
        <v>41</v>
      </c>
      <c r="B42" s="41">
        <v>4</v>
      </c>
      <c r="C42" s="41">
        <v>3</v>
      </c>
      <c r="D42" s="41">
        <v>3</v>
      </c>
      <c r="E42" s="41">
        <v>5</v>
      </c>
      <c r="F42" s="41">
        <v>3</v>
      </c>
    </row>
    <row r="43" spans="1:6">
      <c r="A43" s="176">
        <v>42</v>
      </c>
      <c r="B43" s="41">
        <v>4</v>
      </c>
      <c r="C43" s="41">
        <v>3</v>
      </c>
      <c r="D43" s="41">
        <v>3</v>
      </c>
      <c r="E43" s="41">
        <v>5</v>
      </c>
      <c r="F43" s="41">
        <v>3</v>
      </c>
    </row>
    <row r="44" spans="1:6">
      <c r="A44" s="176">
        <v>43</v>
      </c>
      <c r="B44" s="41">
        <v>4</v>
      </c>
      <c r="C44" s="41">
        <v>3</v>
      </c>
      <c r="D44" s="41">
        <v>3</v>
      </c>
      <c r="E44" s="41">
        <v>5</v>
      </c>
      <c r="F44" s="41">
        <v>2</v>
      </c>
    </row>
    <row r="45" spans="1:6">
      <c r="A45" s="176">
        <v>44</v>
      </c>
      <c r="B45" s="41">
        <v>3</v>
      </c>
      <c r="C45" s="41">
        <v>3</v>
      </c>
      <c r="D45" s="41">
        <v>3</v>
      </c>
      <c r="E45" s="41">
        <v>5</v>
      </c>
      <c r="F45" s="41">
        <v>2</v>
      </c>
    </row>
    <row r="46" spans="1:6">
      <c r="A46" s="176">
        <v>45</v>
      </c>
      <c r="B46" s="41">
        <v>4</v>
      </c>
      <c r="C46" s="41">
        <v>3</v>
      </c>
      <c r="D46" s="41">
        <v>3</v>
      </c>
      <c r="E46" s="41">
        <v>5</v>
      </c>
      <c r="F46" s="41">
        <v>3</v>
      </c>
    </row>
    <row r="47" spans="1:6">
      <c r="A47" s="176">
        <v>46</v>
      </c>
      <c r="B47" s="41">
        <v>4</v>
      </c>
      <c r="C47" s="41">
        <v>3</v>
      </c>
      <c r="D47" s="41">
        <v>3</v>
      </c>
      <c r="E47" s="41">
        <v>5</v>
      </c>
      <c r="F47" s="41">
        <v>3</v>
      </c>
    </row>
    <row r="48" spans="1:6">
      <c r="A48" s="176">
        <v>47</v>
      </c>
      <c r="B48" s="41">
        <v>4</v>
      </c>
      <c r="C48" s="41">
        <v>3</v>
      </c>
      <c r="D48" s="41">
        <v>3</v>
      </c>
      <c r="E48" s="41">
        <v>5</v>
      </c>
      <c r="F48" s="41">
        <v>3</v>
      </c>
    </row>
    <row r="49" spans="2:6">
      <c r="B49" s="41">
        <v>4</v>
      </c>
      <c r="C49" s="41">
        <v>3</v>
      </c>
      <c r="D49" s="41">
        <v>3</v>
      </c>
      <c r="E49" s="41">
        <v>5</v>
      </c>
      <c r="F49" s="41">
        <v>3</v>
      </c>
    </row>
    <row r="50" spans="2:6">
      <c r="B50" s="41">
        <v>4</v>
      </c>
      <c r="C50" s="41">
        <v>3</v>
      </c>
      <c r="D50" s="41">
        <v>3</v>
      </c>
      <c r="E50" s="41">
        <v>5</v>
      </c>
      <c r="F50" s="41">
        <v>3</v>
      </c>
    </row>
    <row r="51" spans="2:6">
      <c r="B51" s="41">
        <v>4</v>
      </c>
      <c r="C51" s="41">
        <v>3</v>
      </c>
      <c r="D51" s="41">
        <v>3</v>
      </c>
      <c r="E51" s="41">
        <v>5</v>
      </c>
      <c r="F51" s="4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90" zoomScaleNormal="90" workbookViewId="0">
      <selection activeCell="A3" sqref="A3:A49"/>
    </sheetView>
  </sheetViews>
  <sheetFormatPr defaultRowHeight="15"/>
  <cols>
    <col min="1" max="1" width="22.85546875" customWidth="1"/>
    <col min="2" max="2" width="40.42578125" style="56" customWidth="1"/>
    <col min="3" max="3" width="5.5703125" style="56" customWidth="1"/>
    <col min="4" max="4" width="5.42578125" style="56" customWidth="1"/>
    <col min="5" max="6" width="5.140625" style="56" customWidth="1"/>
    <col min="7" max="7" width="3.7109375" style="56" customWidth="1"/>
    <col min="8" max="8" width="5.28515625" style="56" bestFit="1" customWidth="1"/>
    <col min="9" max="10" width="3.7109375" style="56" customWidth="1"/>
    <col min="11" max="11" width="6.5703125" style="56" customWidth="1"/>
    <col min="12" max="12" width="9.140625" style="56" customWidth="1"/>
    <col min="13" max="13" width="3" customWidth="1"/>
    <col min="14" max="14" width="11.7109375" style="64" customWidth="1"/>
    <col min="15" max="18" width="4.140625" style="64" bestFit="1" customWidth="1"/>
    <col min="19" max="19" width="3.7109375" style="64" customWidth="1"/>
    <col min="20" max="20" width="4.140625" style="64" bestFit="1" customWidth="1"/>
    <col min="21" max="21" width="3.7109375" style="64" customWidth="1"/>
    <col min="22" max="22" width="4.5703125" style="64" customWidth="1"/>
    <col min="23" max="23" width="3.7109375" style="64" customWidth="1"/>
    <col min="24" max="24" width="9.140625" style="64" customWidth="1"/>
    <col min="25" max="25" width="3.42578125" bestFit="1" customWidth="1"/>
    <col min="26" max="26" width="11.7109375" style="83" customWidth="1"/>
    <col min="27" max="35" width="3.7109375" style="83" customWidth="1"/>
    <col min="36" max="36" width="9.140625" style="83" customWidth="1"/>
    <col min="37" max="37" width="3.42578125" bestFit="1" customWidth="1"/>
    <col min="38" max="38" width="33.7109375" style="50" customWidth="1"/>
    <col min="39" max="47" width="3.7109375" style="50" customWidth="1"/>
    <col min="48" max="48" width="9.140625" style="50" customWidth="1"/>
    <col min="49" max="49" width="9"/>
    <col min="50" max="50" width="30.28515625" style="88" customWidth="1"/>
    <col min="51" max="51" width="4.85546875" style="88" customWidth="1"/>
    <col min="52" max="52" width="4.7109375" style="88" customWidth="1"/>
    <col min="53" max="53" width="4.5703125" style="88" customWidth="1"/>
    <col min="54" max="54" width="4.85546875" style="88" customWidth="1"/>
    <col min="55" max="55" width="3.7109375" style="88" customWidth="1"/>
    <col min="56" max="56" width="4.7109375" style="88" customWidth="1"/>
    <col min="57" max="59" width="3.7109375" style="88" customWidth="1"/>
    <col min="60" max="60" width="9.140625" style="88" customWidth="1"/>
    <col min="61" max="61" width="3.42578125" bestFit="1" customWidth="1"/>
    <col min="62" max="62" width="11.7109375" style="93" customWidth="1"/>
    <col min="63" max="69" width="3.7109375" style="93" customWidth="1"/>
    <col min="70" max="70" width="5.85546875" style="93" customWidth="1"/>
    <col min="71" max="71" width="3.7109375" style="93" customWidth="1"/>
    <col min="72" max="72" width="9.140625" style="93" customWidth="1"/>
    <col min="73" max="73" width="3.5703125" customWidth="1"/>
    <col min="74" max="74" width="34.28515625" style="97" customWidth="1"/>
    <col min="75" max="83" width="3.7109375" style="97" customWidth="1"/>
    <col min="84" max="84" width="9.140625" style="97" customWidth="1"/>
    <col min="85" max="85" width="3.42578125" bestFit="1" customWidth="1"/>
    <col min="86" max="86" width="33.140625" style="69" customWidth="1"/>
    <col min="87" max="95" width="3.7109375" style="69" customWidth="1"/>
    <col min="96" max="96" width="9.140625" style="69" customWidth="1"/>
    <col min="97" max="97" width="3.85546875" customWidth="1"/>
    <col min="98" max="98" width="38.140625" style="73" customWidth="1"/>
    <col min="99" max="99" width="4.5703125" style="73" customWidth="1"/>
    <col min="100" max="100" width="4.28515625" style="73" customWidth="1"/>
    <col min="101" max="101" width="4.7109375" style="73" customWidth="1"/>
    <col min="102" max="102" width="4.85546875" style="73" customWidth="1"/>
    <col min="103" max="103" width="4.5703125" style="73" customWidth="1"/>
    <col min="104" max="104" width="4.28515625" style="73" customWidth="1"/>
    <col min="105" max="106" width="4.85546875" style="73" customWidth="1"/>
    <col min="107" max="107" width="3.7109375" style="73" customWidth="1"/>
    <col min="108" max="108" width="9.140625" style="73" customWidth="1"/>
    <col min="109" max="109" width="4.7109375" customWidth="1"/>
    <col min="110" max="110" width="11.7109375" style="64" customWidth="1"/>
    <col min="111" max="119" width="3.7109375" style="64" customWidth="1"/>
    <col min="120" max="120" width="9.140625" style="64" customWidth="1"/>
    <col min="121" max="121" width="3.85546875" customWidth="1"/>
    <col min="122" max="122" width="33.5703125" style="105" customWidth="1"/>
    <col min="123" max="131" width="3.7109375" style="105" customWidth="1"/>
    <col min="132" max="132" width="9.140625" style="105" customWidth="1"/>
    <col min="133" max="133" width="4.7109375" customWidth="1"/>
    <col min="134" max="134" width="11.7109375" style="78" customWidth="1"/>
    <col min="135" max="143" width="3.7109375" style="78" customWidth="1"/>
    <col min="144" max="144" width="9.140625" style="78" customWidth="1"/>
    <col min="145" max="145" width="3.42578125" bestFit="1" customWidth="1"/>
    <col min="146" max="146" width="41.140625" style="101" customWidth="1"/>
    <col min="147" max="154" width="3.7109375" style="101" customWidth="1"/>
    <col min="155" max="155" width="5.140625" style="101" customWidth="1"/>
    <col min="156" max="156" width="9.140625" style="101" customWidth="1"/>
    <col min="157" max="157" width="3.42578125" bestFit="1" customWidth="1"/>
    <col min="158" max="158" width="11.7109375" style="117" customWidth="1"/>
    <col min="159" max="167" width="3.7109375" style="117" customWidth="1"/>
    <col min="168" max="168" width="9.140625" style="117" customWidth="1"/>
    <col min="169" max="169" width="3.42578125" bestFit="1" customWidth="1"/>
    <col min="170" max="170" width="11.7109375" style="56" customWidth="1"/>
    <col min="171" max="179" width="3.7109375" style="56" customWidth="1"/>
    <col min="180" max="180" width="9.140625" style="56" customWidth="1"/>
    <col min="181" max="181" width="3.42578125" bestFit="1" customWidth="1"/>
    <col min="182" max="182" width="11.7109375" style="83" customWidth="1"/>
    <col min="183" max="191" width="3.7109375" style="83" customWidth="1"/>
    <col min="192" max="192" width="9.140625" style="83" customWidth="1"/>
    <col min="193" max="193" width="3.42578125" bestFit="1" customWidth="1"/>
    <col min="194" max="194" width="31.42578125" style="117" customWidth="1"/>
    <col min="195" max="196" width="4.5703125" style="117" bestFit="1" customWidth="1"/>
    <col min="197" max="203" width="3.7109375" style="117" customWidth="1"/>
    <col min="204" max="204" width="8.140625" style="117" bestFit="1" customWidth="1"/>
    <col min="205" max="205" width="4.85546875" customWidth="1"/>
    <col min="206" max="206" width="11.7109375" style="110" customWidth="1"/>
    <col min="207" max="215" width="3.7109375" style="110" customWidth="1"/>
    <col min="216" max="216" width="9.140625" style="110"/>
  </cols>
  <sheetData>
    <row r="1" spans="1:216">
      <c r="A1" s="44"/>
      <c r="B1" s="200" t="s">
        <v>93</v>
      </c>
      <c r="C1" s="200"/>
      <c r="D1" s="200"/>
      <c r="E1" s="200"/>
      <c r="F1" s="200"/>
      <c r="G1" s="200"/>
      <c r="H1" s="52"/>
      <c r="I1" s="52"/>
      <c r="J1" s="53"/>
      <c r="K1" s="53"/>
      <c r="L1" s="53"/>
      <c r="M1" s="44"/>
      <c r="N1" s="59"/>
      <c r="O1" s="58"/>
      <c r="P1" s="204" t="s">
        <v>37</v>
      </c>
      <c r="Q1" s="205"/>
      <c r="R1" s="205"/>
      <c r="S1" s="205"/>
      <c r="T1" s="205"/>
      <c r="U1" s="205"/>
      <c r="V1" s="205"/>
      <c r="W1" s="60"/>
      <c r="X1" s="60"/>
      <c r="Y1" s="57"/>
      <c r="Z1" s="80"/>
      <c r="AA1" s="194" t="s">
        <v>114</v>
      </c>
      <c r="AB1" s="194"/>
      <c r="AC1" s="194"/>
      <c r="AD1" s="194"/>
      <c r="AE1" s="194"/>
      <c r="AF1" s="194"/>
      <c r="AG1" s="194"/>
      <c r="AH1" s="80"/>
      <c r="AI1" s="80"/>
      <c r="AJ1" s="80"/>
      <c r="AK1" s="3"/>
      <c r="AL1" s="47"/>
      <c r="AM1" s="45" t="s">
        <v>87</v>
      </c>
      <c r="AN1" s="46"/>
      <c r="AO1" s="46"/>
      <c r="AP1" s="46"/>
      <c r="AQ1" s="46"/>
      <c r="AR1" s="46"/>
      <c r="AS1" s="46"/>
      <c r="AT1" s="47"/>
      <c r="AU1" s="47"/>
      <c r="AV1" s="47"/>
      <c r="AW1" s="3"/>
      <c r="AX1" s="85"/>
      <c r="AY1" s="201" t="s">
        <v>94</v>
      </c>
      <c r="AZ1" s="201"/>
      <c r="BA1" s="201"/>
      <c r="BB1" s="201"/>
      <c r="BC1" s="201"/>
      <c r="BD1" s="201"/>
      <c r="BE1" s="201"/>
      <c r="BF1" s="85"/>
      <c r="BG1" s="85"/>
      <c r="BH1" s="85"/>
      <c r="BI1" s="3"/>
      <c r="BJ1" s="90"/>
      <c r="BK1" s="202" t="s">
        <v>65</v>
      </c>
      <c r="BL1" s="203"/>
      <c r="BM1" s="203"/>
      <c r="BN1" s="203"/>
      <c r="BO1" s="203"/>
      <c r="BP1" s="203"/>
      <c r="BQ1" s="203"/>
      <c r="BR1" s="90"/>
      <c r="BS1" s="90"/>
      <c r="BT1" s="90"/>
      <c r="BU1" s="3"/>
      <c r="BV1" s="94"/>
      <c r="BW1" s="195" t="s">
        <v>88</v>
      </c>
      <c r="BX1" s="195"/>
      <c r="BY1" s="195"/>
      <c r="BZ1" s="195"/>
      <c r="CA1" s="195"/>
      <c r="CB1" s="195"/>
      <c r="CC1" s="195"/>
      <c r="CD1" s="94"/>
      <c r="CE1" s="94"/>
      <c r="CF1" s="94"/>
      <c r="CG1" s="3"/>
      <c r="CH1" s="66"/>
      <c r="CI1" s="196" t="s">
        <v>89</v>
      </c>
      <c r="CJ1" s="196"/>
      <c r="CK1" s="196"/>
      <c r="CL1" s="196"/>
      <c r="CM1" s="196"/>
      <c r="CN1" s="196"/>
      <c r="CO1" s="196"/>
      <c r="CP1" s="66"/>
      <c r="CQ1" s="66"/>
      <c r="CR1" s="66"/>
      <c r="CS1" s="3"/>
      <c r="CT1" s="70"/>
      <c r="CU1" s="197" t="s">
        <v>68</v>
      </c>
      <c r="CV1" s="197"/>
      <c r="CW1" s="197"/>
      <c r="CX1" s="197"/>
      <c r="CY1" s="197"/>
      <c r="CZ1" s="197"/>
      <c r="DA1" s="197"/>
      <c r="DB1" s="70"/>
      <c r="DC1" s="70"/>
      <c r="DD1" s="70"/>
      <c r="DE1" s="3"/>
      <c r="DF1" s="59"/>
      <c r="DG1" s="198" t="s">
        <v>90</v>
      </c>
      <c r="DH1" s="198"/>
      <c r="DI1" s="198"/>
      <c r="DJ1" s="198"/>
      <c r="DK1" s="198"/>
      <c r="DL1" s="198"/>
      <c r="DM1" s="198"/>
      <c r="DN1" s="59"/>
      <c r="DO1" s="59"/>
      <c r="DP1" s="59"/>
      <c r="DQ1" s="3"/>
      <c r="DR1" s="102"/>
      <c r="DS1" s="199" t="s">
        <v>91</v>
      </c>
      <c r="DT1" s="199"/>
      <c r="DU1" s="199"/>
      <c r="DV1" s="199"/>
      <c r="DW1" s="199"/>
      <c r="DX1" s="199"/>
      <c r="DY1" s="199"/>
      <c r="DZ1" s="102"/>
      <c r="EA1" s="102"/>
      <c r="EB1" s="102"/>
      <c r="EC1" s="3"/>
      <c r="ED1" s="75"/>
      <c r="EE1" s="191" t="s">
        <v>66</v>
      </c>
      <c r="EF1" s="191"/>
      <c r="EG1" s="191"/>
      <c r="EH1" s="191"/>
      <c r="EI1" s="191"/>
      <c r="EJ1" s="191"/>
      <c r="EK1" s="191"/>
      <c r="EL1" s="75"/>
      <c r="EM1" s="75"/>
      <c r="EN1" s="75"/>
      <c r="EO1" s="3"/>
      <c r="EP1" s="98"/>
      <c r="EQ1" s="192" t="s">
        <v>69</v>
      </c>
      <c r="ER1" s="192"/>
      <c r="ES1" s="192"/>
      <c r="ET1" s="192"/>
      <c r="EU1" s="192"/>
      <c r="EV1" s="192"/>
      <c r="EW1" s="192"/>
      <c r="EX1" s="98"/>
      <c r="EY1" s="98"/>
      <c r="EZ1" s="98"/>
      <c r="FA1" s="3"/>
      <c r="FB1" s="113"/>
      <c r="FC1" s="190" t="s">
        <v>67</v>
      </c>
      <c r="FD1" s="190"/>
      <c r="FE1" s="190"/>
      <c r="FF1" s="190"/>
      <c r="FG1" s="190"/>
      <c r="FH1" s="190"/>
      <c r="FI1" s="190"/>
      <c r="FJ1" s="113"/>
      <c r="FK1" s="113"/>
      <c r="FL1" s="113"/>
      <c r="FM1" s="3"/>
      <c r="FN1" s="53"/>
      <c r="FO1" s="193" t="s">
        <v>95</v>
      </c>
      <c r="FP1" s="193"/>
      <c r="FQ1" s="193"/>
      <c r="FR1" s="193"/>
      <c r="FS1" s="193"/>
      <c r="FT1" s="193"/>
      <c r="FU1" s="193"/>
      <c r="FV1" s="53"/>
      <c r="FW1" s="53"/>
      <c r="FX1" s="53"/>
      <c r="FY1" s="3"/>
      <c r="FZ1" s="80"/>
      <c r="GA1" s="194" t="s">
        <v>96</v>
      </c>
      <c r="GB1" s="194"/>
      <c r="GC1" s="194"/>
      <c r="GD1" s="194"/>
      <c r="GE1" s="194"/>
      <c r="GF1" s="194"/>
      <c r="GG1" s="194"/>
      <c r="GH1" s="80"/>
      <c r="GI1" s="80"/>
      <c r="GJ1" s="80"/>
      <c r="GK1" s="3"/>
      <c r="GL1" s="113"/>
      <c r="GM1" s="190" t="s">
        <v>64</v>
      </c>
      <c r="GN1" s="190"/>
      <c r="GO1" s="190"/>
      <c r="GP1" s="190"/>
      <c r="GQ1" s="190"/>
      <c r="GR1" s="190"/>
      <c r="GS1" s="190"/>
      <c r="GT1" s="113"/>
      <c r="GU1" s="113"/>
      <c r="GV1" s="113"/>
      <c r="GW1" s="3"/>
      <c r="GX1" s="107"/>
      <c r="GY1" s="189" t="s">
        <v>84</v>
      </c>
      <c r="GZ1" s="189"/>
      <c r="HA1" s="189"/>
      <c r="HB1" s="189"/>
      <c r="HC1" s="189"/>
      <c r="HD1" s="189"/>
      <c r="HE1" s="189"/>
      <c r="HF1" s="107"/>
      <c r="HG1" s="107"/>
      <c r="HH1" s="107"/>
    </row>
    <row r="2" spans="1:216" ht="68.25" customHeight="1">
      <c r="A2" s="178" t="s">
        <v>193</v>
      </c>
      <c r="B2" s="53" t="s">
        <v>0</v>
      </c>
      <c r="C2" s="54" t="s">
        <v>9</v>
      </c>
      <c r="D2" s="54" t="s">
        <v>10</v>
      </c>
      <c r="E2" s="54" t="s">
        <v>11</v>
      </c>
      <c r="F2" s="54" t="s">
        <v>12</v>
      </c>
      <c r="G2" s="54" t="s">
        <v>13</v>
      </c>
      <c r="H2" s="54" t="s">
        <v>14</v>
      </c>
      <c r="I2" s="54" t="s">
        <v>15</v>
      </c>
      <c r="J2" s="54" t="s">
        <v>16</v>
      </c>
      <c r="K2" s="54" t="s">
        <v>17</v>
      </c>
      <c r="L2" s="55" t="s">
        <v>18</v>
      </c>
      <c r="M2" s="44"/>
      <c r="N2" s="59" t="s">
        <v>0</v>
      </c>
      <c r="O2" s="61" t="s">
        <v>9</v>
      </c>
      <c r="P2" s="61" t="s">
        <v>10</v>
      </c>
      <c r="Q2" s="61" t="s">
        <v>11</v>
      </c>
      <c r="R2" s="61" t="s">
        <v>12</v>
      </c>
      <c r="S2" s="61" t="s">
        <v>13</v>
      </c>
      <c r="T2" s="61" t="s">
        <v>14</v>
      </c>
      <c r="U2" s="61" t="s">
        <v>15</v>
      </c>
      <c r="V2" s="61" t="s">
        <v>16</v>
      </c>
      <c r="W2" s="61" t="s">
        <v>17</v>
      </c>
      <c r="X2" s="62" t="s">
        <v>18</v>
      </c>
      <c r="Y2" s="3"/>
      <c r="Z2" s="80" t="s">
        <v>0</v>
      </c>
      <c r="AA2" s="81" t="s">
        <v>9</v>
      </c>
      <c r="AB2" s="81" t="s">
        <v>10</v>
      </c>
      <c r="AC2" s="81" t="s">
        <v>11</v>
      </c>
      <c r="AD2" s="81" t="s">
        <v>12</v>
      </c>
      <c r="AE2" s="81" t="s">
        <v>13</v>
      </c>
      <c r="AF2" s="81" t="s">
        <v>14</v>
      </c>
      <c r="AG2" s="81" t="s">
        <v>15</v>
      </c>
      <c r="AH2" s="81" t="s">
        <v>16</v>
      </c>
      <c r="AI2" s="81" t="s">
        <v>17</v>
      </c>
      <c r="AJ2" s="82" t="s">
        <v>18</v>
      </c>
      <c r="AK2" s="3"/>
      <c r="AL2" s="47" t="s">
        <v>0</v>
      </c>
      <c r="AM2" s="48" t="s">
        <v>9</v>
      </c>
      <c r="AN2" s="48" t="s">
        <v>10</v>
      </c>
      <c r="AO2" s="48" t="s">
        <v>11</v>
      </c>
      <c r="AP2" s="48" t="s">
        <v>12</v>
      </c>
      <c r="AQ2" s="48" t="s">
        <v>13</v>
      </c>
      <c r="AR2" s="48" t="s">
        <v>14</v>
      </c>
      <c r="AS2" s="48" t="s">
        <v>15</v>
      </c>
      <c r="AT2" s="48" t="s">
        <v>16</v>
      </c>
      <c r="AU2" s="48" t="s">
        <v>17</v>
      </c>
      <c r="AV2" s="49" t="s">
        <v>18</v>
      </c>
      <c r="AW2" s="3"/>
      <c r="AX2" s="85" t="s">
        <v>0</v>
      </c>
      <c r="AY2" s="86" t="s">
        <v>9</v>
      </c>
      <c r="AZ2" s="86" t="s">
        <v>10</v>
      </c>
      <c r="BA2" s="86" t="s">
        <v>11</v>
      </c>
      <c r="BB2" s="86" t="s">
        <v>12</v>
      </c>
      <c r="BC2" s="86" t="s">
        <v>13</v>
      </c>
      <c r="BD2" s="86" t="s">
        <v>14</v>
      </c>
      <c r="BE2" s="86" t="s">
        <v>15</v>
      </c>
      <c r="BF2" s="86" t="s">
        <v>16</v>
      </c>
      <c r="BG2" s="86" t="s">
        <v>17</v>
      </c>
      <c r="BH2" s="87" t="s">
        <v>18</v>
      </c>
      <c r="BI2" s="3"/>
      <c r="BJ2" s="90" t="s">
        <v>0</v>
      </c>
      <c r="BK2" s="91" t="s">
        <v>9</v>
      </c>
      <c r="BL2" s="91" t="s">
        <v>10</v>
      </c>
      <c r="BM2" s="91" t="s">
        <v>11</v>
      </c>
      <c r="BN2" s="91" t="s">
        <v>12</v>
      </c>
      <c r="BO2" s="91" t="s">
        <v>13</v>
      </c>
      <c r="BP2" s="91" t="s">
        <v>14</v>
      </c>
      <c r="BQ2" s="91" t="s">
        <v>15</v>
      </c>
      <c r="BR2" s="91" t="s">
        <v>16</v>
      </c>
      <c r="BS2" s="91" t="s">
        <v>17</v>
      </c>
      <c r="BT2" s="92" t="s">
        <v>18</v>
      </c>
      <c r="BU2" s="3"/>
      <c r="BV2" s="94" t="s">
        <v>0</v>
      </c>
      <c r="BW2" s="95" t="s">
        <v>9</v>
      </c>
      <c r="BX2" s="95" t="s">
        <v>10</v>
      </c>
      <c r="BY2" s="95" t="s">
        <v>11</v>
      </c>
      <c r="BZ2" s="95" t="s">
        <v>12</v>
      </c>
      <c r="CA2" s="95" t="s">
        <v>13</v>
      </c>
      <c r="CB2" s="95" t="s">
        <v>14</v>
      </c>
      <c r="CC2" s="95" t="s">
        <v>15</v>
      </c>
      <c r="CD2" s="95" t="s">
        <v>16</v>
      </c>
      <c r="CE2" s="95" t="s">
        <v>17</v>
      </c>
      <c r="CF2" s="96" t="s">
        <v>18</v>
      </c>
      <c r="CG2" s="3"/>
      <c r="CH2" s="66" t="s">
        <v>0</v>
      </c>
      <c r="CI2" s="67" t="s">
        <v>9</v>
      </c>
      <c r="CJ2" s="67" t="s">
        <v>10</v>
      </c>
      <c r="CK2" s="67" t="s">
        <v>11</v>
      </c>
      <c r="CL2" s="67" t="s">
        <v>12</v>
      </c>
      <c r="CM2" s="67" t="s">
        <v>13</v>
      </c>
      <c r="CN2" s="67" t="s">
        <v>14</v>
      </c>
      <c r="CO2" s="67" t="s">
        <v>15</v>
      </c>
      <c r="CP2" s="67" t="s">
        <v>16</v>
      </c>
      <c r="CQ2" s="67" t="s">
        <v>17</v>
      </c>
      <c r="CR2" s="68" t="s">
        <v>18</v>
      </c>
      <c r="CS2" s="3"/>
      <c r="CT2" s="70" t="s">
        <v>0</v>
      </c>
      <c r="CU2" s="71" t="s">
        <v>9</v>
      </c>
      <c r="CV2" s="71" t="s">
        <v>10</v>
      </c>
      <c r="CW2" s="71" t="s">
        <v>11</v>
      </c>
      <c r="CX2" s="71" t="s">
        <v>12</v>
      </c>
      <c r="CY2" s="71" t="s">
        <v>13</v>
      </c>
      <c r="CZ2" s="71" t="s">
        <v>14</v>
      </c>
      <c r="DA2" s="71" t="s">
        <v>15</v>
      </c>
      <c r="DB2" s="71" t="s">
        <v>16</v>
      </c>
      <c r="DC2" s="71" t="s">
        <v>17</v>
      </c>
      <c r="DD2" s="72" t="s">
        <v>18</v>
      </c>
      <c r="DE2" s="3"/>
      <c r="DF2" s="59" t="s">
        <v>0</v>
      </c>
      <c r="DG2" s="61" t="s">
        <v>9</v>
      </c>
      <c r="DH2" s="61" t="s">
        <v>10</v>
      </c>
      <c r="DI2" s="61" t="s">
        <v>11</v>
      </c>
      <c r="DJ2" s="61" t="s">
        <v>12</v>
      </c>
      <c r="DK2" s="61" t="s">
        <v>13</v>
      </c>
      <c r="DL2" s="61" t="s">
        <v>14</v>
      </c>
      <c r="DM2" s="61" t="s">
        <v>15</v>
      </c>
      <c r="DN2" s="61" t="s">
        <v>16</v>
      </c>
      <c r="DO2" s="61" t="s">
        <v>17</v>
      </c>
      <c r="DP2" s="62" t="s">
        <v>18</v>
      </c>
      <c r="DQ2" s="3"/>
      <c r="DR2" s="102" t="s">
        <v>0</v>
      </c>
      <c r="DS2" s="103" t="s">
        <v>9</v>
      </c>
      <c r="DT2" s="103" t="s">
        <v>10</v>
      </c>
      <c r="DU2" s="103" t="s">
        <v>11</v>
      </c>
      <c r="DV2" s="103" t="s">
        <v>12</v>
      </c>
      <c r="DW2" s="103" t="s">
        <v>13</v>
      </c>
      <c r="DX2" s="103" t="s">
        <v>14</v>
      </c>
      <c r="DY2" s="103" t="s">
        <v>15</v>
      </c>
      <c r="DZ2" s="103" t="s">
        <v>16</v>
      </c>
      <c r="EA2" s="103" t="s">
        <v>17</v>
      </c>
      <c r="EB2" s="104" t="s">
        <v>18</v>
      </c>
      <c r="EC2" s="3"/>
      <c r="ED2" s="75" t="s">
        <v>0</v>
      </c>
      <c r="EE2" s="76" t="s">
        <v>9</v>
      </c>
      <c r="EF2" s="76" t="s">
        <v>10</v>
      </c>
      <c r="EG2" s="76" t="s">
        <v>11</v>
      </c>
      <c r="EH2" s="76" t="s">
        <v>12</v>
      </c>
      <c r="EI2" s="76" t="s">
        <v>13</v>
      </c>
      <c r="EJ2" s="76" t="s">
        <v>14</v>
      </c>
      <c r="EK2" s="76" t="s">
        <v>15</v>
      </c>
      <c r="EL2" s="76" t="s">
        <v>16</v>
      </c>
      <c r="EM2" s="76" t="s">
        <v>17</v>
      </c>
      <c r="EN2" s="77" t="s">
        <v>18</v>
      </c>
      <c r="EO2" s="3"/>
      <c r="EP2" s="98" t="s">
        <v>0</v>
      </c>
      <c r="EQ2" s="99" t="s">
        <v>9</v>
      </c>
      <c r="ER2" s="99" t="s">
        <v>10</v>
      </c>
      <c r="ES2" s="99" t="s">
        <v>11</v>
      </c>
      <c r="ET2" s="99" t="s">
        <v>12</v>
      </c>
      <c r="EU2" s="99" t="s">
        <v>13</v>
      </c>
      <c r="EV2" s="99" t="s">
        <v>14</v>
      </c>
      <c r="EW2" s="99" t="s">
        <v>15</v>
      </c>
      <c r="EX2" s="99" t="s">
        <v>16</v>
      </c>
      <c r="EY2" s="99" t="s">
        <v>17</v>
      </c>
      <c r="EZ2" s="100" t="s">
        <v>18</v>
      </c>
      <c r="FA2" s="3"/>
      <c r="FB2" s="114" t="s">
        <v>0</v>
      </c>
      <c r="FC2" s="115" t="s">
        <v>9</v>
      </c>
      <c r="FD2" s="115" t="s">
        <v>10</v>
      </c>
      <c r="FE2" s="115" t="s">
        <v>11</v>
      </c>
      <c r="FF2" s="115" t="s">
        <v>12</v>
      </c>
      <c r="FG2" s="115" t="s">
        <v>13</v>
      </c>
      <c r="FH2" s="115" t="s">
        <v>14</v>
      </c>
      <c r="FI2" s="115" t="s">
        <v>15</v>
      </c>
      <c r="FJ2" s="115" t="s">
        <v>16</v>
      </c>
      <c r="FK2" s="115" t="s">
        <v>17</v>
      </c>
      <c r="FL2" s="116" t="s">
        <v>18</v>
      </c>
      <c r="FM2" s="3"/>
      <c r="FN2" s="118" t="s">
        <v>0</v>
      </c>
      <c r="FO2" s="54" t="s">
        <v>9</v>
      </c>
      <c r="FP2" s="54" t="s">
        <v>10</v>
      </c>
      <c r="FQ2" s="54" t="s">
        <v>11</v>
      </c>
      <c r="FR2" s="54" t="s">
        <v>12</v>
      </c>
      <c r="FS2" s="54" t="s">
        <v>13</v>
      </c>
      <c r="FT2" s="54" t="s">
        <v>14</v>
      </c>
      <c r="FU2" s="54" t="s">
        <v>15</v>
      </c>
      <c r="FV2" s="54" t="s">
        <v>16</v>
      </c>
      <c r="FW2" s="54" t="s">
        <v>17</v>
      </c>
      <c r="FX2" s="55" t="s">
        <v>18</v>
      </c>
      <c r="FY2" s="3"/>
      <c r="FZ2" s="119" t="s">
        <v>0</v>
      </c>
      <c r="GA2" s="81" t="s">
        <v>9</v>
      </c>
      <c r="GB2" s="81" t="s">
        <v>10</v>
      </c>
      <c r="GC2" s="81" t="s">
        <v>11</v>
      </c>
      <c r="GD2" s="81" t="s">
        <v>12</v>
      </c>
      <c r="GE2" s="81" t="s">
        <v>13</v>
      </c>
      <c r="GF2" s="81" t="s">
        <v>14</v>
      </c>
      <c r="GG2" s="81" t="s">
        <v>15</v>
      </c>
      <c r="GH2" s="81" t="s">
        <v>16</v>
      </c>
      <c r="GI2" s="81" t="s">
        <v>17</v>
      </c>
      <c r="GJ2" s="82" t="s">
        <v>18</v>
      </c>
      <c r="GK2" s="3"/>
      <c r="GL2" s="114" t="s">
        <v>0</v>
      </c>
      <c r="GM2" s="115" t="s">
        <v>9</v>
      </c>
      <c r="GN2" s="115" t="s">
        <v>10</v>
      </c>
      <c r="GO2" s="115" t="s">
        <v>11</v>
      </c>
      <c r="GP2" s="115" t="s">
        <v>12</v>
      </c>
      <c r="GQ2" s="115" t="s">
        <v>13</v>
      </c>
      <c r="GR2" s="115" t="s">
        <v>14</v>
      </c>
      <c r="GS2" s="115" t="s">
        <v>15</v>
      </c>
      <c r="GT2" s="115" t="s">
        <v>16</v>
      </c>
      <c r="GU2" s="115" t="s">
        <v>17</v>
      </c>
      <c r="GV2" s="116" t="s">
        <v>18</v>
      </c>
      <c r="GW2" s="3"/>
      <c r="GX2" s="111" t="s">
        <v>0</v>
      </c>
      <c r="GY2" s="108" t="s">
        <v>9</v>
      </c>
      <c r="GZ2" s="108" t="s">
        <v>10</v>
      </c>
      <c r="HA2" s="108" t="s">
        <v>11</v>
      </c>
      <c r="HB2" s="108" t="s">
        <v>12</v>
      </c>
      <c r="HC2" s="108" t="s">
        <v>13</v>
      </c>
      <c r="HD2" s="108" t="s">
        <v>14</v>
      </c>
      <c r="HE2" s="108" t="s">
        <v>15</v>
      </c>
      <c r="HF2" s="108" t="s">
        <v>16</v>
      </c>
      <c r="HG2" s="108" t="s">
        <v>17</v>
      </c>
      <c r="HH2" s="109" t="s">
        <v>18</v>
      </c>
    </row>
    <row r="3" spans="1:216" ht="18.75">
      <c r="A3" s="186">
        <v>1</v>
      </c>
      <c r="B3" s="157" t="s">
        <v>115</v>
      </c>
      <c r="C3" s="130">
        <v>10</v>
      </c>
      <c r="D3" s="131">
        <v>8</v>
      </c>
      <c r="E3" s="131">
        <v>9</v>
      </c>
      <c r="F3" s="131">
        <v>9</v>
      </c>
      <c r="G3" s="53">
        <f>SUM(C3:F3)</f>
        <v>36</v>
      </c>
      <c r="H3" s="131">
        <v>39</v>
      </c>
      <c r="I3" s="53">
        <f>G3+H3</f>
        <v>75</v>
      </c>
      <c r="J3" s="53">
        <f>IF(I3&lt;10,"",RANK(I3,I$3:I$52))</f>
        <v>4</v>
      </c>
      <c r="K3" s="53" t="str">
        <f>IF(I3&gt;=70,"A",IF(I3&gt;=50,"C",IF(I3&gt;=45,"P",IF(I3&gt;=6,"F",IF(I3&lt;5,"")))))</f>
        <v>A</v>
      </c>
      <c r="L3" s="53" t="str">
        <f>IF(I3&gt;=70,"Excellent",IF(I3&gt;=50,"Credit",IF(I3&gt;=45,"Pass",IF(I3&gt;=6,"Fail",IF(I3&lt;5,"")))))</f>
        <v>Excellent</v>
      </c>
      <c r="M3" s="44">
        <v>1</v>
      </c>
      <c r="N3" s="59"/>
      <c r="O3" s="135">
        <v>4</v>
      </c>
      <c r="P3" s="136">
        <v>2</v>
      </c>
      <c r="Q3" s="136">
        <v>7</v>
      </c>
      <c r="R3" s="136">
        <v>10</v>
      </c>
      <c r="S3" s="59">
        <f>SUM(O3:R3)</f>
        <v>23</v>
      </c>
      <c r="T3" s="136">
        <v>31</v>
      </c>
      <c r="U3" s="59">
        <f>S3+T3</f>
        <v>54</v>
      </c>
      <c r="V3" s="59">
        <f>IF(U3&lt;10,"",RANK(U3,U$3:U$52))</f>
        <v>4</v>
      </c>
      <c r="W3" s="59" t="str">
        <f>IF(U3&gt;=70,"A",IF(U3&gt;=50,"C",IF(U3&gt;=45,"P",IF(U3&gt;=6,"F",IF(U3&lt;5,"")))))</f>
        <v>C</v>
      </c>
      <c r="X3" s="59" t="str">
        <f>IF(U3&gt;=70,"Excellent",IF(U3&gt;=50,"Credit",IF(U3&gt;=45,"Pass",IF(U3&gt;=6,"Fail",IF(U3&lt;5,"")))))</f>
        <v>Credit</v>
      </c>
      <c r="Y3" s="3">
        <v>1</v>
      </c>
      <c r="Z3" s="80"/>
      <c r="AA3" s="135">
        <v>10</v>
      </c>
      <c r="AB3" s="136">
        <v>8</v>
      </c>
      <c r="AC3" s="136">
        <v>9</v>
      </c>
      <c r="AD3" s="136">
        <v>9</v>
      </c>
      <c r="AE3" s="80">
        <f>SUM(AA3:AD3)</f>
        <v>36</v>
      </c>
      <c r="AF3" s="136">
        <v>41</v>
      </c>
      <c r="AG3" s="80">
        <f>AE3+AF3</f>
        <v>77</v>
      </c>
      <c r="AH3" s="80">
        <f>IF(AG3&lt;10,"",RANK(AG3,AG$3:AG$52))</f>
        <v>4</v>
      </c>
      <c r="AI3" s="80" t="str">
        <f>IF(AG3&gt;=70,"A",IF(AG3&gt;=50,"C",IF(AG3&gt;=45,"P",IF(AG3&gt;=6,"F",IF(AG3&lt;5,"")))))</f>
        <v>A</v>
      </c>
      <c r="AJ3" s="80" t="str">
        <f>IF(AG3&gt;=70,"Excellent",IF(AG3&gt;=50,"Credit",IF(AG3&gt;=45,"Pass",IF(AG3&gt;=6,"Fail",IF(AG3&lt;5,"")))))</f>
        <v>Excellent</v>
      </c>
      <c r="AK3" s="3">
        <v>1</v>
      </c>
      <c r="AL3" s="157" t="s">
        <v>115</v>
      </c>
      <c r="AM3" s="135"/>
      <c r="AN3" s="136"/>
      <c r="AO3" s="136"/>
      <c r="AP3" s="136"/>
      <c r="AQ3" s="47">
        <f>SUM(AM3:AP3)</f>
        <v>0</v>
      </c>
      <c r="AR3" s="136"/>
      <c r="AS3" s="47">
        <f>AQ3+AR3</f>
        <v>0</v>
      </c>
      <c r="AT3" s="47" t="str">
        <f>IF(AS3&lt;10,"",RANK(AS3,AS$3:AS$52))</f>
        <v/>
      </c>
      <c r="AU3" s="47" t="str">
        <f>IF(AS3&gt;=70,"A",IF(AS3&gt;=50,"C",IF(AS3&gt;=45,"P",IF(AS3&gt;=6,"F",IF(AS3&lt;5,"")))))</f>
        <v/>
      </c>
      <c r="AV3" s="47" t="str">
        <f>IF(AS3&gt;=70,"Excellent",IF(AS3&gt;=50,"Credit",IF(AS3&gt;=45,"Pass",IF(AS3&gt;=6,"Fail",IF(AS3&lt;5,"")))))</f>
        <v/>
      </c>
      <c r="AW3" s="3">
        <v>1</v>
      </c>
      <c r="AX3" s="157" t="s">
        <v>115</v>
      </c>
      <c r="AY3" s="130">
        <v>10</v>
      </c>
      <c r="AZ3" s="131">
        <v>9</v>
      </c>
      <c r="BA3" s="131">
        <v>7</v>
      </c>
      <c r="BB3" s="131">
        <v>10</v>
      </c>
      <c r="BC3" s="85">
        <f>SUM(AY3:BB3)</f>
        <v>36</v>
      </c>
      <c r="BD3" s="131">
        <v>46</v>
      </c>
      <c r="BE3" s="85">
        <f>BC3+BD3</f>
        <v>82</v>
      </c>
      <c r="BF3" s="85">
        <f>IF(BE3&lt;10,"",RANK(BE3,BE$3:BE$52))</f>
        <v>5</v>
      </c>
      <c r="BG3" s="85" t="str">
        <f>IF(BE3&gt;=70,"A",IF(BE3&gt;=50,"C",IF(BE3&gt;=45,"P",IF(BE3&gt;=6,"F",IF(BE3&lt;5,"")))))</f>
        <v>A</v>
      </c>
      <c r="BH3" s="85" t="str">
        <f>IF(BE3&gt;=70,"Excellent",IF(BE3&gt;=50,"Credit",IF(BE3&gt;=45,"Pass",IF(BE3&gt;=6,"Fail",IF(BE3&lt;5,"")))))</f>
        <v>Excellent</v>
      </c>
      <c r="BI3" s="3">
        <v>1</v>
      </c>
      <c r="BJ3" s="90"/>
      <c r="BK3" s="167">
        <v>8</v>
      </c>
      <c r="BL3" s="168">
        <v>8</v>
      </c>
      <c r="BM3" s="168">
        <v>10</v>
      </c>
      <c r="BN3" s="168">
        <v>10</v>
      </c>
      <c r="BO3" s="90">
        <f>SUM(BK3:BN3)</f>
        <v>36</v>
      </c>
      <c r="BP3" s="173">
        <v>34</v>
      </c>
      <c r="BQ3" s="90">
        <f>BO3+BP3</f>
        <v>70</v>
      </c>
      <c r="BR3" s="90">
        <f>IF(BQ3&lt;10,"",RANK(BQ3,BQ$3:BQ$52))</f>
        <v>3</v>
      </c>
      <c r="BS3" s="90" t="str">
        <f>IF(BQ3&gt;=70,"A",IF(BQ3&gt;=50,"C",IF(BQ3&gt;=45,"P",IF(BQ3&gt;=6,"F",IF(BQ3&lt;5,"")))))</f>
        <v>A</v>
      </c>
      <c r="BT3" s="90" t="str">
        <f>IF(BQ3&gt;=70,"Excellent",IF(BQ3&gt;=50,"Credit",IF(BQ3&gt;=45,"Pass",IF(BQ3&gt;=6,"Fail",IF(BQ3&lt;5,"")))))</f>
        <v>Excellent</v>
      </c>
      <c r="BU3" s="3">
        <v>1</v>
      </c>
      <c r="BV3" s="157" t="s">
        <v>115</v>
      </c>
      <c r="BW3" s="145">
        <v>10</v>
      </c>
      <c r="BX3" s="143">
        <v>3</v>
      </c>
      <c r="BY3" s="143">
        <v>10</v>
      </c>
      <c r="BZ3" s="143">
        <v>7</v>
      </c>
      <c r="CA3" s="94">
        <f>SUM(BW3:BZ3)</f>
        <v>30</v>
      </c>
      <c r="CB3" s="143">
        <v>42</v>
      </c>
      <c r="CC3" s="94">
        <f>CA3+CB3</f>
        <v>72</v>
      </c>
      <c r="CD3" s="94">
        <f>IF(CC3&lt;10,"",RANK(CC3,CC$3:CC$52))</f>
        <v>4</v>
      </c>
      <c r="CE3" s="94" t="str">
        <f>IF(CC3&gt;=70,"A",IF(CC3&gt;=50,"C",IF(CC3&gt;=45,"P",IF(CC3&gt;=6,"F",IF(CC3&lt;5,"")))))</f>
        <v>A</v>
      </c>
      <c r="CF3" s="94" t="str">
        <f>IF(CC3&gt;=70,"Excellent",IF(CC3&gt;=50,"Credit",IF(CC3&gt;=45,"Pass",IF(CC3&gt;=6,"Fail",IF(CC3&lt;5,"")))))</f>
        <v>Excellent</v>
      </c>
      <c r="CG3" s="3">
        <v>1</v>
      </c>
      <c r="CH3" s="157" t="s">
        <v>115</v>
      </c>
      <c r="CI3" s="145">
        <v>10</v>
      </c>
      <c r="CJ3" s="143">
        <v>10</v>
      </c>
      <c r="CK3" s="143">
        <v>8</v>
      </c>
      <c r="CL3" s="143">
        <v>8</v>
      </c>
      <c r="CM3" s="66">
        <f>SUM(CI3:CL3)</f>
        <v>36</v>
      </c>
      <c r="CN3" s="143">
        <v>45</v>
      </c>
      <c r="CO3" s="66">
        <f>CM3+CN3</f>
        <v>81</v>
      </c>
      <c r="CP3" s="66">
        <f>IF(CO3&lt;10,"",RANK(CO3,CO$3:CO$52))</f>
        <v>7</v>
      </c>
      <c r="CQ3" s="66" t="str">
        <f>IF(CO3&gt;=70,"A",IF(CO3&gt;=50,"C",IF(CO3&gt;=45,"P",IF(CO3&gt;=6,"F",IF(CO3&lt;5,"")))))</f>
        <v>A</v>
      </c>
      <c r="CR3" s="66" t="str">
        <f>IF(CO3&gt;=70,"Excellent",IF(CO3&gt;=50,"Credit",IF(CO3&gt;=45,"Pass",IF(CO3&gt;=6,"Fail",IF(CO3&lt;5,"")))))</f>
        <v>Excellent</v>
      </c>
      <c r="CS3" s="3">
        <v>1</v>
      </c>
      <c r="CT3" s="157" t="s">
        <v>115</v>
      </c>
      <c r="CU3" s="148">
        <v>10</v>
      </c>
      <c r="CV3" s="149">
        <v>9</v>
      </c>
      <c r="CW3" s="149">
        <v>8</v>
      </c>
      <c r="CX3" s="149">
        <v>10</v>
      </c>
      <c r="CY3" s="70">
        <f>SUM(CU3:CX3)</f>
        <v>37</v>
      </c>
      <c r="CZ3" s="149">
        <v>43</v>
      </c>
      <c r="DA3" s="70">
        <f>CY3+CZ3</f>
        <v>80</v>
      </c>
      <c r="DB3" s="70">
        <f>IF(DA3&lt;10,"",RANK(DA3,DA$3:DA$52))</f>
        <v>4</v>
      </c>
      <c r="DC3" s="70" t="str">
        <f>IF(DA3&gt;=70,"A",IF(DA3&gt;=50,"C",IF(DA3&gt;=45,"P",IF(DA3&gt;=6,"F",IF(DA3&lt;5,"")))))</f>
        <v>A</v>
      </c>
      <c r="DD3" s="70" t="str">
        <f>IF(DA3&gt;=70,"Excellent",IF(DA3&gt;=50,"Credit",IF(DA3&gt;=45,"Pass",IF(DA3&gt;=6,"Fail",IF(DA3&lt;5,"")))))</f>
        <v>Excellent</v>
      </c>
      <c r="DE3" s="3">
        <v>1</v>
      </c>
      <c r="DF3" s="59"/>
      <c r="DG3" s="145">
        <v>10</v>
      </c>
      <c r="DH3" s="143">
        <v>9</v>
      </c>
      <c r="DI3" s="143">
        <v>6</v>
      </c>
      <c r="DJ3" s="143">
        <v>9</v>
      </c>
      <c r="DK3" s="59">
        <f>SUM(DG3:DJ3)</f>
        <v>34</v>
      </c>
      <c r="DL3" s="143">
        <v>46</v>
      </c>
      <c r="DM3" s="59">
        <f>DK3+DL3</f>
        <v>80</v>
      </c>
      <c r="DN3" s="59">
        <f>IF(DM3&lt;10,"",RANK(DM3,DM$3:DM$52))</f>
        <v>5</v>
      </c>
      <c r="DO3" s="59" t="str">
        <f>IF(DM3&gt;=70,"A",IF(DM3&gt;=50,"C",IF(DM3&gt;=45,"P",IF(DM3&gt;=6,"F",IF(DM3&lt;5,"")))))</f>
        <v>A</v>
      </c>
      <c r="DP3" s="59" t="str">
        <f>IF(DM3&gt;=70,"Excellent",IF(DM3&gt;=50,"Credit",IF(DM3&gt;=45,"Pass",IF(DM3&gt;=6,"Fail",IF(DM3&lt;5,"")))))</f>
        <v>Excellent</v>
      </c>
      <c r="DQ3" s="3">
        <v>1</v>
      </c>
      <c r="DR3" s="157" t="s">
        <v>115</v>
      </c>
      <c r="DS3" s="145">
        <v>10</v>
      </c>
      <c r="DT3" s="143">
        <v>10</v>
      </c>
      <c r="DU3" s="143">
        <v>9</v>
      </c>
      <c r="DV3" s="143">
        <v>10</v>
      </c>
      <c r="DW3" s="102">
        <f>SUM(DS3:DV3)</f>
        <v>39</v>
      </c>
      <c r="DX3" s="143">
        <v>31</v>
      </c>
      <c r="DY3" s="102">
        <f>DW3+DX3</f>
        <v>70</v>
      </c>
      <c r="DZ3" s="102">
        <f>IF(DY3&lt;10,"",RANK(DY3,DY$3:DY$52))</f>
        <v>9</v>
      </c>
      <c r="EA3" s="102" t="str">
        <f>IF(DY3&gt;=70,"A",IF(DY3&gt;=50,"C",IF(DY3&gt;=45,"P",IF(DY3&gt;=6,"F",IF(DY3&lt;5,"")))))</f>
        <v>A</v>
      </c>
      <c r="EB3" s="102" t="str">
        <f>IF(DY3&gt;=70,"Excellent",IF(DY3&gt;=50,"Credit",IF(DY3&gt;=45,"Pass",IF(DY3&gt;=6,"Fail",IF(DY3&lt;5,"")))))</f>
        <v>Excellent</v>
      </c>
      <c r="EC3" s="3">
        <v>1</v>
      </c>
      <c r="ED3" s="75"/>
      <c r="EE3" s="145">
        <v>7</v>
      </c>
      <c r="EF3" s="143">
        <v>9</v>
      </c>
      <c r="EG3" s="143">
        <v>9</v>
      </c>
      <c r="EH3" s="143">
        <v>7</v>
      </c>
      <c r="EI3" s="75">
        <f>SUM(EE3:EH3)</f>
        <v>32</v>
      </c>
      <c r="EJ3" s="143">
        <v>30</v>
      </c>
      <c r="EK3" s="75">
        <f t="shared" ref="EK3:EK34" si="0">EI3+EJ3</f>
        <v>62</v>
      </c>
      <c r="EL3" s="75">
        <f>IF(EK3&lt;10,"",RANK(EK3,EK$3:EK$52))</f>
        <v>6</v>
      </c>
      <c r="EM3" s="75" t="str">
        <f>IF(EK3&gt;=70,"A",IF(EK3&gt;=50,"C",IF(EK3&gt;=45,"P",IF(EK3&gt;=6,"F",IF(EK3&lt;5,"")))))</f>
        <v>C</v>
      </c>
      <c r="EN3" s="75" t="str">
        <f>IF(EK3&gt;=70,"Excellent",IF(EK3&gt;=50,"Credit",IF(EK3&gt;=45,"Pass",IF(EK3&gt;=6,"Fail",IF(EK3&lt;5,"")))))</f>
        <v>Credit</v>
      </c>
      <c r="EO3" s="3">
        <v>1</v>
      </c>
      <c r="EP3" s="157" t="s">
        <v>115</v>
      </c>
      <c r="EQ3" s="3">
        <v>6</v>
      </c>
      <c r="ER3" s="147">
        <v>4</v>
      </c>
      <c r="ES3" s="147">
        <v>10</v>
      </c>
      <c r="ET3" s="147">
        <v>10</v>
      </c>
      <c r="EU3" s="98">
        <f>SUM(EQ3:ET3)</f>
        <v>30</v>
      </c>
      <c r="EV3" s="147">
        <v>30</v>
      </c>
      <c r="EW3" s="98">
        <f>EU3+EV3</f>
        <v>60</v>
      </c>
      <c r="EX3" s="98">
        <f>IF(EW3&lt;10,"",RANK(EW3,EW$3:EW$52))</f>
        <v>10</v>
      </c>
      <c r="EY3" s="98" t="str">
        <f>IF(EW3&gt;=70,"A",IF(EW3&gt;=50,"C",IF(EW3&gt;=45,"P",IF(EW3&gt;=6,"F",IF(EW3&lt;5,"")))))</f>
        <v>C</v>
      </c>
      <c r="EZ3" s="98" t="str">
        <f>IF(EW3&gt;=70,"Excellent",IF(EW3&gt;=50,"Credit",IF(EW3&gt;=45,"Pass",IF(EW3&gt;=6,"Fail",IF(EW3&lt;5,"")))))</f>
        <v>Credit</v>
      </c>
      <c r="FA3" s="3">
        <v>1</v>
      </c>
      <c r="FB3" s="113"/>
      <c r="FC3" s="145">
        <v>10</v>
      </c>
      <c r="FD3" s="143">
        <v>10</v>
      </c>
      <c r="FE3" s="143">
        <v>8</v>
      </c>
      <c r="FF3" s="143">
        <v>8</v>
      </c>
      <c r="FG3" s="113">
        <f>SUM(FC3:FF3)</f>
        <v>36</v>
      </c>
      <c r="FH3" s="143">
        <v>47</v>
      </c>
      <c r="FI3" s="113">
        <f>FG3+FH3</f>
        <v>83</v>
      </c>
      <c r="FJ3" s="113">
        <f>IF(FI3&lt;10,"",RANK(FI3,FI$3:FI$52))</f>
        <v>7</v>
      </c>
      <c r="FK3" s="113" t="str">
        <f>IF(FI3&gt;=70,"A",IF(FI3&gt;=50,"C",IF(FI3&gt;=45,"P",IF(FI3&gt;=6,"F",IF(FI3&lt;5,"")))))</f>
        <v>A</v>
      </c>
      <c r="FL3" s="113" t="str">
        <f>IF(FI3&gt;=70,"Excellent",IF(FI3&gt;=50,"Credit",IF(FI3&gt;=45,"Pass",IF(FI3&gt;=6,"Fail",IF(FI3&lt;5,"")))))</f>
        <v>Excellent</v>
      </c>
      <c r="FM3" s="3">
        <v>1</v>
      </c>
      <c r="FN3" s="53"/>
      <c r="FO3" s="145">
        <v>10</v>
      </c>
      <c r="FP3" s="143">
        <v>10</v>
      </c>
      <c r="FQ3" s="143">
        <v>10</v>
      </c>
      <c r="FR3" s="143">
        <v>5</v>
      </c>
      <c r="FS3" s="53">
        <f>SUM(FO3:FR3)</f>
        <v>35</v>
      </c>
      <c r="FT3" s="143">
        <v>46</v>
      </c>
      <c r="FU3" s="53">
        <f>FS3+FT3</f>
        <v>81</v>
      </c>
      <c r="FV3" s="53">
        <f>IF(FU3&lt;10,"",RANK(FU3,FU$3:FU$52))</f>
        <v>7</v>
      </c>
      <c r="FW3" s="53" t="str">
        <f>IF(FU3&gt;=70,"A",IF(FU3&gt;=50,"C",IF(FU3&gt;=45,"P",IF(FU3&gt;=6,"F",IF(FU3&lt;5,"")))))</f>
        <v>A</v>
      </c>
      <c r="FX3" s="53" t="str">
        <f>IF(FU3&gt;=70,"Excellent",IF(FU3&gt;=50,"Credit",IF(FU3&gt;=45,"Pass",IF(FU3&gt;=6,"Fail",IF(FU3&lt;5,"")))))</f>
        <v>Excellent</v>
      </c>
      <c r="FY3" s="3">
        <v>1</v>
      </c>
      <c r="FZ3" s="80"/>
      <c r="GA3" s="80"/>
      <c r="GB3" s="80"/>
      <c r="GC3" s="80"/>
      <c r="GD3" s="80"/>
      <c r="GE3" s="80">
        <f>SUM(GA3:GD3)</f>
        <v>0</v>
      </c>
      <c r="GF3" s="80"/>
      <c r="GG3" s="80">
        <f>GE3+GF3</f>
        <v>0</v>
      </c>
      <c r="GH3" s="80" t="str">
        <f>IF(GG3&lt;10,"",RANK(GG3,GG$3:GG$52))</f>
        <v/>
      </c>
      <c r="GI3" s="80" t="str">
        <f>IF(GG3&gt;=70,"A",IF(GG3&gt;=50,"C",IF(GG3&gt;=45,"P",IF(GG3&gt;=6,"F",IF(GG3&lt;5,"")))))</f>
        <v/>
      </c>
      <c r="GJ3" s="80" t="str">
        <f>IF(GG3&gt;=70,"Excellent",IF(GG3&gt;=50,"Credit",IF(GG3&gt;=45,"Pass",IF(GG3&gt;=6,"Fail",IF(GG3&lt;5,"")))))</f>
        <v/>
      </c>
      <c r="GK3" s="3">
        <v>1</v>
      </c>
      <c r="GL3" s="157" t="s">
        <v>115</v>
      </c>
      <c r="GM3" s="145">
        <v>10</v>
      </c>
      <c r="GN3" s="143">
        <v>8</v>
      </c>
      <c r="GO3" s="143">
        <v>10</v>
      </c>
      <c r="GP3" s="143">
        <v>9</v>
      </c>
      <c r="GQ3" s="113">
        <f>SUM(GM3:GP3)</f>
        <v>37</v>
      </c>
      <c r="GR3" s="143">
        <v>49</v>
      </c>
      <c r="GS3" s="113">
        <f>GQ3+GR3</f>
        <v>86</v>
      </c>
      <c r="GT3" s="113">
        <f>IF(GS3&lt;10,"",RANK(GS3,GS$3:GS$52))</f>
        <v>2</v>
      </c>
      <c r="GU3" s="113" t="str">
        <f>IF(GS3&gt;=70,"A",IF(GS3&gt;=50,"C",IF(GS3&gt;=45,"P",IF(GS3&gt;=6,"F",IF(GS3&lt;5,"")))))</f>
        <v>A</v>
      </c>
      <c r="GV3" s="113" t="str">
        <f>IF(GS3&gt;=70,"Excellent",IF(GS3&gt;=50,"Credit",IF(GS3&gt;=45,"Pass",IF(GS3&gt;=6,"Fail",IF(GS3&lt;5,"")))))</f>
        <v>Excellent</v>
      </c>
      <c r="GW3" s="3">
        <v>1</v>
      </c>
      <c r="GX3" s="107"/>
      <c r="GY3" s="145">
        <v>10</v>
      </c>
      <c r="GZ3" s="143">
        <v>10</v>
      </c>
      <c r="HA3" s="143">
        <v>10</v>
      </c>
      <c r="HB3" s="143">
        <v>10</v>
      </c>
      <c r="HC3" s="107">
        <f>SUM(GY3:HB3)</f>
        <v>40</v>
      </c>
      <c r="HD3" s="143">
        <v>51</v>
      </c>
      <c r="HE3" s="107">
        <f>HC3+HD3</f>
        <v>91</v>
      </c>
      <c r="HF3" s="107">
        <f>IF(HE3&lt;10,"",RANK(HE3,HE$3:HE$52))</f>
        <v>1</v>
      </c>
      <c r="HG3" s="107" t="str">
        <f>IF(HE3&gt;=70,"A",IF(HE3&gt;=50,"C",IF(HE3&gt;=45,"P",IF(HE3&gt;=6,"F",IF(HE3&lt;5,"")))))</f>
        <v>A</v>
      </c>
      <c r="HH3" s="107" t="str">
        <f>IF(HE3&gt;=70,"Excellent",IF(HE3&gt;=50,"Credit",IF(HE3&gt;=45,"Pass",IF(HE3&gt;=6,"Fail",IF(HE3&lt;5,"")))))</f>
        <v>Excellent</v>
      </c>
    </row>
    <row r="4" spans="1:216" ht="25.5">
      <c r="A4" s="185">
        <v>2</v>
      </c>
      <c r="B4" s="157" t="s">
        <v>116</v>
      </c>
      <c r="C4" s="130">
        <v>9</v>
      </c>
      <c r="D4" s="131">
        <v>5</v>
      </c>
      <c r="E4" s="131">
        <v>8</v>
      </c>
      <c r="F4" s="131">
        <v>10</v>
      </c>
      <c r="G4" s="53">
        <f t="shared" ref="G4:G30" si="1">SUM(C4:F4)</f>
        <v>32</v>
      </c>
      <c r="H4" s="131">
        <v>31</v>
      </c>
      <c r="I4" s="53">
        <f t="shared" ref="I4:I30" si="2">G4+H4</f>
        <v>63</v>
      </c>
      <c r="J4" s="53">
        <f t="shared" ref="J4:J52" si="3">IF(I4&lt;10,"",RANK(I4,I$3:I$52))</f>
        <v>20</v>
      </c>
      <c r="K4" s="53" t="str">
        <f t="shared" ref="K4:K52" si="4">IF(I4&gt;=70,"A",IF(I4&gt;=50,"C",IF(I4&gt;=45,"P",IF(I4&gt;=6,"F",IF(I4&lt;5,"")))))</f>
        <v>C</v>
      </c>
      <c r="L4" s="53" t="str">
        <f t="shared" ref="L4:L52" si="5">IF(I4&gt;=70,"Excellent",IF(I4&gt;=50,"Credit",IF(I4&gt;=45,"Pass",IF(I4&gt;=6,"Fail",IF(I4&lt;5,"")))))</f>
        <v>Credit</v>
      </c>
      <c r="M4" s="44">
        <v>2</v>
      </c>
      <c r="N4" s="59"/>
      <c r="O4" s="135">
        <v>0</v>
      </c>
      <c r="P4" s="136">
        <v>1</v>
      </c>
      <c r="Q4" s="136">
        <v>7</v>
      </c>
      <c r="R4" s="136">
        <v>10</v>
      </c>
      <c r="S4" s="59">
        <f t="shared" ref="S4:S22" si="6">SUM(O4:R4)</f>
        <v>18</v>
      </c>
      <c r="T4" s="136">
        <v>16</v>
      </c>
      <c r="U4" s="59">
        <f t="shared" ref="U4:U52" si="7">S4+T4</f>
        <v>34</v>
      </c>
      <c r="V4" s="59">
        <f t="shared" ref="V4:V52" si="8">IF(U4&lt;10,"",RANK(U4,U$3:U$52))</f>
        <v>44</v>
      </c>
      <c r="W4" s="59" t="str">
        <f t="shared" ref="W4:W52" si="9">IF(U4&gt;=70,"A",IF(U4&gt;=50,"C",IF(U4&gt;=45,"P",IF(U4&gt;=6,"F",IF(U4&lt;5,"")))))</f>
        <v>F</v>
      </c>
      <c r="X4" s="59" t="str">
        <f t="shared" ref="X4:X52" si="10">IF(U4&gt;=70,"Excellent",IF(U4&gt;=50,"Credit",IF(U4&gt;=45,"Pass",IF(U4&gt;=6,"Fail",IF(U4&lt;5,"")))))</f>
        <v>Fail</v>
      </c>
      <c r="Y4" s="3">
        <v>2</v>
      </c>
      <c r="Z4" s="80"/>
      <c r="AA4" s="135">
        <v>6</v>
      </c>
      <c r="AB4" s="136">
        <v>7</v>
      </c>
      <c r="AC4" s="136">
        <v>7</v>
      </c>
      <c r="AD4" s="136">
        <v>9</v>
      </c>
      <c r="AE4" s="80">
        <f>SUM(AA4:AD4)</f>
        <v>29</v>
      </c>
      <c r="AF4" s="136">
        <v>32</v>
      </c>
      <c r="AG4" s="80">
        <f t="shared" ref="AG4:AG52" si="11">AE4+AF4</f>
        <v>61</v>
      </c>
      <c r="AH4" s="80">
        <f t="shared" ref="AH4:AH52" si="12">IF(AG4&lt;10,"",RANK(AG4,AG$3:AG$52))</f>
        <v>25</v>
      </c>
      <c r="AI4" s="80" t="str">
        <f t="shared" ref="AI4:AI52" si="13">IF(AG4&gt;=70,"A",IF(AG4&gt;=50,"C",IF(AG4&gt;=45,"P",IF(AG4&gt;=6,"F",IF(AG4&lt;5,"")))))</f>
        <v>C</v>
      </c>
      <c r="AJ4" s="80" t="str">
        <f t="shared" ref="AJ4:AJ52" si="14">IF(AG4&gt;=70,"Excellent",IF(AG4&gt;=50,"Credit",IF(AG4&gt;=45,"Pass",IF(AG4&gt;=6,"Fail",IF(AG4&lt;5,"")))))</f>
        <v>Credit</v>
      </c>
      <c r="AK4" s="3">
        <v>2</v>
      </c>
      <c r="AL4" s="157" t="s">
        <v>116</v>
      </c>
      <c r="AM4" s="135"/>
      <c r="AN4" s="136"/>
      <c r="AO4" s="136"/>
      <c r="AP4" s="136"/>
      <c r="AQ4" s="47">
        <f t="shared" ref="AQ4:AQ52" si="15">SUM(AM4:AP4)</f>
        <v>0</v>
      </c>
      <c r="AR4" s="136"/>
      <c r="AS4" s="47">
        <f t="shared" ref="AS4:AS52" si="16">AQ4+AR4</f>
        <v>0</v>
      </c>
      <c r="AT4" s="47" t="str">
        <f t="shared" ref="AT4:AT52" si="17">IF(AS4&lt;10,"",RANK(AS4,AS$3:AS$52))</f>
        <v/>
      </c>
      <c r="AU4" s="47" t="str">
        <f t="shared" ref="AU4:AU52" si="18">IF(AS4&gt;=70,"A",IF(AS4&gt;=50,"C",IF(AS4&gt;=45,"P",IF(AS4&gt;=6,"F",IF(AS4&lt;5,"")))))</f>
        <v/>
      </c>
      <c r="AV4" s="47" t="str">
        <f t="shared" ref="AV4:AV52" si="19">IF(AS4&gt;=70,"Excellent",IF(AS4&gt;=50,"Credit",IF(AS4&gt;=45,"Pass",IF(AS4&gt;=6,"Fail",IF(AS4&lt;5,"")))))</f>
        <v/>
      </c>
      <c r="AW4" s="3">
        <v>2</v>
      </c>
      <c r="AX4" s="157" t="s">
        <v>116</v>
      </c>
      <c r="AY4" s="130">
        <v>8</v>
      </c>
      <c r="AZ4" s="131">
        <v>5</v>
      </c>
      <c r="BA4" s="131">
        <v>8</v>
      </c>
      <c r="BB4" s="131">
        <v>10</v>
      </c>
      <c r="BC4" s="85">
        <f t="shared" ref="BC4:BC52" si="20">SUM(AY4:BB4)</f>
        <v>31</v>
      </c>
      <c r="BD4" s="131">
        <v>39</v>
      </c>
      <c r="BE4" s="85">
        <f t="shared" ref="BE4:BE52" si="21">BC4+BD4</f>
        <v>70</v>
      </c>
      <c r="BF4" s="85">
        <f t="shared" ref="BF4:BF52" si="22">IF(BE4&lt;10,"",RANK(BE4,BE$3:BE$52))</f>
        <v>21</v>
      </c>
      <c r="BG4" s="85" t="str">
        <f t="shared" ref="BG4:BG52" si="23">IF(BE4&gt;=70,"A",IF(BE4&gt;=50,"C",IF(BE4&gt;=45,"P",IF(BE4&gt;=6,"F",IF(BE4&lt;5,"")))))</f>
        <v>A</v>
      </c>
      <c r="BH4" s="85" t="str">
        <f t="shared" ref="BH4:BH52" si="24">IF(BE4&gt;=70,"Excellent",IF(BE4&gt;=50,"Credit",IF(BE4&gt;=45,"Pass",IF(BE4&gt;=6,"Fail",IF(BE4&lt;5,"")))))</f>
        <v>Excellent</v>
      </c>
      <c r="BI4" s="3">
        <v>2</v>
      </c>
      <c r="BJ4" s="90"/>
      <c r="BK4" s="167"/>
      <c r="BL4" s="168">
        <v>7</v>
      </c>
      <c r="BM4" s="168">
        <v>10</v>
      </c>
      <c r="BN4" s="168">
        <v>10</v>
      </c>
      <c r="BO4" s="90">
        <f t="shared" ref="BO4:BO52" si="25">SUM(BK4:BN4)</f>
        <v>27</v>
      </c>
      <c r="BP4" s="173">
        <v>20</v>
      </c>
      <c r="BQ4" s="90">
        <f t="shared" ref="BQ4:BQ52" si="26">BO4+BP4</f>
        <v>47</v>
      </c>
      <c r="BR4" s="90">
        <f t="shared" ref="BR4:BR52" si="27">IF(BQ4&lt;10,"",RANK(BQ4,BQ$3:BQ$52))</f>
        <v>24</v>
      </c>
      <c r="BS4" s="90" t="str">
        <f t="shared" ref="BS4:BS52" si="28">IF(BQ4&gt;=70,"A",IF(BQ4&gt;=50,"C",IF(BQ4&gt;=45,"P",IF(BQ4&gt;=6,"F",IF(BQ4&lt;5,"")))))</f>
        <v>P</v>
      </c>
      <c r="BT4" s="90" t="str">
        <f t="shared" ref="BT4:BT52" si="29">IF(BQ4&gt;=70,"Excellent",IF(BQ4&gt;=50,"Credit",IF(BQ4&gt;=45,"Pass",IF(BQ4&gt;=6,"Fail",IF(BQ4&lt;5,"")))))</f>
        <v>Pass</v>
      </c>
      <c r="BU4" s="3">
        <v>2</v>
      </c>
      <c r="BV4" s="157" t="s">
        <v>116</v>
      </c>
      <c r="BW4" s="145">
        <v>7</v>
      </c>
      <c r="BX4" s="143">
        <v>2</v>
      </c>
      <c r="BY4" s="143">
        <v>9</v>
      </c>
      <c r="BZ4" s="143">
        <v>9</v>
      </c>
      <c r="CA4" s="94">
        <f t="shared" ref="CA4:CA52" si="30">SUM(BW4:BZ4)</f>
        <v>27</v>
      </c>
      <c r="CB4" s="143">
        <v>25</v>
      </c>
      <c r="CC4" s="94">
        <f t="shared" ref="CC4:CC52" si="31">CA4+CB4</f>
        <v>52</v>
      </c>
      <c r="CD4" s="94">
        <f t="shared" ref="CD4:CD52" si="32">IF(CC4&lt;10,"",RANK(CC4,CC$3:CC$52))</f>
        <v>34</v>
      </c>
      <c r="CE4" s="94" t="str">
        <f t="shared" ref="CE4:CE52" si="33">IF(CC4&gt;=70,"A",IF(CC4&gt;=50,"C",IF(CC4&gt;=45,"P",IF(CC4&gt;=6,"F",IF(CC4&lt;5,"")))))</f>
        <v>C</v>
      </c>
      <c r="CF4" s="94" t="str">
        <f t="shared" ref="CF4:CF52" si="34">IF(CC4&gt;=70,"Excellent",IF(CC4&gt;=50,"Credit",IF(CC4&gt;=45,"Pass",IF(CC4&gt;=6,"Fail",IF(CC4&lt;5,"")))))</f>
        <v>Credit</v>
      </c>
      <c r="CG4" s="3">
        <v>2</v>
      </c>
      <c r="CH4" s="157" t="s">
        <v>116</v>
      </c>
      <c r="CI4" s="145">
        <v>3</v>
      </c>
      <c r="CJ4" s="143">
        <v>8</v>
      </c>
      <c r="CK4" s="143">
        <v>8</v>
      </c>
      <c r="CL4" s="143">
        <v>7</v>
      </c>
      <c r="CM4" s="66">
        <f t="shared" ref="CM4:CM52" si="35">SUM(CI4:CL4)</f>
        <v>26</v>
      </c>
      <c r="CN4" s="143">
        <v>52</v>
      </c>
      <c r="CO4" s="66">
        <v>26</v>
      </c>
      <c r="CP4" s="66">
        <f t="shared" ref="CP4:CP52" si="36">IF(CO4&lt;10,"",RANK(CO4,CO$3:CO$52))</f>
        <v>46</v>
      </c>
      <c r="CQ4" s="66" t="str">
        <f t="shared" ref="CQ4:CQ52" si="37">IF(CO4&gt;=70,"A",IF(CO4&gt;=50,"C",IF(CO4&gt;=45,"P",IF(CO4&gt;=6,"F",IF(CO4&lt;5,"")))))</f>
        <v>F</v>
      </c>
      <c r="CR4" s="66" t="str">
        <f t="shared" ref="CR4:CR52" si="38">IF(CO4&gt;=70,"Excellent",IF(CO4&gt;=50,"Credit",IF(CO4&gt;=45,"Pass",IF(CO4&gt;=6,"Fail",IF(CO4&lt;5,"")))))</f>
        <v>Fail</v>
      </c>
      <c r="CS4" s="3">
        <v>2</v>
      </c>
      <c r="CT4" s="157" t="s">
        <v>116</v>
      </c>
      <c r="CU4" s="148">
        <v>4</v>
      </c>
      <c r="CV4" s="149">
        <v>7</v>
      </c>
      <c r="CW4" s="149">
        <v>8</v>
      </c>
      <c r="CX4" s="149">
        <v>10</v>
      </c>
      <c r="CY4" s="70">
        <f t="shared" ref="CY4:CY52" si="39">SUM(CU4:CX4)</f>
        <v>29</v>
      </c>
      <c r="CZ4" s="149">
        <v>31</v>
      </c>
      <c r="DA4" s="70">
        <f t="shared" ref="DA4:DA52" si="40">CY4+CZ4</f>
        <v>60</v>
      </c>
      <c r="DB4" s="70">
        <f t="shared" ref="DB4:DB52" si="41">IF(DA4&lt;10,"",RANK(DA4,DA$3:DA$52))</f>
        <v>29</v>
      </c>
      <c r="DC4" s="70" t="str">
        <f t="shared" ref="DC4:DC52" si="42">IF(DA4&gt;=70,"A",IF(DA4&gt;=50,"C",IF(DA4&gt;=45,"P",IF(DA4&gt;=6,"F",IF(DA4&lt;5,"")))))</f>
        <v>C</v>
      </c>
      <c r="DD4" s="70" t="str">
        <f t="shared" ref="DD4:DD52" si="43">IF(DA4&gt;=70,"Excellent",IF(DA4&gt;=50,"Credit",IF(DA4&gt;=45,"Pass",IF(DA4&gt;=6,"Fail",IF(DA4&lt;5,"")))))</f>
        <v>Credit</v>
      </c>
      <c r="DE4" s="3">
        <v>2</v>
      </c>
      <c r="DF4" s="59"/>
      <c r="DG4" s="145">
        <v>9</v>
      </c>
      <c r="DH4" s="143">
        <v>9</v>
      </c>
      <c r="DI4" s="143">
        <v>1</v>
      </c>
      <c r="DJ4" s="143">
        <v>10</v>
      </c>
      <c r="DK4" s="59">
        <f t="shared" ref="DK4:DK52" si="44">SUM(DG4:DJ4)</f>
        <v>29</v>
      </c>
      <c r="DL4" s="143">
        <v>38</v>
      </c>
      <c r="DM4" s="59">
        <f t="shared" ref="DM4:DM52" si="45">DK4+DL4</f>
        <v>67</v>
      </c>
      <c r="DN4" s="59">
        <f t="shared" ref="DN4:DN52" si="46">IF(DM4&lt;10,"",RANK(DM4,DM$3:DM$52))</f>
        <v>23</v>
      </c>
      <c r="DO4" s="59" t="str">
        <f t="shared" ref="DO4:DO52" si="47">IF(DM4&gt;=70,"A",IF(DM4&gt;=50,"C",IF(DM4&gt;=45,"P",IF(DM4&gt;=6,"F",IF(DM4&lt;5,"")))))</f>
        <v>C</v>
      </c>
      <c r="DP4" s="59" t="str">
        <f t="shared" ref="DP4:DP52" si="48">IF(DM4&gt;=70,"Excellent",IF(DM4&gt;=50,"Credit",IF(DM4&gt;=45,"Pass",IF(DM4&gt;=6,"Fail",IF(DM4&lt;5,"")))))</f>
        <v>Credit</v>
      </c>
      <c r="DQ4" s="3">
        <v>2</v>
      </c>
      <c r="DR4" s="157" t="s">
        <v>116</v>
      </c>
      <c r="DS4" s="145">
        <v>8</v>
      </c>
      <c r="DT4" s="143">
        <v>5</v>
      </c>
      <c r="DU4" s="143">
        <v>9</v>
      </c>
      <c r="DV4" s="143">
        <v>9</v>
      </c>
      <c r="DW4" s="102">
        <f t="shared" ref="DW4:DW52" si="49">SUM(DS4:DV4)</f>
        <v>31</v>
      </c>
      <c r="DX4" s="143">
        <v>30</v>
      </c>
      <c r="DY4" s="102">
        <f t="shared" ref="DY4:DY52" si="50">DW4+DX4</f>
        <v>61</v>
      </c>
      <c r="DZ4" s="102">
        <f t="shared" ref="DZ4:DZ52" si="51">IF(DY4&lt;10,"",RANK(DY4,DY$3:DY$52))</f>
        <v>28</v>
      </c>
      <c r="EA4" s="102" t="str">
        <f t="shared" ref="EA4:EA52" si="52">IF(DY4&gt;=70,"A",IF(DY4&gt;=50,"C",IF(DY4&gt;=45,"P",IF(DY4&gt;=6,"F",IF(DY4&lt;5,"")))))</f>
        <v>C</v>
      </c>
      <c r="EB4" s="102" t="str">
        <f t="shared" ref="EB4:EB52" si="53">IF(DY4&gt;=70,"Excellent",IF(DY4&gt;=50,"Credit",IF(DY4&gt;=45,"Pass",IF(DY4&gt;=6,"Fail",IF(DY4&lt;5,"")))))</f>
        <v>Credit</v>
      </c>
      <c r="EC4" s="3">
        <v>2</v>
      </c>
      <c r="ED4" s="75"/>
      <c r="EE4" s="145">
        <v>4</v>
      </c>
      <c r="EF4" s="143">
        <v>3</v>
      </c>
      <c r="EG4" s="143">
        <v>9</v>
      </c>
      <c r="EH4" s="143">
        <v>5</v>
      </c>
      <c r="EI4" s="75">
        <f t="shared" ref="EI4:EI52" si="54">SUM(EE4:EH4)</f>
        <v>21</v>
      </c>
      <c r="EJ4" s="143">
        <v>20</v>
      </c>
      <c r="EK4" s="75">
        <f t="shared" si="0"/>
        <v>41</v>
      </c>
      <c r="EL4" s="75">
        <f t="shared" ref="EL4:EL52" si="55">IF(EK4&lt;10,"",RANK(EK4,EK$3:EK$52))</f>
        <v>43</v>
      </c>
      <c r="EM4" s="75" t="str">
        <f t="shared" ref="EM4:EM52" si="56">IF(EK4&gt;=70,"A",IF(EK4&gt;=50,"C",IF(EK4&gt;=45,"P",IF(EK4&gt;=6,"F",IF(EK4&lt;5,"")))))</f>
        <v>F</v>
      </c>
      <c r="EN4" s="75" t="str">
        <f t="shared" ref="EN4:EN52" si="57">IF(EK4&gt;=70,"Excellent",IF(EK4&gt;=50,"Credit",IF(EK4&gt;=45,"Pass",IF(EK4&gt;=6,"Fail",IF(EK4&lt;5,"")))))</f>
        <v>Fail</v>
      </c>
      <c r="EO4" s="3">
        <v>2</v>
      </c>
      <c r="EP4" s="157" t="s">
        <v>116</v>
      </c>
      <c r="EQ4" s="3">
        <v>7</v>
      </c>
      <c r="ER4" s="147">
        <v>2</v>
      </c>
      <c r="ES4" s="147">
        <v>8</v>
      </c>
      <c r="ET4" s="147">
        <v>8</v>
      </c>
      <c r="EU4" s="98">
        <f t="shared" ref="EU4:EU52" si="58">SUM(EQ4:ET4)</f>
        <v>25</v>
      </c>
      <c r="EV4" s="147">
        <v>25</v>
      </c>
      <c r="EW4" s="98">
        <f t="shared" ref="EW4:EW52" si="59">EU4+EV4</f>
        <v>50</v>
      </c>
      <c r="EX4" s="98">
        <f t="shared" ref="EX4:EX52" si="60">IF(EW4&lt;10,"",RANK(EW4,EW$3:EW$52))</f>
        <v>16</v>
      </c>
      <c r="EY4" s="98" t="str">
        <f t="shared" ref="EY4:EY52" si="61">IF(EW4&gt;=70,"A",IF(EW4&gt;=50,"C",IF(EW4&gt;=45,"P",IF(EW4&gt;=6,"F",IF(EW4&lt;5,"")))))</f>
        <v>C</v>
      </c>
      <c r="EZ4" s="98" t="str">
        <f t="shared" ref="EZ4:EZ52" si="62">IF(EW4&gt;=70,"Excellent",IF(EW4&gt;=50,"Credit",IF(EW4&gt;=45,"Pass",IF(EW4&gt;=6,"Fail",IF(EW4&lt;5,"")))))</f>
        <v>Credit</v>
      </c>
      <c r="FA4" s="3">
        <v>2</v>
      </c>
      <c r="FB4" s="113"/>
      <c r="FC4" s="145">
        <v>10</v>
      </c>
      <c r="FD4" s="143">
        <v>8</v>
      </c>
      <c r="FE4" s="143">
        <v>3</v>
      </c>
      <c r="FF4" s="143">
        <v>10</v>
      </c>
      <c r="FG4" s="113">
        <f t="shared" ref="FG4:FG52" si="63">SUM(FC4:FF4)</f>
        <v>31</v>
      </c>
      <c r="FH4" s="143">
        <v>34</v>
      </c>
      <c r="FI4" s="113">
        <f t="shared" ref="FI4:FI52" si="64">FG4+FH4</f>
        <v>65</v>
      </c>
      <c r="FJ4" s="113">
        <f t="shared" ref="FJ4:FJ52" si="65">IF(FI4&lt;10,"",RANK(FI4,FI$3:FI$52))</f>
        <v>35</v>
      </c>
      <c r="FK4" s="113" t="str">
        <f t="shared" ref="FK4:FK52" si="66">IF(FI4&gt;=70,"A",IF(FI4&gt;=50,"C",IF(FI4&gt;=45,"P",IF(FI4&gt;=6,"F",IF(FI4&lt;5,"")))))</f>
        <v>C</v>
      </c>
      <c r="FL4" s="113" t="str">
        <f t="shared" ref="FL4:FL52" si="67">IF(FI4&gt;=70,"Excellent",IF(FI4&gt;=50,"Credit",IF(FI4&gt;=45,"Pass",IF(FI4&gt;=6,"Fail",IF(FI4&lt;5,"")))))</f>
        <v>Credit</v>
      </c>
      <c r="FM4" s="3">
        <v>2</v>
      </c>
      <c r="FN4" s="53"/>
      <c r="FO4" s="145">
        <v>8</v>
      </c>
      <c r="FP4" s="143">
        <v>9</v>
      </c>
      <c r="FQ4" s="143">
        <v>10</v>
      </c>
      <c r="FR4" s="143">
        <v>5</v>
      </c>
      <c r="FS4" s="53">
        <f t="shared" ref="FS4:FS52" si="68">SUM(FO4:FR4)</f>
        <v>32</v>
      </c>
      <c r="FT4" s="143">
        <v>33</v>
      </c>
      <c r="FU4" s="53">
        <f t="shared" ref="FU4:FU52" si="69">FS4+FT4</f>
        <v>65</v>
      </c>
      <c r="FV4" s="53">
        <f t="shared" ref="FV4:FV52" si="70">IF(FU4&lt;10,"",RANK(FU4,FU$3:FU$52))</f>
        <v>29</v>
      </c>
      <c r="FW4" s="53" t="str">
        <f t="shared" ref="FW4:FW52" si="71">IF(FU4&gt;=70,"A",IF(FU4&gt;=50,"C",IF(FU4&gt;=45,"P",IF(FU4&gt;=6,"F",IF(FU4&lt;5,"")))))</f>
        <v>C</v>
      </c>
      <c r="FX4" s="53" t="str">
        <f t="shared" ref="FX4:FX52" si="72">IF(FU4&gt;=70,"Excellent",IF(FU4&gt;=50,"Credit",IF(FU4&gt;=45,"Pass",IF(FU4&gt;=6,"Fail",IF(FU4&lt;5,"")))))</f>
        <v>Credit</v>
      </c>
      <c r="FY4" s="3">
        <v>2</v>
      </c>
      <c r="FZ4" s="80"/>
      <c r="GA4" s="80"/>
      <c r="GB4" s="80"/>
      <c r="GC4" s="80"/>
      <c r="GD4" s="80"/>
      <c r="GE4" s="80">
        <f t="shared" ref="GE4:GE52" si="73">SUM(GA4:GD4)</f>
        <v>0</v>
      </c>
      <c r="GF4" s="80"/>
      <c r="GG4" s="80">
        <f t="shared" ref="GG4:GG52" si="74">GE4+GF4</f>
        <v>0</v>
      </c>
      <c r="GH4" s="80" t="str">
        <f t="shared" ref="GH4:GH52" si="75">IF(GG4&lt;10,"",RANK(GG4,GG$3:GG$52))</f>
        <v/>
      </c>
      <c r="GI4" s="80" t="str">
        <f t="shared" ref="GI4:GI52" si="76">IF(GG4&gt;=70,"A",IF(GG4&gt;=50,"C",IF(GG4&gt;=45,"P",IF(GG4&gt;=6,"F",IF(GG4&lt;5,"")))))</f>
        <v/>
      </c>
      <c r="GJ4" s="80" t="str">
        <f t="shared" ref="GJ4:GJ52" si="77">IF(GG4&gt;=70,"Excellent",IF(GG4&gt;=50,"Credit",IF(GG4&gt;=45,"Pass",IF(GG4&gt;=6,"Fail",IF(GG4&lt;5,"")))))</f>
        <v/>
      </c>
      <c r="GK4" s="3">
        <v>2</v>
      </c>
      <c r="GL4" s="157" t="s">
        <v>116</v>
      </c>
      <c r="GM4" s="145">
        <v>10</v>
      </c>
      <c r="GN4" s="143">
        <v>2</v>
      </c>
      <c r="GO4" s="143">
        <v>10</v>
      </c>
      <c r="GP4" s="143">
        <v>8</v>
      </c>
      <c r="GQ4" s="113">
        <f t="shared" ref="GQ4:GQ52" si="78">SUM(GM4:GP4)</f>
        <v>30</v>
      </c>
      <c r="GR4" s="143">
        <v>20</v>
      </c>
      <c r="GS4" s="113">
        <f t="shared" ref="GS4:GS52" si="79">GQ4+GR4</f>
        <v>50</v>
      </c>
      <c r="GT4" s="113">
        <f t="shared" ref="GT4:GT52" si="80">IF(GS4&lt;10,"",RANK(GS4,GS$3:GS$52))</f>
        <v>30</v>
      </c>
      <c r="GU4" s="113" t="str">
        <f t="shared" ref="GU4:GU52" si="81">IF(GS4&gt;=70,"A",IF(GS4&gt;=50,"C",IF(GS4&gt;=45,"P",IF(GS4&gt;=6,"F",IF(GS4&lt;5,"")))))</f>
        <v>C</v>
      </c>
      <c r="GV4" s="113" t="str">
        <f t="shared" ref="GV4:GV52" si="82">IF(GS4&gt;=70,"Excellent",IF(GS4&gt;=50,"Credit",IF(GS4&gt;=45,"Pass",IF(GS4&gt;=6,"Fail",IF(GS4&lt;5,"")))))</f>
        <v>Credit</v>
      </c>
      <c r="GW4" s="3">
        <v>2</v>
      </c>
      <c r="GX4" s="107"/>
      <c r="GY4" s="145">
        <v>9</v>
      </c>
      <c r="GZ4" s="143">
        <v>5</v>
      </c>
      <c r="HA4" s="143">
        <v>10</v>
      </c>
      <c r="HB4" s="143">
        <v>10</v>
      </c>
      <c r="HC4" s="107">
        <f t="shared" ref="HC4:HC52" si="83">SUM(GY4:HB4)</f>
        <v>34</v>
      </c>
      <c r="HD4" s="143">
        <v>41</v>
      </c>
      <c r="HE4" s="107">
        <f t="shared" ref="HE4:HE52" si="84">HC4+HD4</f>
        <v>75</v>
      </c>
      <c r="HF4" s="107">
        <f t="shared" ref="HF4:HF52" si="85">IF(HE4&lt;10,"",RANK(HE4,HE$3:HE$52))</f>
        <v>14</v>
      </c>
      <c r="HG4" s="107" t="str">
        <f t="shared" ref="HG4:HG52" si="86">IF(HE4&gt;=70,"A",IF(HE4&gt;=50,"C",IF(HE4&gt;=45,"P",IF(HE4&gt;=6,"F",IF(HE4&lt;5,"")))))</f>
        <v>A</v>
      </c>
      <c r="HH4" s="107" t="str">
        <f t="shared" ref="HH4:HH52" si="87">IF(HE4&gt;=70,"Excellent",IF(HE4&gt;=50,"Credit",IF(HE4&gt;=45,"Pass",IF(HE4&gt;=6,"Fail",IF(HE4&lt;5,"")))))</f>
        <v>Excellent</v>
      </c>
    </row>
    <row r="5" spans="1:216" ht="18.75">
      <c r="A5" s="186">
        <v>3</v>
      </c>
      <c r="B5" s="158" t="s">
        <v>117</v>
      </c>
      <c r="C5" s="130">
        <v>2</v>
      </c>
      <c r="D5" s="131">
        <v>2</v>
      </c>
      <c r="E5" s="131">
        <v>5</v>
      </c>
      <c r="F5" s="131">
        <v>6</v>
      </c>
      <c r="G5" s="53">
        <f t="shared" si="1"/>
        <v>15</v>
      </c>
      <c r="H5" s="131">
        <v>37</v>
      </c>
      <c r="I5" s="53">
        <f t="shared" si="2"/>
        <v>52</v>
      </c>
      <c r="J5" s="53">
        <f t="shared" si="3"/>
        <v>36</v>
      </c>
      <c r="K5" s="53" t="str">
        <f t="shared" si="4"/>
        <v>C</v>
      </c>
      <c r="L5" s="53" t="str">
        <f t="shared" si="5"/>
        <v>Credit</v>
      </c>
      <c r="M5" s="44">
        <v>3</v>
      </c>
      <c r="N5" s="59"/>
      <c r="O5" s="135">
        <v>0</v>
      </c>
      <c r="P5" s="136">
        <v>1</v>
      </c>
      <c r="Q5" s="136">
        <v>9</v>
      </c>
      <c r="R5" s="136">
        <v>10</v>
      </c>
      <c r="S5" s="59">
        <f t="shared" si="6"/>
        <v>20</v>
      </c>
      <c r="T5" s="136">
        <v>17</v>
      </c>
      <c r="U5" s="59">
        <f t="shared" si="7"/>
        <v>37</v>
      </c>
      <c r="V5" s="59">
        <f t="shared" si="8"/>
        <v>37</v>
      </c>
      <c r="W5" s="59" t="str">
        <f t="shared" si="9"/>
        <v>F</v>
      </c>
      <c r="X5" s="59" t="str">
        <f t="shared" si="10"/>
        <v>Fail</v>
      </c>
      <c r="Y5" s="3">
        <v>3</v>
      </c>
      <c r="Z5" s="80"/>
      <c r="AA5" s="135">
        <v>5</v>
      </c>
      <c r="AB5" s="136">
        <v>3</v>
      </c>
      <c r="AC5" s="136">
        <v>7</v>
      </c>
      <c r="AD5" s="136">
        <v>8</v>
      </c>
      <c r="AE5" s="80">
        <f t="shared" ref="AE5:AE22" si="88">SUM(AA5:AD5)</f>
        <v>23</v>
      </c>
      <c r="AF5" s="136">
        <v>31</v>
      </c>
      <c r="AG5" s="80">
        <f t="shared" si="11"/>
        <v>54</v>
      </c>
      <c r="AH5" s="80">
        <f t="shared" si="12"/>
        <v>37</v>
      </c>
      <c r="AI5" s="80" t="str">
        <f t="shared" si="13"/>
        <v>C</v>
      </c>
      <c r="AJ5" s="80" t="str">
        <f t="shared" si="14"/>
        <v>Credit</v>
      </c>
      <c r="AK5" s="3">
        <v>3</v>
      </c>
      <c r="AL5" s="158" t="s">
        <v>117</v>
      </c>
      <c r="AM5" s="135"/>
      <c r="AN5" s="136"/>
      <c r="AO5" s="136"/>
      <c r="AP5" s="136"/>
      <c r="AQ5" s="47">
        <f t="shared" si="15"/>
        <v>0</v>
      </c>
      <c r="AR5" s="136"/>
      <c r="AS5" s="47">
        <f t="shared" si="16"/>
        <v>0</v>
      </c>
      <c r="AT5" s="47" t="str">
        <f t="shared" si="17"/>
        <v/>
      </c>
      <c r="AU5" s="47" t="str">
        <f t="shared" si="18"/>
        <v/>
      </c>
      <c r="AV5" s="47" t="str">
        <f t="shared" si="19"/>
        <v/>
      </c>
      <c r="AW5" s="3">
        <v>3</v>
      </c>
      <c r="AX5" s="158" t="s">
        <v>117</v>
      </c>
      <c r="AY5" s="130">
        <v>7</v>
      </c>
      <c r="AZ5" s="131">
        <v>6</v>
      </c>
      <c r="BA5" s="131">
        <v>8</v>
      </c>
      <c r="BB5" s="131">
        <v>10</v>
      </c>
      <c r="BC5" s="85">
        <f t="shared" si="20"/>
        <v>31</v>
      </c>
      <c r="BD5" s="131">
        <v>34</v>
      </c>
      <c r="BE5" s="85">
        <f t="shared" si="21"/>
        <v>65</v>
      </c>
      <c r="BF5" s="85">
        <f t="shared" si="22"/>
        <v>28</v>
      </c>
      <c r="BG5" s="85" t="str">
        <f t="shared" si="23"/>
        <v>C</v>
      </c>
      <c r="BH5" s="85" t="str">
        <f t="shared" si="24"/>
        <v>Credit</v>
      </c>
      <c r="BI5" s="3">
        <v>3</v>
      </c>
      <c r="BJ5" s="90"/>
      <c r="BK5" s="167">
        <v>1</v>
      </c>
      <c r="BL5" s="168">
        <v>7</v>
      </c>
      <c r="BM5" s="168">
        <v>2</v>
      </c>
      <c r="BN5" s="168">
        <v>5</v>
      </c>
      <c r="BO5" s="90">
        <f t="shared" si="25"/>
        <v>15</v>
      </c>
      <c r="BP5" s="173">
        <v>19</v>
      </c>
      <c r="BQ5" s="90">
        <f t="shared" si="26"/>
        <v>34</v>
      </c>
      <c r="BR5" s="90">
        <f t="shared" si="27"/>
        <v>44</v>
      </c>
      <c r="BS5" s="90" t="str">
        <f t="shared" si="28"/>
        <v>F</v>
      </c>
      <c r="BT5" s="90" t="str">
        <f t="shared" si="29"/>
        <v>Fail</v>
      </c>
      <c r="BU5" s="3">
        <v>3</v>
      </c>
      <c r="BV5" s="158" t="s">
        <v>117</v>
      </c>
      <c r="BW5" s="145">
        <v>5</v>
      </c>
      <c r="BX5" s="143">
        <v>2</v>
      </c>
      <c r="BY5" s="143">
        <v>9</v>
      </c>
      <c r="BZ5" s="143">
        <v>8</v>
      </c>
      <c r="CA5" s="94">
        <f t="shared" si="30"/>
        <v>24</v>
      </c>
      <c r="CB5" s="143">
        <v>33</v>
      </c>
      <c r="CC5" s="94">
        <f t="shared" si="31"/>
        <v>57</v>
      </c>
      <c r="CD5" s="94">
        <f t="shared" si="32"/>
        <v>29</v>
      </c>
      <c r="CE5" s="94" t="str">
        <f t="shared" si="33"/>
        <v>C</v>
      </c>
      <c r="CF5" s="94" t="str">
        <f t="shared" si="34"/>
        <v>Credit</v>
      </c>
      <c r="CG5" s="3">
        <v>3</v>
      </c>
      <c r="CH5" s="158" t="s">
        <v>117</v>
      </c>
      <c r="CI5" s="145">
        <v>5</v>
      </c>
      <c r="CJ5" s="143">
        <v>6</v>
      </c>
      <c r="CK5" s="143">
        <v>8</v>
      </c>
      <c r="CL5" s="143">
        <v>7</v>
      </c>
      <c r="CM5" s="66">
        <f t="shared" si="35"/>
        <v>26</v>
      </c>
      <c r="CN5" s="143">
        <v>20</v>
      </c>
      <c r="CO5" s="66">
        <f t="shared" ref="CO5:CO52" si="89">CM5+CN5</f>
        <v>46</v>
      </c>
      <c r="CP5" s="66">
        <f t="shared" si="36"/>
        <v>42</v>
      </c>
      <c r="CQ5" s="66" t="str">
        <f t="shared" si="37"/>
        <v>P</v>
      </c>
      <c r="CR5" s="66" t="str">
        <f t="shared" si="38"/>
        <v>Pass</v>
      </c>
      <c r="CS5" s="3">
        <v>3</v>
      </c>
      <c r="CT5" s="158" t="s">
        <v>117</v>
      </c>
      <c r="CU5" s="148">
        <v>3</v>
      </c>
      <c r="CV5" s="149">
        <v>5</v>
      </c>
      <c r="CW5" s="149">
        <v>8</v>
      </c>
      <c r="CX5" s="149">
        <v>10</v>
      </c>
      <c r="CY5" s="70">
        <f t="shared" si="39"/>
        <v>26</v>
      </c>
      <c r="CZ5" s="149">
        <v>32</v>
      </c>
      <c r="DA5" s="70">
        <f t="shared" si="40"/>
        <v>58</v>
      </c>
      <c r="DB5" s="70">
        <f t="shared" si="41"/>
        <v>36</v>
      </c>
      <c r="DC5" s="70" t="str">
        <f t="shared" si="42"/>
        <v>C</v>
      </c>
      <c r="DD5" s="70" t="str">
        <f t="shared" si="43"/>
        <v>Credit</v>
      </c>
      <c r="DE5" s="3">
        <v>3</v>
      </c>
      <c r="DF5" s="59"/>
      <c r="DG5" s="145">
        <v>4</v>
      </c>
      <c r="DH5" s="143">
        <v>8</v>
      </c>
      <c r="DI5" s="143">
        <v>8</v>
      </c>
      <c r="DJ5" s="143">
        <v>8</v>
      </c>
      <c r="DK5" s="59">
        <f t="shared" si="44"/>
        <v>28</v>
      </c>
      <c r="DL5" s="143">
        <v>43</v>
      </c>
      <c r="DM5" s="59">
        <f t="shared" si="45"/>
        <v>71</v>
      </c>
      <c r="DN5" s="59">
        <f t="shared" si="46"/>
        <v>16</v>
      </c>
      <c r="DO5" s="59" t="str">
        <f t="shared" si="47"/>
        <v>A</v>
      </c>
      <c r="DP5" s="59" t="str">
        <f t="shared" si="48"/>
        <v>Excellent</v>
      </c>
      <c r="DQ5" s="3">
        <v>3</v>
      </c>
      <c r="DR5" s="158" t="s">
        <v>117</v>
      </c>
      <c r="DS5" s="145">
        <v>7</v>
      </c>
      <c r="DT5" s="143">
        <v>6</v>
      </c>
      <c r="DU5" s="143">
        <v>8</v>
      </c>
      <c r="DV5" s="143">
        <v>9</v>
      </c>
      <c r="DW5" s="102">
        <f t="shared" si="49"/>
        <v>30</v>
      </c>
      <c r="DX5" s="143">
        <v>27</v>
      </c>
      <c r="DY5" s="102">
        <f t="shared" si="50"/>
        <v>57</v>
      </c>
      <c r="DZ5" s="102">
        <f t="shared" si="51"/>
        <v>34</v>
      </c>
      <c r="EA5" s="102" t="str">
        <f t="shared" si="52"/>
        <v>C</v>
      </c>
      <c r="EB5" s="102" t="str">
        <f t="shared" si="53"/>
        <v>Credit</v>
      </c>
      <c r="EC5" s="3">
        <v>3</v>
      </c>
      <c r="ED5" s="75"/>
      <c r="EE5" s="145">
        <v>5</v>
      </c>
      <c r="EF5" s="143">
        <v>5</v>
      </c>
      <c r="EG5" s="143">
        <v>9</v>
      </c>
      <c r="EH5" s="143">
        <v>2</v>
      </c>
      <c r="EI5" s="75">
        <f t="shared" si="54"/>
        <v>21</v>
      </c>
      <c r="EJ5" s="143">
        <v>21</v>
      </c>
      <c r="EK5" s="75">
        <f t="shared" si="0"/>
        <v>42</v>
      </c>
      <c r="EL5" s="75">
        <f t="shared" si="55"/>
        <v>40</v>
      </c>
      <c r="EM5" s="75" t="str">
        <f t="shared" si="56"/>
        <v>F</v>
      </c>
      <c r="EN5" s="75" t="str">
        <f t="shared" si="57"/>
        <v>Fail</v>
      </c>
      <c r="EO5" s="3">
        <v>3</v>
      </c>
      <c r="EP5" s="158" t="s">
        <v>117</v>
      </c>
      <c r="EQ5" s="3">
        <v>7</v>
      </c>
      <c r="ER5" s="147">
        <v>5</v>
      </c>
      <c r="ES5" s="147">
        <v>8</v>
      </c>
      <c r="ET5" s="147">
        <v>8</v>
      </c>
      <c r="EU5" s="98">
        <f t="shared" si="58"/>
        <v>28</v>
      </c>
      <c r="EV5" s="147">
        <v>16</v>
      </c>
      <c r="EW5" s="98">
        <f t="shared" si="59"/>
        <v>44</v>
      </c>
      <c r="EX5" s="98">
        <f t="shared" si="60"/>
        <v>33</v>
      </c>
      <c r="EY5" s="98" t="str">
        <f t="shared" si="61"/>
        <v>F</v>
      </c>
      <c r="EZ5" s="98" t="str">
        <f t="shared" si="62"/>
        <v>Fail</v>
      </c>
      <c r="FA5" s="3">
        <v>3</v>
      </c>
      <c r="FB5" s="113"/>
      <c r="FC5" s="145">
        <v>8</v>
      </c>
      <c r="FD5" s="143">
        <v>10</v>
      </c>
      <c r="FE5" s="143">
        <v>3</v>
      </c>
      <c r="FF5" s="143">
        <v>10</v>
      </c>
      <c r="FG5" s="113">
        <f t="shared" si="63"/>
        <v>31</v>
      </c>
      <c r="FH5" s="143">
        <v>37</v>
      </c>
      <c r="FI5" s="113">
        <f t="shared" si="64"/>
        <v>68</v>
      </c>
      <c r="FJ5" s="113">
        <f t="shared" si="65"/>
        <v>28</v>
      </c>
      <c r="FK5" s="113" t="str">
        <f t="shared" si="66"/>
        <v>C</v>
      </c>
      <c r="FL5" s="113" t="str">
        <f t="shared" si="67"/>
        <v>Credit</v>
      </c>
      <c r="FM5" s="3">
        <v>3</v>
      </c>
      <c r="FN5" s="53"/>
      <c r="FO5" s="145">
        <v>8</v>
      </c>
      <c r="FP5" s="143">
        <v>10</v>
      </c>
      <c r="FQ5" s="143">
        <v>10</v>
      </c>
      <c r="FR5" s="143">
        <v>5</v>
      </c>
      <c r="FS5" s="53">
        <f t="shared" si="68"/>
        <v>33</v>
      </c>
      <c r="FT5" s="143">
        <v>32</v>
      </c>
      <c r="FU5" s="53">
        <f t="shared" si="69"/>
        <v>65</v>
      </c>
      <c r="FV5" s="53">
        <f t="shared" si="70"/>
        <v>29</v>
      </c>
      <c r="FW5" s="53" t="str">
        <f t="shared" si="71"/>
        <v>C</v>
      </c>
      <c r="FX5" s="53" t="str">
        <f t="shared" si="72"/>
        <v>Credit</v>
      </c>
      <c r="FY5" s="3">
        <v>3</v>
      </c>
      <c r="FZ5" s="80"/>
      <c r="GA5" s="80"/>
      <c r="GB5" s="80"/>
      <c r="GC5" s="80"/>
      <c r="GD5" s="80"/>
      <c r="GE5" s="80">
        <f t="shared" si="73"/>
        <v>0</v>
      </c>
      <c r="GF5" s="80"/>
      <c r="GG5" s="80">
        <f t="shared" si="74"/>
        <v>0</v>
      </c>
      <c r="GH5" s="80" t="str">
        <f t="shared" si="75"/>
        <v/>
      </c>
      <c r="GI5" s="80" t="str">
        <f t="shared" si="76"/>
        <v/>
      </c>
      <c r="GJ5" s="80" t="str">
        <f t="shared" si="77"/>
        <v/>
      </c>
      <c r="GK5" s="3">
        <v>3</v>
      </c>
      <c r="GL5" s="158" t="s">
        <v>117</v>
      </c>
      <c r="GM5" s="145">
        <v>3</v>
      </c>
      <c r="GN5" s="143">
        <v>2</v>
      </c>
      <c r="GO5" s="143">
        <v>7</v>
      </c>
      <c r="GP5" s="143">
        <v>10</v>
      </c>
      <c r="GQ5" s="113">
        <f t="shared" si="78"/>
        <v>22</v>
      </c>
      <c r="GR5" s="143">
        <v>19</v>
      </c>
      <c r="GS5" s="113">
        <f t="shared" si="79"/>
        <v>41</v>
      </c>
      <c r="GT5" s="113">
        <f t="shared" si="80"/>
        <v>43</v>
      </c>
      <c r="GU5" s="113" t="str">
        <f t="shared" si="81"/>
        <v>F</v>
      </c>
      <c r="GV5" s="113" t="str">
        <f t="shared" si="82"/>
        <v>Fail</v>
      </c>
      <c r="GW5" s="3">
        <v>3</v>
      </c>
      <c r="GX5" s="107"/>
      <c r="GY5" s="145">
        <v>7</v>
      </c>
      <c r="GZ5" s="143">
        <v>5</v>
      </c>
      <c r="HA5" s="143">
        <v>10</v>
      </c>
      <c r="HB5" s="143">
        <v>10</v>
      </c>
      <c r="HC5" s="107">
        <f t="shared" si="83"/>
        <v>32</v>
      </c>
      <c r="HD5" s="143">
        <v>27</v>
      </c>
      <c r="HE5" s="107">
        <f t="shared" si="84"/>
        <v>59</v>
      </c>
      <c r="HF5" s="107">
        <f t="shared" si="85"/>
        <v>29</v>
      </c>
      <c r="HG5" s="107" t="str">
        <f t="shared" si="86"/>
        <v>C</v>
      </c>
      <c r="HH5" s="107" t="str">
        <f t="shared" si="87"/>
        <v>Credit</v>
      </c>
    </row>
    <row r="6" spans="1:216" ht="18.75">
      <c r="A6" s="185">
        <v>4</v>
      </c>
      <c r="B6" s="159" t="s">
        <v>118</v>
      </c>
      <c r="C6" s="130">
        <v>6</v>
      </c>
      <c r="D6" s="131">
        <v>5</v>
      </c>
      <c r="E6" s="131">
        <v>7</v>
      </c>
      <c r="F6" s="131">
        <v>7</v>
      </c>
      <c r="G6" s="53">
        <f t="shared" si="1"/>
        <v>25</v>
      </c>
      <c r="H6" s="131">
        <v>29</v>
      </c>
      <c r="I6" s="53">
        <f t="shared" si="2"/>
        <v>54</v>
      </c>
      <c r="J6" s="53">
        <f t="shared" si="3"/>
        <v>35</v>
      </c>
      <c r="K6" s="53" t="str">
        <f t="shared" si="4"/>
        <v>C</v>
      </c>
      <c r="L6" s="53" t="str">
        <f t="shared" si="5"/>
        <v>Credit</v>
      </c>
      <c r="M6" s="44">
        <v>4</v>
      </c>
      <c r="N6" s="59"/>
      <c r="O6" s="135">
        <v>2</v>
      </c>
      <c r="P6" s="136">
        <v>0</v>
      </c>
      <c r="Q6" s="136">
        <v>9</v>
      </c>
      <c r="R6" s="136">
        <v>10</v>
      </c>
      <c r="S6" s="59">
        <f t="shared" si="6"/>
        <v>21</v>
      </c>
      <c r="T6" s="136">
        <v>16</v>
      </c>
      <c r="U6" s="59">
        <f t="shared" si="7"/>
        <v>37</v>
      </c>
      <c r="V6" s="59">
        <f t="shared" si="8"/>
        <v>37</v>
      </c>
      <c r="W6" s="59" t="str">
        <f t="shared" si="9"/>
        <v>F</v>
      </c>
      <c r="X6" s="59" t="str">
        <f t="shared" si="10"/>
        <v>Fail</v>
      </c>
      <c r="Y6" s="3">
        <v>4</v>
      </c>
      <c r="Z6" s="80"/>
      <c r="AA6" s="135">
        <v>6</v>
      </c>
      <c r="AB6" s="136">
        <v>4</v>
      </c>
      <c r="AC6" s="136">
        <v>10</v>
      </c>
      <c r="AD6" s="136">
        <v>8</v>
      </c>
      <c r="AE6" s="80">
        <f t="shared" si="88"/>
        <v>28</v>
      </c>
      <c r="AF6" s="136">
        <v>35</v>
      </c>
      <c r="AG6" s="80">
        <f t="shared" si="11"/>
        <v>63</v>
      </c>
      <c r="AH6" s="80">
        <f t="shared" si="12"/>
        <v>21</v>
      </c>
      <c r="AI6" s="80" t="str">
        <f t="shared" si="13"/>
        <v>C</v>
      </c>
      <c r="AJ6" s="80" t="str">
        <f t="shared" si="14"/>
        <v>Credit</v>
      </c>
      <c r="AK6" s="3">
        <v>4</v>
      </c>
      <c r="AL6" s="159" t="s">
        <v>118</v>
      </c>
      <c r="AM6" s="135"/>
      <c r="AN6" s="136"/>
      <c r="AO6" s="136"/>
      <c r="AP6" s="136"/>
      <c r="AQ6" s="47">
        <f t="shared" si="15"/>
        <v>0</v>
      </c>
      <c r="AR6" s="136"/>
      <c r="AS6" s="47">
        <f t="shared" si="16"/>
        <v>0</v>
      </c>
      <c r="AT6" s="47" t="str">
        <f t="shared" si="17"/>
        <v/>
      </c>
      <c r="AU6" s="47" t="str">
        <f t="shared" si="18"/>
        <v/>
      </c>
      <c r="AV6" s="47" t="str">
        <f t="shared" si="19"/>
        <v/>
      </c>
      <c r="AW6" s="3">
        <v>4</v>
      </c>
      <c r="AX6" s="159" t="s">
        <v>118</v>
      </c>
      <c r="AY6" s="130">
        <v>8</v>
      </c>
      <c r="AZ6" s="131">
        <v>5</v>
      </c>
      <c r="BA6" s="131"/>
      <c r="BB6" s="131"/>
      <c r="BC6" s="85">
        <f t="shared" si="20"/>
        <v>13</v>
      </c>
      <c r="BD6" s="131">
        <v>29</v>
      </c>
      <c r="BE6" s="85">
        <f t="shared" si="21"/>
        <v>42</v>
      </c>
      <c r="BF6" s="85">
        <f t="shared" si="22"/>
        <v>46</v>
      </c>
      <c r="BG6" s="85" t="str">
        <f t="shared" si="23"/>
        <v>F</v>
      </c>
      <c r="BH6" s="85" t="str">
        <f t="shared" si="24"/>
        <v>Fail</v>
      </c>
      <c r="BI6" s="3">
        <v>4</v>
      </c>
      <c r="BJ6" s="90"/>
      <c r="BK6" s="167">
        <v>3</v>
      </c>
      <c r="BL6" s="168">
        <v>7</v>
      </c>
      <c r="BM6" s="168">
        <v>2</v>
      </c>
      <c r="BN6" s="168">
        <v>9</v>
      </c>
      <c r="BO6" s="90">
        <f t="shared" si="25"/>
        <v>21</v>
      </c>
      <c r="BP6" s="173">
        <v>18</v>
      </c>
      <c r="BQ6" s="90">
        <f t="shared" si="26"/>
        <v>39</v>
      </c>
      <c r="BR6" s="90">
        <f t="shared" si="27"/>
        <v>37</v>
      </c>
      <c r="BS6" s="90" t="str">
        <f t="shared" si="28"/>
        <v>F</v>
      </c>
      <c r="BT6" s="90" t="str">
        <f t="shared" si="29"/>
        <v>Fail</v>
      </c>
      <c r="BU6" s="3">
        <v>4</v>
      </c>
      <c r="BV6" s="159" t="s">
        <v>118</v>
      </c>
      <c r="BW6" s="145">
        <v>6</v>
      </c>
      <c r="BX6" s="143">
        <v>4</v>
      </c>
      <c r="BY6" s="143">
        <v>5</v>
      </c>
      <c r="BZ6" s="143">
        <v>8</v>
      </c>
      <c r="CA6" s="94">
        <f t="shared" si="30"/>
        <v>23</v>
      </c>
      <c r="CB6" s="143">
        <v>38</v>
      </c>
      <c r="CC6" s="94">
        <f t="shared" si="31"/>
        <v>61</v>
      </c>
      <c r="CD6" s="94">
        <f t="shared" si="32"/>
        <v>18</v>
      </c>
      <c r="CE6" s="94" t="str">
        <f t="shared" si="33"/>
        <v>C</v>
      </c>
      <c r="CF6" s="94" t="str">
        <f t="shared" si="34"/>
        <v>Credit</v>
      </c>
      <c r="CG6" s="3">
        <v>4</v>
      </c>
      <c r="CH6" s="159" t="s">
        <v>118</v>
      </c>
      <c r="CI6" s="145">
        <v>8</v>
      </c>
      <c r="CJ6" s="143">
        <v>4</v>
      </c>
      <c r="CK6" s="143">
        <v>8</v>
      </c>
      <c r="CL6" s="143">
        <v>8</v>
      </c>
      <c r="CM6" s="66">
        <f t="shared" si="35"/>
        <v>28</v>
      </c>
      <c r="CN6" s="143">
        <v>14</v>
      </c>
      <c r="CO6" s="66">
        <f t="shared" si="89"/>
        <v>42</v>
      </c>
      <c r="CP6" s="66">
        <f t="shared" si="36"/>
        <v>44</v>
      </c>
      <c r="CQ6" s="66" t="str">
        <f t="shared" si="37"/>
        <v>F</v>
      </c>
      <c r="CR6" s="66" t="str">
        <f t="shared" si="38"/>
        <v>Fail</v>
      </c>
      <c r="CS6" s="3">
        <v>4</v>
      </c>
      <c r="CT6" s="159" t="s">
        <v>118</v>
      </c>
      <c r="CU6" s="148">
        <v>3</v>
      </c>
      <c r="CV6" s="149">
        <v>5</v>
      </c>
      <c r="CW6" s="149">
        <v>8</v>
      </c>
      <c r="CX6" s="149">
        <v>10</v>
      </c>
      <c r="CY6" s="70">
        <f t="shared" si="39"/>
        <v>26</v>
      </c>
      <c r="CZ6" s="149">
        <v>23</v>
      </c>
      <c r="DA6" s="70">
        <f t="shared" si="40"/>
        <v>49</v>
      </c>
      <c r="DB6" s="70">
        <f t="shared" si="41"/>
        <v>43</v>
      </c>
      <c r="DC6" s="70" t="str">
        <f t="shared" si="42"/>
        <v>P</v>
      </c>
      <c r="DD6" s="70" t="str">
        <f t="shared" si="43"/>
        <v>Pass</v>
      </c>
      <c r="DE6" s="3">
        <v>4</v>
      </c>
      <c r="DF6" s="59"/>
      <c r="DG6" s="145">
        <v>7</v>
      </c>
      <c r="DH6" s="143">
        <v>10</v>
      </c>
      <c r="DI6" s="143">
        <v>5</v>
      </c>
      <c r="DJ6" s="143">
        <v>9</v>
      </c>
      <c r="DK6" s="59">
        <f t="shared" si="44"/>
        <v>31</v>
      </c>
      <c r="DL6" s="143">
        <v>26</v>
      </c>
      <c r="DM6" s="59">
        <f t="shared" si="45"/>
        <v>57</v>
      </c>
      <c r="DN6" s="59">
        <f t="shared" si="46"/>
        <v>35</v>
      </c>
      <c r="DO6" s="59" t="str">
        <f t="shared" si="47"/>
        <v>C</v>
      </c>
      <c r="DP6" s="59" t="str">
        <f t="shared" si="48"/>
        <v>Credit</v>
      </c>
      <c r="DQ6" s="3">
        <v>4</v>
      </c>
      <c r="DR6" s="159" t="s">
        <v>118</v>
      </c>
      <c r="DS6" s="145">
        <v>9</v>
      </c>
      <c r="DT6" s="143">
        <v>6</v>
      </c>
      <c r="DU6" s="143">
        <v>8</v>
      </c>
      <c r="DV6" s="143">
        <v>9</v>
      </c>
      <c r="DW6" s="102">
        <f t="shared" si="49"/>
        <v>32</v>
      </c>
      <c r="DX6" s="143">
        <v>14</v>
      </c>
      <c r="DY6" s="102">
        <f t="shared" si="50"/>
        <v>46</v>
      </c>
      <c r="DZ6" s="102">
        <f t="shared" si="51"/>
        <v>45</v>
      </c>
      <c r="EA6" s="102" t="str">
        <f t="shared" si="52"/>
        <v>P</v>
      </c>
      <c r="EB6" s="102" t="str">
        <f t="shared" si="53"/>
        <v>Pass</v>
      </c>
      <c r="EC6" s="3">
        <v>4</v>
      </c>
      <c r="ED6" s="75"/>
      <c r="EE6" s="145">
        <v>9</v>
      </c>
      <c r="EF6" s="143">
        <v>5</v>
      </c>
      <c r="EG6" s="143">
        <v>9</v>
      </c>
      <c r="EH6" s="143">
        <v>5</v>
      </c>
      <c r="EI6" s="75">
        <f t="shared" si="54"/>
        <v>28</v>
      </c>
      <c r="EJ6" s="143">
        <v>14</v>
      </c>
      <c r="EK6" s="75">
        <f t="shared" si="0"/>
        <v>42</v>
      </c>
      <c r="EL6" s="75">
        <f t="shared" si="55"/>
        <v>40</v>
      </c>
      <c r="EM6" s="75" t="str">
        <f t="shared" si="56"/>
        <v>F</v>
      </c>
      <c r="EN6" s="75" t="str">
        <f t="shared" si="57"/>
        <v>Fail</v>
      </c>
      <c r="EO6" s="3">
        <v>4</v>
      </c>
      <c r="EP6" s="159" t="s">
        <v>118</v>
      </c>
      <c r="EQ6" s="3">
        <v>6</v>
      </c>
      <c r="ER6" s="147">
        <v>3</v>
      </c>
      <c r="ES6" s="147">
        <v>8</v>
      </c>
      <c r="ET6" s="147">
        <v>8</v>
      </c>
      <c r="EU6" s="98">
        <f t="shared" si="58"/>
        <v>25</v>
      </c>
      <c r="EV6" s="147">
        <v>12</v>
      </c>
      <c r="EW6" s="98">
        <f t="shared" si="59"/>
        <v>37</v>
      </c>
      <c r="EX6" s="98">
        <f t="shared" si="60"/>
        <v>39</v>
      </c>
      <c r="EY6" s="98" t="str">
        <f t="shared" si="61"/>
        <v>F</v>
      </c>
      <c r="EZ6" s="98" t="str">
        <f t="shared" si="62"/>
        <v>Fail</v>
      </c>
      <c r="FA6" s="3">
        <v>4</v>
      </c>
      <c r="FB6" s="113"/>
      <c r="FC6" s="145">
        <v>10</v>
      </c>
      <c r="FD6" s="143">
        <v>8</v>
      </c>
      <c r="FE6" s="143">
        <v>3</v>
      </c>
      <c r="FF6" s="143">
        <v>9</v>
      </c>
      <c r="FG6" s="113">
        <f t="shared" si="63"/>
        <v>30</v>
      </c>
      <c r="FH6" s="143">
        <v>32</v>
      </c>
      <c r="FI6" s="113">
        <f t="shared" si="64"/>
        <v>62</v>
      </c>
      <c r="FJ6" s="113">
        <f t="shared" si="65"/>
        <v>41</v>
      </c>
      <c r="FK6" s="113" t="str">
        <f t="shared" si="66"/>
        <v>C</v>
      </c>
      <c r="FL6" s="113" t="str">
        <f t="shared" si="67"/>
        <v>Credit</v>
      </c>
      <c r="FM6" s="3">
        <v>4</v>
      </c>
      <c r="FN6" s="53"/>
      <c r="FO6" s="145">
        <v>10</v>
      </c>
      <c r="FP6" s="143">
        <v>8</v>
      </c>
      <c r="FQ6" s="143">
        <v>10</v>
      </c>
      <c r="FR6" s="143">
        <v>3</v>
      </c>
      <c r="FS6" s="53">
        <f t="shared" si="68"/>
        <v>31</v>
      </c>
      <c r="FT6" s="143">
        <v>21</v>
      </c>
      <c r="FU6" s="53">
        <f t="shared" si="69"/>
        <v>52</v>
      </c>
      <c r="FV6" s="53">
        <f t="shared" si="70"/>
        <v>45</v>
      </c>
      <c r="FW6" s="53" t="str">
        <f t="shared" si="71"/>
        <v>C</v>
      </c>
      <c r="FX6" s="53" t="str">
        <f t="shared" si="72"/>
        <v>Credit</v>
      </c>
      <c r="FY6" s="3">
        <v>4</v>
      </c>
      <c r="FZ6" s="80"/>
      <c r="GA6" s="80"/>
      <c r="GB6" s="80"/>
      <c r="GC6" s="80"/>
      <c r="GD6" s="80"/>
      <c r="GE6" s="80">
        <f t="shared" si="73"/>
        <v>0</v>
      </c>
      <c r="GF6" s="80"/>
      <c r="GG6" s="80">
        <f t="shared" si="74"/>
        <v>0</v>
      </c>
      <c r="GH6" s="80" t="str">
        <f t="shared" si="75"/>
        <v/>
      </c>
      <c r="GI6" s="80" t="str">
        <f t="shared" si="76"/>
        <v/>
      </c>
      <c r="GJ6" s="80" t="str">
        <f t="shared" si="77"/>
        <v/>
      </c>
      <c r="GK6" s="3">
        <v>4</v>
      </c>
      <c r="GL6" s="159" t="s">
        <v>118</v>
      </c>
      <c r="GM6" s="145">
        <v>2</v>
      </c>
      <c r="GN6" s="143">
        <v>5</v>
      </c>
      <c r="GO6" s="143">
        <v>10</v>
      </c>
      <c r="GP6" s="143">
        <v>6</v>
      </c>
      <c r="GQ6" s="113">
        <f t="shared" si="78"/>
        <v>23</v>
      </c>
      <c r="GR6" s="143">
        <v>35</v>
      </c>
      <c r="GS6" s="113">
        <f t="shared" si="79"/>
        <v>58</v>
      </c>
      <c r="GT6" s="113">
        <f t="shared" si="80"/>
        <v>19</v>
      </c>
      <c r="GU6" s="113" t="str">
        <f t="shared" si="81"/>
        <v>C</v>
      </c>
      <c r="GV6" s="113" t="str">
        <f t="shared" si="82"/>
        <v>Credit</v>
      </c>
      <c r="GW6" s="3">
        <v>4</v>
      </c>
      <c r="GX6" s="107"/>
      <c r="GY6" s="145">
        <v>10</v>
      </c>
      <c r="GZ6" s="143">
        <v>4</v>
      </c>
      <c r="HA6" s="143">
        <v>8</v>
      </c>
      <c r="HB6" s="143">
        <v>8</v>
      </c>
      <c r="HC6" s="107">
        <f t="shared" si="83"/>
        <v>30</v>
      </c>
      <c r="HD6" s="143">
        <v>19</v>
      </c>
      <c r="HE6" s="107">
        <f t="shared" si="84"/>
        <v>49</v>
      </c>
      <c r="HF6" s="107">
        <f t="shared" si="85"/>
        <v>36</v>
      </c>
      <c r="HG6" s="107" t="str">
        <f t="shared" si="86"/>
        <v>P</v>
      </c>
      <c r="HH6" s="107" t="str">
        <f t="shared" si="87"/>
        <v>Pass</v>
      </c>
    </row>
    <row r="7" spans="1:216" ht="18.75">
      <c r="A7" s="186">
        <v>5</v>
      </c>
      <c r="B7" s="158" t="s">
        <v>119</v>
      </c>
      <c r="C7" s="130">
        <v>4</v>
      </c>
      <c r="D7" s="131">
        <v>9</v>
      </c>
      <c r="E7" s="131">
        <v>8</v>
      </c>
      <c r="F7" s="131">
        <v>7</v>
      </c>
      <c r="G7" s="53">
        <f t="shared" si="1"/>
        <v>28</v>
      </c>
      <c r="H7" s="131">
        <v>31</v>
      </c>
      <c r="I7" s="53">
        <f t="shared" si="2"/>
        <v>59</v>
      </c>
      <c r="J7" s="53">
        <f t="shared" si="3"/>
        <v>30</v>
      </c>
      <c r="K7" s="53" t="str">
        <f t="shared" si="4"/>
        <v>C</v>
      </c>
      <c r="L7" s="53" t="str">
        <f t="shared" si="5"/>
        <v>Credit</v>
      </c>
      <c r="M7" s="44">
        <v>5</v>
      </c>
      <c r="N7" s="59"/>
      <c r="O7" s="135">
        <v>4</v>
      </c>
      <c r="P7" s="136">
        <v>3</v>
      </c>
      <c r="Q7" s="136">
        <v>7</v>
      </c>
      <c r="R7" s="136">
        <v>10</v>
      </c>
      <c r="S7" s="59">
        <f t="shared" si="6"/>
        <v>24</v>
      </c>
      <c r="T7" s="136">
        <v>22</v>
      </c>
      <c r="U7" s="59">
        <f t="shared" si="7"/>
        <v>46</v>
      </c>
      <c r="V7" s="59">
        <f t="shared" si="8"/>
        <v>21</v>
      </c>
      <c r="W7" s="59" t="str">
        <f t="shared" si="9"/>
        <v>P</v>
      </c>
      <c r="X7" s="59" t="str">
        <f t="shared" si="10"/>
        <v>Pass</v>
      </c>
      <c r="Y7" s="3">
        <v>5</v>
      </c>
      <c r="Z7" s="80"/>
      <c r="AA7" s="135">
        <v>8</v>
      </c>
      <c r="AB7" s="136">
        <v>8</v>
      </c>
      <c r="AC7" s="136">
        <v>3</v>
      </c>
      <c r="AD7" s="136">
        <v>5</v>
      </c>
      <c r="AE7" s="80">
        <f t="shared" si="88"/>
        <v>24</v>
      </c>
      <c r="AF7" s="136">
        <v>39</v>
      </c>
      <c r="AG7" s="80">
        <f t="shared" si="11"/>
        <v>63</v>
      </c>
      <c r="AH7" s="80">
        <f t="shared" si="12"/>
        <v>21</v>
      </c>
      <c r="AI7" s="80" t="str">
        <f t="shared" si="13"/>
        <v>C</v>
      </c>
      <c r="AJ7" s="80" t="str">
        <f t="shared" si="14"/>
        <v>Credit</v>
      </c>
      <c r="AK7" s="3">
        <v>5</v>
      </c>
      <c r="AL7" s="158" t="s">
        <v>119</v>
      </c>
      <c r="AM7" s="135"/>
      <c r="AN7" s="136"/>
      <c r="AO7" s="136"/>
      <c r="AP7" s="136"/>
      <c r="AQ7" s="47">
        <f t="shared" si="15"/>
        <v>0</v>
      </c>
      <c r="AR7" s="136"/>
      <c r="AS7" s="47">
        <f t="shared" si="16"/>
        <v>0</v>
      </c>
      <c r="AT7" s="47" t="str">
        <f t="shared" si="17"/>
        <v/>
      </c>
      <c r="AU7" s="47" t="str">
        <f t="shared" si="18"/>
        <v/>
      </c>
      <c r="AV7" s="47" t="str">
        <f t="shared" si="19"/>
        <v/>
      </c>
      <c r="AW7" s="3">
        <v>5</v>
      </c>
      <c r="AX7" s="158" t="s">
        <v>119</v>
      </c>
      <c r="AY7" s="130">
        <v>8</v>
      </c>
      <c r="AZ7" s="131">
        <v>10</v>
      </c>
      <c r="BA7" s="131">
        <v>10</v>
      </c>
      <c r="BB7" s="131">
        <v>10</v>
      </c>
      <c r="BC7" s="85">
        <f t="shared" si="20"/>
        <v>38</v>
      </c>
      <c r="BD7" s="131">
        <v>37</v>
      </c>
      <c r="BE7" s="85">
        <f t="shared" si="21"/>
        <v>75</v>
      </c>
      <c r="BF7" s="85">
        <f t="shared" si="22"/>
        <v>15</v>
      </c>
      <c r="BG7" s="85" t="str">
        <f t="shared" si="23"/>
        <v>A</v>
      </c>
      <c r="BH7" s="85" t="str">
        <f t="shared" si="24"/>
        <v>Excellent</v>
      </c>
      <c r="BI7" s="3">
        <v>5</v>
      </c>
      <c r="BJ7" s="90"/>
      <c r="BK7" s="167">
        <v>3</v>
      </c>
      <c r="BL7" s="168">
        <v>7</v>
      </c>
      <c r="BM7" s="168">
        <v>2</v>
      </c>
      <c r="BN7" s="168">
        <v>10</v>
      </c>
      <c r="BO7" s="90">
        <f t="shared" si="25"/>
        <v>22</v>
      </c>
      <c r="BP7" s="173">
        <v>34</v>
      </c>
      <c r="BQ7" s="90">
        <f t="shared" si="26"/>
        <v>56</v>
      </c>
      <c r="BR7" s="90">
        <f t="shared" si="27"/>
        <v>14</v>
      </c>
      <c r="BS7" s="90" t="str">
        <f t="shared" si="28"/>
        <v>C</v>
      </c>
      <c r="BT7" s="90" t="str">
        <f t="shared" si="29"/>
        <v>Credit</v>
      </c>
      <c r="BU7" s="3">
        <v>5</v>
      </c>
      <c r="BV7" s="158" t="s">
        <v>119</v>
      </c>
      <c r="BW7" s="145">
        <v>8</v>
      </c>
      <c r="BX7" s="143">
        <v>2</v>
      </c>
      <c r="BY7" s="143">
        <v>10</v>
      </c>
      <c r="BZ7" s="143">
        <v>8</v>
      </c>
      <c r="CA7" s="94">
        <f t="shared" si="30"/>
        <v>28</v>
      </c>
      <c r="CB7" s="143">
        <v>32</v>
      </c>
      <c r="CC7" s="94">
        <f t="shared" si="31"/>
        <v>60</v>
      </c>
      <c r="CD7" s="94">
        <f t="shared" si="32"/>
        <v>21</v>
      </c>
      <c r="CE7" s="94" t="str">
        <f t="shared" si="33"/>
        <v>C</v>
      </c>
      <c r="CF7" s="94" t="str">
        <f t="shared" si="34"/>
        <v>Credit</v>
      </c>
      <c r="CG7" s="3">
        <v>5</v>
      </c>
      <c r="CH7" s="158" t="s">
        <v>119</v>
      </c>
      <c r="CI7" s="145">
        <v>8</v>
      </c>
      <c r="CJ7" s="143">
        <v>10</v>
      </c>
      <c r="CK7" s="143">
        <v>10</v>
      </c>
      <c r="CL7" s="143">
        <v>10</v>
      </c>
      <c r="CM7" s="66">
        <f t="shared" si="35"/>
        <v>38</v>
      </c>
      <c r="CN7" s="143">
        <v>29</v>
      </c>
      <c r="CO7" s="66">
        <f t="shared" si="89"/>
        <v>67</v>
      </c>
      <c r="CP7" s="66">
        <f t="shared" si="36"/>
        <v>14</v>
      </c>
      <c r="CQ7" s="66" t="str">
        <f t="shared" si="37"/>
        <v>C</v>
      </c>
      <c r="CR7" s="66" t="str">
        <f t="shared" si="38"/>
        <v>Credit</v>
      </c>
      <c r="CS7" s="3">
        <v>5</v>
      </c>
      <c r="CT7" s="158" t="s">
        <v>119</v>
      </c>
      <c r="CU7" s="148">
        <v>8</v>
      </c>
      <c r="CV7" s="149">
        <v>8</v>
      </c>
      <c r="CW7" s="149">
        <v>8</v>
      </c>
      <c r="CX7" s="149">
        <v>10</v>
      </c>
      <c r="CY7" s="70">
        <f t="shared" si="39"/>
        <v>34</v>
      </c>
      <c r="CZ7" s="149">
        <v>39</v>
      </c>
      <c r="DA7" s="70">
        <f t="shared" si="40"/>
        <v>73</v>
      </c>
      <c r="DB7" s="70">
        <f t="shared" si="41"/>
        <v>7</v>
      </c>
      <c r="DC7" s="70" t="str">
        <f t="shared" si="42"/>
        <v>A</v>
      </c>
      <c r="DD7" s="70" t="str">
        <f t="shared" si="43"/>
        <v>Excellent</v>
      </c>
      <c r="DE7" s="3">
        <v>5</v>
      </c>
      <c r="DF7" s="59"/>
      <c r="DG7" s="145">
        <v>10</v>
      </c>
      <c r="DH7" s="143">
        <v>10</v>
      </c>
      <c r="DI7" s="143">
        <v>1</v>
      </c>
      <c r="DJ7" s="143">
        <v>8</v>
      </c>
      <c r="DK7" s="59">
        <f t="shared" si="44"/>
        <v>29</v>
      </c>
      <c r="DL7" s="143">
        <v>29</v>
      </c>
      <c r="DM7" s="59">
        <f t="shared" si="45"/>
        <v>58</v>
      </c>
      <c r="DN7" s="59">
        <f t="shared" si="46"/>
        <v>34</v>
      </c>
      <c r="DO7" s="59" t="str">
        <f t="shared" si="47"/>
        <v>C</v>
      </c>
      <c r="DP7" s="59" t="str">
        <f t="shared" si="48"/>
        <v>Credit</v>
      </c>
      <c r="DQ7" s="3">
        <v>5</v>
      </c>
      <c r="DR7" s="158" t="s">
        <v>119</v>
      </c>
      <c r="DS7" s="145">
        <v>8</v>
      </c>
      <c r="DT7" s="143">
        <v>7</v>
      </c>
      <c r="DU7" s="143">
        <v>7</v>
      </c>
      <c r="DV7" s="143">
        <v>9</v>
      </c>
      <c r="DW7" s="102">
        <f t="shared" si="49"/>
        <v>31</v>
      </c>
      <c r="DX7" s="143">
        <v>35</v>
      </c>
      <c r="DY7" s="102">
        <f t="shared" si="50"/>
        <v>66</v>
      </c>
      <c r="DZ7" s="102">
        <f t="shared" si="51"/>
        <v>17</v>
      </c>
      <c r="EA7" s="102" t="str">
        <f t="shared" si="52"/>
        <v>C</v>
      </c>
      <c r="EB7" s="102" t="str">
        <f t="shared" si="53"/>
        <v>Credit</v>
      </c>
      <c r="EC7" s="3">
        <v>5</v>
      </c>
      <c r="ED7" s="75"/>
      <c r="EE7" s="145">
        <v>8</v>
      </c>
      <c r="EF7" s="143">
        <v>9</v>
      </c>
      <c r="EG7" s="143">
        <v>9</v>
      </c>
      <c r="EH7" s="143">
        <v>2</v>
      </c>
      <c r="EI7" s="75">
        <f t="shared" si="54"/>
        <v>28</v>
      </c>
      <c r="EJ7" s="143">
        <v>25</v>
      </c>
      <c r="EK7" s="75">
        <f t="shared" si="0"/>
        <v>53</v>
      </c>
      <c r="EL7" s="75">
        <f t="shared" si="55"/>
        <v>19</v>
      </c>
      <c r="EM7" s="75" t="str">
        <f t="shared" si="56"/>
        <v>C</v>
      </c>
      <c r="EN7" s="75" t="str">
        <f t="shared" si="57"/>
        <v>Credit</v>
      </c>
      <c r="EO7" s="3">
        <v>5</v>
      </c>
      <c r="EP7" s="158" t="s">
        <v>119</v>
      </c>
      <c r="EQ7" s="3">
        <v>8</v>
      </c>
      <c r="ER7" s="147">
        <v>3</v>
      </c>
      <c r="ES7" s="147">
        <v>10</v>
      </c>
      <c r="ET7" s="147">
        <v>10</v>
      </c>
      <c r="EU7" s="98">
        <f t="shared" si="58"/>
        <v>31</v>
      </c>
      <c r="EV7" s="147">
        <v>14</v>
      </c>
      <c r="EW7" s="98">
        <f t="shared" si="59"/>
        <v>45</v>
      </c>
      <c r="EX7" s="98">
        <f t="shared" si="60"/>
        <v>25</v>
      </c>
      <c r="EY7" s="98" t="str">
        <f t="shared" si="61"/>
        <v>P</v>
      </c>
      <c r="EZ7" s="98" t="str">
        <f t="shared" si="62"/>
        <v>Pass</v>
      </c>
      <c r="FA7" s="3">
        <v>5</v>
      </c>
      <c r="FB7" s="113"/>
      <c r="FC7" s="145">
        <v>10</v>
      </c>
      <c r="FD7" s="143">
        <v>10</v>
      </c>
      <c r="FE7" s="143">
        <v>9</v>
      </c>
      <c r="FF7" s="143">
        <v>8</v>
      </c>
      <c r="FG7" s="113">
        <f t="shared" si="63"/>
        <v>37</v>
      </c>
      <c r="FH7" s="143">
        <v>37</v>
      </c>
      <c r="FI7" s="113">
        <f t="shared" si="64"/>
        <v>74</v>
      </c>
      <c r="FJ7" s="113">
        <f t="shared" si="65"/>
        <v>16</v>
      </c>
      <c r="FK7" s="113" t="str">
        <f t="shared" si="66"/>
        <v>A</v>
      </c>
      <c r="FL7" s="113" t="str">
        <f t="shared" si="67"/>
        <v>Excellent</v>
      </c>
      <c r="FM7" s="3">
        <v>5</v>
      </c>
      <c r="FN7" s="53"/>
      <c r="FO7" s="145">
        <v>10</v>
      </c>
      <c r="FP7" s="143">
        <v>10</v>
      </c>
      <c r="FQ7" s="143">
        <v>8</v>
      </c>
      <c r="FR7" s="143">
        <v>5</v>
      </c>
      <c r="FS7" s="53">
        <f t="shared" si="68"/>
        <v>33</v>
      </c>
      <c r="FT7" s="143">
        <v>39</v>
      </c>
      <c r="FU7" s="53">
        <f t="shared" si="69"/>
        <v>72</v>
      </c>
      <c r="FV7" s="53">
        <f t="shared" si="70"/>
        <v>14</v>
      </c>
      <c r="FW7" s="53" t="str">
        <f t="shared" si="71"/>
        <v>A</v>
      </c>
      <c r="FX7" s="53" t="str">
        <f t="shared" si="72"/>
        <v>Excellent</v>
      </c>
      <c r="FY7" s="3">
        <v>5</v>
      </c>
      <c r="FZ7" s="80"/>
      <c r="GA7" s="80"/>
      <c r="GB7" s="80"/>
      <c r="GC7" s="80"/>
      <c r="GD7" s="80"/>
      <c r="GE7" s="80">
        <f t="shared" si="73"/>
        <v>0</v>
      </c>
      <c r="GF7" s="80"/>
      <c r="GG7" s="80">
        <f t="shared" si="74"/>
        <v>0</v>
      </c>
      <c r="GH7" s="80" t="str">
        <f t="shared" si="75"/>
        <v/>
      </c>
      <c r="GI7" s="80" t="str">
        <f t="shared" si="76"/>
        <v/>
      </c>
      <c r="GJ7" s="80" t="str">
        <f t="shared" si="77"/>
        <v/>
      </c>
      <c r="GK7" s="3">
        <v>5</v>
      </c>
      <c r="GL7" s="158" t="s">
        <v>119</v>
      </c>
      <c r="GM7" s="145">
        <v>9</v>
      </c>
      <c r="GN7" s="143">
        <v>3</v>
      </c>
      <c r="GO7" s="143">
        <v>10</v>
      </c>
      <c r="GP7" s="143">
        <v>7</v>
      </c>
      <c r="GQ7" s="113">
        <f t="shared" si="78"/>
        <v>29</v>
      </c>
      <c r="GR7" s="143">
        <v>30</v>
      </c>
      <c r="GS7" s="113">
        <f t="shared" si="79"/>
        <v>59</v>
      </c>
      <c r="GT7" s="113">
        <f t="shared" si="80"/>
        <v>17</v>
      </c>
      <c r="GU7" s="113" t="str">
        <f t="shared" si="81"/>
        <v>C</v>
      </c>
      <c r="GV7" s="113" t="str">
        <f t="shared" si="82"/>
        <v>Credit</v>
      </c>
      <c r="GW7" s="3">
        <v>5</v>
      </c>
      <c r="GX7" s="107"/>
      <c r="GY7" s="145">
        <v>10</v>
      </c>
      <c r="GZ7" s="143">
        <v>10</v>
      </c>
      <c r="HA7" s="143">
        <v>10</v>
      </c>
      <c r="HB7" s="143">
        <v>10</v>
      </c>
      <c r="HC7" s="107">
        <f t="shared" si="83"/>
        <v>40</v>
      </c>
      <c r="HD7" s="143">
        <v>39</v>
      </c>
      <c r="HE7" s="107">
        <f t="shared" si="84"/>
        <v>79</v>
      </c>
      <c r="HF7" s="107">
        <f t="shared" si="85"/>
        <v>8</v>
      </c>
      <c r="HG7" s="107" t="str">
        <f t="shared" si="86"/>
        <v>A</v>
      </c>
      <c r="HH7" s="107" t="str">
        <f t="shared" si="87"/>
        <v>Excellent</v>
      </c>
    </row>
    <row r="8" spans="1:216" ht="18.75">
      <c r="A8" s="185">
        <v>6</v>
      </c>
      <c r="B8" s="157" t="s">
        <v>120</v>
      </c>
      <c r="C8" s="130">
        <v>5</v>
      </c>
      <c r="D8" s="131">
        <v>4</v>
      </c>
      <c r="E8" s="131">
        <v>0</v>
      </c>
      <c r="F8" s="131">
        <v>9</v>
      </c>
      <c r="G8" s="53">
        <f t="shared" si="1"/>
        <v>18</v>
      </c>
      <c r="H8" s="131">
        <v>23</v>
      </c>
      <c r="I8" s="53">
        <f t="shared" si="2"/>
        <v>41</v>
      </c>
      <c r="J8" s="53">
        <f t="shared" si="3"/>
        <v>47</v>
      </c>
      <c r="K8" s="53" t="str">
        <f t="shared" si="4"/>
        <v>F</v>
      </c>
      <c r="L8" s="53" t="str">
        <f t="shared" si="5"/>
        <v>Fail</v>
      </c>
      <c r="M8" s="44">
        <v>6</v>
      </c>
      <c r="N8" s="59"/>
      <c r="O8" s="135">
        <v>1</v>
      </c>
      <c r="P8" s="136">
        <v>0</v>
      </c>
      <c r="Q8" s="136">
        <v>5</v>
      </c>
      <c r="R8" s="136">
        <v>10</v>
      </c>
      <c r="S8" s="59">
        <f t="shared" si="6"/>
        <v>16</v>
      </c>
      <c r="T8" s="136">
        <v>19</v>
      </c>
      <c r="U8" s="59">
        <f t="shared" si="7"/>
        <v>35</v>
      </c>
      <c r="V8" s="59">
        <f t="shared" si="8"/>
        <v>42</v>
      </c>
      <c r="W8" s="59" t="str">
        <f t="shared" si="9"/>
        <v>F</v>
      </c>
      <c r="X8" s="59" t="str">
        <f t="shared" si="10"/>
        <v>Fail</v>
      </c>
      <c r="Y8" s="3">
        <v>6</v>
      </c>
      <c r="Z8" s="80"/>
      <c r="AA8" s="135">
        <v>4</v>
      </c>
      <c r="AB8" s="136"/>
      <c r="AC8" s="136">
        <v>7</v>
      </c>
      <c r="AD8" s="136">
        <v>5</v>
      </c>
      <c r="AE8" s="80">
        <f t="shared" si="88"/>
        <v>16</v>
      </c>
      <c r="AF8" s="136">
        <v>24</v>
      </c>
      <c r="AG8" s="80">
        <f t="shared" si="11"/>
        <v>40</v>
      </c>
      <c r="AH8" s="80">
        <f t="shared" si="12"/>
        <v>47</v>
      </c>
      <c r="AI8" s="80" t="str">
        <f t="shared" si="13"/>
        <v>F</v>
      </c>
      <c r="AJ8" s="80" t="str">
        <f t="shared" si="14"/>
        <v>Fail</v>
      </c>
      <c r="AK8" s="3">
        <v>6</v>
      </c>
      <c r="AL8" s="157" t="s">
        <v>120</v>
      </c>
      <c r="AM8" s="135"/>
      <c r="AN8" s="136"/>
      <c r="AO8" s="136"/>
      <c r="AP8" s="136"/>
      <c r="AQ8" s="47">
        <f t="shared" si="15"/>
        <v>0</v>
      </c>
      <c r="AR8" s="136"/>
      <c r="AS8" s="47">
        <f t="shared" si="16"/>
        <v>0</v>
      </c>
      <c r="AT8" s="47" t="str">
        <f t="shared" si="17"/>
        <v/>
      </c>
      <c r="AU8" s="47" t="str">
        <f t="shared" si="18"/>
        <v/>
      </c>
      <c r="AV8" s="47" t="str">
        <f t="shared" si="19"/>
        <v/>
      </c>
      <c r="AW8" s="3">
        <v>6</v>
      </c>
      <c r="AX8" s="157" t="s">
        <v>120</v>
      </c>
      <c r="AY8" s="130">
        <v>8</v>
      </c>
      <c r="AZ8" s="131">
        <v>6</v>
      </c>
      <c r="BA8" s="131">
        <v>7</v>
      </c>
      <c r="BB8" s="131">
        <v>8</v>
      </c>
      <c r="BC8" s="85">
        <f t="shared" si="20"/>
        <v>29</v>
      </c>
      <c r="BD8" s="131">
        <v>31</v>
      </c>
      <c r="BE8" s="85">
        <f t="shared" si="21"/>
        <v>60</v>
      </c>
      <c r="BF8" s="85">
        <f t="shared" si="22"/>
        <v>36</v>
      </c>
      <c r="BG8" s="85" t="str">
        <f t="shared" si="23"/>
        <v>C</v>
      </c>
      <c r="BH8" s="85" t="str">
        <f t="shared" si="24"/>
        <v>Credit</v>
      </c>
      <c r="BI8" s="3">
        <v>6</v>
      </c>
      <c r="BJ8" s="90"/>
      <c r="BK8" s="167">
        <v>2</v>
      </c>
      <c r="BL8" s="168">
        <v>4</v>
      </c>
      <c r="BM8" s="168">
        <v>2</v>
      </c>
      <c r="BN8" s="168"/>
      <c r="BO8" s="90">
        <f t="shared" si="25"/>
        <v>8</v>
      </c>
      <c r="BP8" s="173">
        <v>19</v>
      </c>
      <c r="BQ8" s="90">
        <f t="shared" si="26"/>
        <v>27</v>
      </c>
      <c r="BR8" s="90">
        <f t="shared" si="27"/>
        <v>46</v>
      </c>
      <c r="BS8" s="90" t="str">
        <f t="shared" si="28"/>
        <v>F</v>
      </c>
      <c r="BT8" s="90" t="str">
        <f t="shared" si="29"/>
        <v>Fail</v>
      </c>
      <c r="BU8" s="3">
        <v>6</v>
      </c>
      <c r="BV8" s="157" t="s">
        <v>120</v>
      </c>
      <c r="BW8" s="145">
        <v>3</v>
      </c>
      <c r="BX8" s="143">
        <v>1</v>
      </c>
      <c r="BY8" s="143">
        <v>3</v>
      </c>
      <c r="BZ8" s="143">
        <v>7</v>
      </c>
      <c r="CA8" s="94">
        <f t="shared" si="30"/>
        <v>14</v>
      </c>
      <c r="CB8" s="143">
        <v>28</v>
      </c>
      <c r="CC8" s="94">
        <f t="shared" si="31"/>
        <v>42</v>
      </c>
      <c r="CD8" s="94">
        <f t="shared" si="32"/>
        <v>43</v>
      </c>
      <c r="CE8" s="94" t="str">
        <f t="shared" si="33"/>
        <v>F</v>
      </c>
      <c r="CF8" s="94" t="str">
        <f t="shared" si="34"/>
        <v>Fail</v>
      </c>
      <c r="CG8" s="3">
        <v>6</v>
      </c>
      <c r="CH8" s="157" t="s">
        <v>120</v>
      </c>
      <c r="CI8" s="145">
        <v>7</v>
      </c>
      <c r="CJ8" s="143">
        <v>2</v>
      </c>
      <c r="CK8" s="143">
        <v>8</v>
      </c>
      <c r="CL8" s="143">
        <v>6</v>
      </c>
      <c r="CM8" s="66">
        <f t="shared" si="35"/>
        <v>23</v>
      </c>
      <c r="CN8" s="143">
        <v>26</v>
      </c>
      <c r="CO8" s="66">
        <f t="shared" si="89"/>
        <v>49</v>
      </c>
      <c r="CP8" s="66">
        <f t="shared" si="36"/>
        <v>41</v>
      </c>
      <c r="CQ8" s="66" t="str">
        <f t="shared" si="37"/>
        <v>P</v>
      </c>
      <c r="CR8" s="66" t="str">
        <f t="shared" si="38"/>
        <v>Pass</v>
      </c>
      <c r="CS8" s="3">
        <v>6</v>
      </c>
      <c r="CT8" s="157" t="s">
        <v>120</v>
      </c>
      <c r="CU8" s="148">
        <v>1</v>
      </c>
      <c r="CV8" s="149">
        <v>3</v>
      </c>
      <c r="CW8" s="149">
        <v>8</v>
      </c>
      <c r="CX8" s="149">
        <v>10</v>
      </c>
      <c r="CY8" s="70">
        <f t="shared" si="39"/>
        <v>22</v>
      </c>
      <c r="CZ8" s="149">
        <v>32</v>
      </c>
      <c r="DA8" s="70">
        <f t="shared" si="40"/>
        <v>54</v>
      </c>
      <c r="DB8" s="70">
        <f t="shared" si="41"/>
        <v>40</v>
      </c>
      <c r="DC8" s="70" t="str">
        <f t="shared" si="42"/>
        <v>C</v>
      </c>
      <c r="DD8" s="70" t="str">
        <f t="shared" si="43"/>
        <v>Credit</v>
      </c>
      <c r="DE8" s="3">
        <v>6</v>
      </c>
      <c r="DF8" s="59"/>
      <c r="DG8" s="145">
        <v>9</v>
      </c>
      <c r="DH8" s="143"/>
      <c r="DI8" s="143">
        <v>1</v>
      </c>
      <c r="DJ8" s="143">
        <v>8</v>
      </c>
      <c r="DK8" s="59">
        <f t="shared" si="44"/>
        <v>18</v>
      </c>
      <c r="DL8" s="143">
        <v>34</v>
      </c>
      <c r="DM8" s="59">
        <f t="shared" si="45"/>
        <v>52</v>
      </c>
      <c r="DN8" s="59">
        <f t="shared" si="46"/>
        <v>42</v>
      </c>
      <c r="DO8" s="59" t="str">
        <f t="shared" si="47"/>
        <v>C</v>
      </c>
      <c r="DP8" s="59" t="str">
        <f t="shared" si="48"/>
        <v>Credit</v>
      </c>
      <c r="DQ8" s="3">
        <v>6</v>
      </c>
      <c r="DR8" s="157" t="s">
        <v>120</v>
      </c>
      <c r="DS8" s="145">
        <v>6</v>
      </c>
      <c r="DT8" s="143">
        <v>2</v>
      </c>
      <c r="DU8" s="143">
        <v>7</v>
      </c>
      <c r="DV8" s="143">
        <v>9</v>
      </c>
      <c r="DW8" s="102">
        <f t="shared" si="49"/>
        <v>24</v>
      </c>
      <c r="DX8" s="143">
        <v>20</v>
      </c>
      <c r="DY8" s="102">
        <f t="shared" si="50"/>
        <v>44</v>
      </c>
      <c r="DZ8" s="102">
        <f t="shared" si="51"/>
        <v>47</v>
      </c>
      <c r="EA8" s="102" t="str">
        <f t="shared" si="52"/>
        <v>F</v>
      </c>
      <c r="EB8" s="102" t="str">
        <f t="shared" si="53"/>
        <v>Fail</v>
      </c>
      <c r="EC8" s="3">
        <v>6</v>
      </c>
      <c r="ED8" s="75"/>
      <c r="EE8" s="145">
        <v>5</v>
      </c>
      <c r="EF8" s="143">
        <v>2</v>
      </c>
      <c r="EG8" s="143">
        <v>9</v>
      </c>
      <c r="EH8" s="143">
        <v>2</v>
      </c>
      <c r="EI8" s="75">
        <f t="shared" si="54"/>
        <v>18</v>
      </c>
      <c r="EJ8" s="143">
        <v>24</v>
      </c>
      <c r="EK8" s="75">
        <f t="shared" si="0"/>
        <v>42</v>
      </c>
      <c r="EL8" s="75">
        <f t="shared" si="55"/>
        <v>40</v>
      </c>
      <c r="EM8" s="75" t="str">
        <f t="shared" si="56"/>
        <v>F</v>
      </c>
      <c r="EN8" s="75" t="str">
        <f t="shared" si="57"/>
        <v>Fail</v>
      </c>
      <c r="EO8" s="3">
        <v>6</v>
      </c>
      <c r="EP8" s="157" t="s">
        <v>120</v>
      </c>
      <c r="EQ8" s="3">
        <v>3</v>
      </c>
      <c r="ER8" s="147">
        <v>2</v>
      </c>
      <c r="ES8" s="147">
        <v>1</v>
      </c>
      <c r="ET8" s="147">
        <v>1</v>
      </c>
      <c r="EU8" s="98">
        <f t="shared" si="58"/>
        <v>7</v>
      </c>
      <c r="EV8" s="147">
        <v>18</v>
      </c>
      <c r="EW8" s="98">
        <f t="shared" si="59"/>
        <v>25</v>
      </c>
      <c r="EX8" s="98">
        <f t="shared" si="60"/>
        <v>46</v>
      </c>
      <c r="EY8" s="98" t="str">
        <f t="shared" si="61"/>
        <v>F</v>
      </c>
      <c r="EZ8" s="98" t="str">
        <f t="shared" si="62"/>
        <v>Fail</v>
      </c>
      <c r="FA8" s="3">
        <v>6</v>
      </c>
      <c r="FB8" s="113"/>
      <c r="FC8" s="145">
        <v>6</v>
      </c>
      <c r="FD8" s="143">
        <v>10</v>
      </c>
      <c r="FE8" s="143">
        <v>8</v>
      </c>
      <c r="FF8" s="143">
        <v>5</v>
      </c>
      <c r="FG8" s="113">
        <f t="shared" si="63"/>
        <v>29</v>
      </c>
      <c r="FH8" s="143">
        <v>34</v>
      </c>
      <c r="FI8" s="113">
        <f t="shared" si="64"/>
        <v>63</v>
      </c>
      <c r="FJ8" s="113">
        <f t="shared" si="65"/>
        <v>38</v>
      </c>
      <c r="FK8" s="113" t="str">
        <f t="shared" si="66"/>
        <v>C</v>
      </c>
      <c r="FL8" s="113" t="str">
        <f t="shared" si="67"/>
        <v>Credit</v>
      </c>
      <c r="FM8" s="3">
        <v>6</v>
      </c>
      <c r="FN8" s="53"/>
      <c r="FO8" s="145">
        <v>7</v>
      </c>
      <c r="FP8" s="143"/>
      <c r="FQ8" s="143">
        <v>10</v>
      </c>
      <c r="FR8" s="143">
        <v>1</v>
      </c>
      <c r="FS8" s="53">
        <f t="shared" si="68"/>
        <v>18</v>
      </c>
      <c r="FT8" s="143">
        <v>24</v>
      </c>
      <c r="FU8" s="53">
        <f t="shared" si="69"/>
        <v>42</v>
      </c>
      <c r="FV8" s="53">
        <f t="shared" si="70"/>
        <v>47</v>
      </c>
      <c r="FW8" s="53" t="str">
        <f t="shared" si="71"/>
        <v>F</v>
      </c>
      <c r="FX8" s="53" t="str">
        <f t="shared" si="72"/>
        <v>Fail</v>
      </c>
      <c r="FY8" s="3">
        <v>6</v>
      </c>
      <c r="FZ8" s="80"/>
      <c r="GA8" s="80"/>
      <c r="GB8" s="80"/>
      <c r="GC8" s="80"/>
      <c r="GD8" s="80"/>
      <c r="GE8" s="80">
        <f t="shared" si="73"/>
        <v>0</v>
      </c>
      <c r="GF8" s="80"/>
      <c r="GG8" s="80">
        <f t="shared" si="74"/>
        <v>0</v>
      </c>
      <c r="GH8" s="80" t="str">
        <f t="shared" si="75"/>
        <v/>
      </c>
      <c r="GI8" s="80" t="str">
        <f t="shared" si="76"/>
        <v/>
      </c>
      <c r="GJ8" s="80" t="str">
        <f t="shared" si="77"/>
        <v/>
      </c>
      <c r="GK8" s="3">
        <v>6</v>
      </c>
      <c r="GL8" s="157" t="s">
        <v>120</v>
      </c>
      <c r="GM8" s="145">
        <v>2</v>
      </c>
      <c r="GN8" s="143">
        <v>2</v>
      </c>
      <c r="GO8" s="143">
        <v>2</v>
      </c>
      <c r="GP8" s="143">
        <v>2</v>
      </c>
      <c r="GQ8" s="113">
        <f t="shared" si="78"/>
        <v>8</v>
      </c>
      <c r="GR8" s="143">
        <v>21</v>
      </c>
      <c r="GS8" s="113">
        <f t="shared" si="79"/>
        <v>29</v>
      </c>
      <c r="GT8" s="113">
        <f t="shared" si="80"/>
        <v>47</v>
      </c>
      <c r="GU8" s="113" t="str">
        <f t="shared" si="81"/>
        <v>F</v>
      </c>
      <c r="GV8" s="113" t="str">
        <f t="shared" si="82"/>
        <v>Fail</v>
      </c>
      <c r="GW8" s="3">
        <v>6</v>
      </c>
      <c r="GX8" s="107"/>
      <c r="GY8" s="145">
        <v>9</v>
      </c>
      <c r="GZ8" s="143">
        <v>2</v>
      </c>
      <c r="HA8" s="143">
        <v>5</v>
      </c>
      <c r="HB8" s="143">
        <v>5</v>
      </c>
      <c r="HC8" s="107">
        <f t="shared" si="83"/>
        <v>21</v>
      </c>
      <c r="HD8" s="143">
        <v>32</v>
      </c>
      <c r="HE8" s="107">
        <f t="shared" si="84"/>
        <v>53</v>
      </c>
      <c r="HF8" s="107">
        <f t="shared" si="85"/>
        <v>33</v>
      </c>
      <c r="HG8" s="107" t="str">
        <f t="shared" si="86"/>
        <v>C</v>
      </c>
      <c r="HH8" s="107" t="str">
        <f t="shared" si="87"/>
        <v>Credit</v>
      </c>
    </row>
    <row r="9" spans="1:216" ht="18.75">
      <c r="A9" s="186">
        <v>7</v>
      </c>
      <c r="B9" s="157" t="s">
        <v>121</v>
      </c>
      <c r="C9" s="130">
        <v>6</v>
      </c>
      <c r="D9" s="131">
        <v>4</v>
      </c>
      <c r="E9" s="131">
        <v>0</v>
      </c>
      <c r="F9" s="131">
        <v>9</v>
      </c>
      <c r="G9" s="53">
        <f t="shared" si="1"/>
        <v>19</v>
      </c>
      <c r="H9" s="131">
        <v>29</v>
      </c>
      <c r="I9" s="53">
        <f t="shared" si="2"/>
        <v>48</v>
      </c>
      <c r="J9" s="53">
        <f t="shared" si="3"/>
        <v>43</v>
      </c>
      <c r="K9" s="53" t="str">
        <f t="shared" si="4"/>
        <v>P</v>
      </c>
      <c r="L9" s="53" t="str">
        <f t="shared" si="5"/>
        <v>Pass</v>
      </c>
      <c r="M9" s="44">
        <v>7</v>
      </c>
      <c r="N9" s="59"/>
      <c r="O9" s="135">
        <v>4</v>
      </c>
      <c r="P9" s="136">
        <v>0</v>
      </c>
      <c r="Q9" s="136">
        <v>7</v>
      </c>
      <c r="R9" s="136">
        <v>10</v>
      </c>
      <c r="S9" s="59">
        <f t="shared" si="6"/>
        <v>21</v>
      </c>
      <c r="T9" s="136">
        <v>18</v>
      </c>
      <c r="U9" s="59">
        <f t="shared" si="7"/>
        <v>39</v>
      </c>
      <c r="V9" s="59">
        <f t="shared" si="8"/>
        <v>36</v>
      </c>
      <c r="W9" s="59" t="str">
        <f t="shared" si="9"/>
        <v>F</v>
      </c>
      <c r="X9" s="59" t="str">
        <f t="shared" si="10"/>
        <v>Fail</v>
      </c>
      <c r="Y9" s="3">
        <v>7</v>
      </c>
      <c r="Z9" s="80"/>
      <c r="AA9" s="135">
        <v>7</v>
      </c>
      <c r="AB9" s="136">
        <v>5</v>
      </c>
      <c r="AC9" s="136">
        <v>8</v>
      </c>
      <c r="AD9" s="136">
        <v>6</v>
      </c>
      <c r="AE9" s="80">
        <f t="shared" si="88"/>
        <v>26</v>
      </c>
      <c r="AF9" s="136">
        <v>32</v>
      </c>
      <c r="AG9" s="80">
        <f t="shared" si="11"/>
        <v>58</v>
      </c>
      <c r="AH9" s="80">
        <f t="shared" si="12"/>
        <v>31</v>
      </c>
      <c r="AI9" s="80" t="str">
        <f t="shared" si="13"/>
        <v>C</v>
      </c>
      <c r="AJ9" s="80" t="str">
        <f t="shared" si="14"/>
        <v>Credit</v>
      </c>
      <c r="AK9" s="3">
        <v>7</v>
      </c>
      <c r="AL9" s="157" t="s">
        <v>121</v>
      </c>
      <c r="AM9" s="135"/>
      <c r="AN9" s="136"/>
      <c r="AO9" s="136"/>
      <c r="AP9" s="136"/>
      <c r="AQ9" s="47">
        <f t="shared" si="15"/>
        <v>0</v>
      </c>
      <c r="AR9" s="136"/>
      <c r="AS9" s="47">
        <f t="shared" si="16"/>
        <v>0</v>
      </c>
      <c r="AT9" s="47" t="str">
        <f t="shared" si="17"/>
        <v/>
      </c>
      <c r="AU9" s="47" t="str">
        <f t="shared" si="18"/>
        <v/>
      </c>
      <c r="AV9" s="47" t="str">
        <f t="shared" si="19"/>
        <v/>
      </c>
      <c r="AW9" s="3">
        <v>7</v>
      </c>
      <c r="AX9" s="157" t="s">
        <v>121</v>
      </c>
      <c r="AY9" s="130">
        <v>4</v>
      </c>
      <c r="AZ9" s="131">
        <v>6</v>
      </c>
      <c r="BA9" s="131">
        <v>5</v>
      </c>
      <c r="BB9" s="131">
        <v>8</v>
      </c>
      <c r="BC9" s="85">
        <f t="shared" si="20"/>
        <v>23</v>
      </c>
      <c r="BD9" s="131">
        <v>29</v>
      </c>
      <c r="BE9" s="85">
        <f t="shared" si="21"/>
        <v>52</v>
      </c>
      <c r="BF9" s="85">
        <f t="shared" si="22"/>
        <v>45</v>
      </c>
      <c r="BG9" s="85" t="str">
        <f t="shared" si="23"/>
        <v>C</v>
      </c>
      <c r="BH9" s="85" t="str">
        <f t="shared" si="24"/>
        <v>Credit</v>
      </c>
      <c r="BI9" s="3">
        <v>7</v>
      </c>
      <c r="BJ9" s="90"/>
      <c r="BK9" s="167">
        <v>2</v>
      </c>
      <c r="BL9" s="168">
        <v>6</v>
      </c>
      <c r="BM9" s="168">
        <v>2</v>
      </c>
      <c r="BN9" s="168">
        <v>6</v>
      </c>
      <c r="BO9" s="90">
        <f t="shared" si="25"/>
        <v>16</v>
      </c>
      <c r="BP9" s="173">
        <v>21</v>
      </c>
      <c r="BQ9" s="90">
        <f t="shared" si="26"/>
        <v>37</v>
      </c>
      <c r="BR9" s="90">
        <f t="shared" si="27"/>
        <v>39</v>
      </c>
      <c r="BS9" s="90" t="str">
        <f t="shared" si="28"/>
        <v>F</v>
      </c>
      <c r="BT9" s="90" t="str">
        <f t="shared" si="29"/>
        <v>Fail</v>
      </c>
      <c r="BU9" s="3">
        <v>7</v>
      </c>
      <c r="BV9" s="157" t="s">
        <v>121</v>
      </c>
      <c r="BW9" s="145">
        <v>5</v>
      </c>
      <c r="BX9" s="143">
        <v>4</v>
      </c>
      <c r="BY9" s="143">
        <v>9</v>
      </c>
      <c r="BZ9" s="143"/>
      <c r="CA9" s="94">
        <f t="shared" si="30"/>
        <v>18</v>
      </c>
      <c r="CB9" s="143">
        <v>26</v>
      </c>
      <c r="CC9" s="94">
        <f t="shared" si="31"/>
        <v>44</v>
      </c>
      <c r="CD9" s="94">
        <f t="shared" si="32"/>
        <v>41</v>
      </c>
      <c r="CE9" s="94" t="str">
        <f t="shared" si="33"/>
        <v>F</v>
      </c>
      <c r="CF9" s="94" t="str">
        <f t="shared" si="34"/>
        <v>Fail</v>
      </c>
      <c r="CG9" s="3">
        <v>7</v>
      </c>
      <c r="CH9" s="157" t="s">
        <v>121</v>
      </c>
      <c r="CI9" s="145">
        <v>1</v>
      </c>
      <c r="CJ9" s="143">
        <v>8</v>
      </c>
      <c r="CK9" s="143">
        <v>8</v>
      </c>
      <c r="CL9" s="143">
        <v>8</v>
      </c>
      <c r="CM9" s="66">
        <f t="shared" si="35"/>
        <v>25</v>
      </c>
      <c r="CN9" s="143">
        <v>13</v>
      </c>
      <c r="CO9" s="66">
        <f t="shared" si="89"/>
        <v>38</v>
      </c>
      <c r="CP9" s="66">
        <f t="shared" si="36"/>
        <v>45</v>
      </c>
      <c r="CQ9" s="66" t="str">
        <f t="shared" si="37"/>
        <v>F</v>
      </c>
      <c r="CR9" s="66" t="str">
        <f t="shared" si="38"/>
        <v>Fail</v>
      </c>
      <c r="CS9" s="3">
        <v>7</v>
      </c>
      <c r="CT9" s="157" t="s">
        <v>121</v>
      </c>
      <c r="CU9" s="148">
        <v>7</v>
      </c>
      <c r="CV9" s="149">
        <v>6</v>
      </c>
      <c r="CW9" s="149">
        <v>8</v>
      </c>
      <c r="CX9" s="149">
        <v>10</v>
      </c>
      <c r="CY9" s="70">
        <f t="shared" si="39"/>
        <v>31</v>
      </c>
      <c r="CZ9" s="149">
        <v>31</v>
      </c>
      <c r="DA9" s="70">
        <f t="shared" si="40"/>
        <v>62</v>
      </c>
      <c r="DB9" s="70">
        <f t="shared" si="41"/>
        <v>27</v>
      </c>
      <c r="DC9" s="70" t="str">
        <f t="shared" si="42"/>
        <v>C</v>
      </c>
      <c r="DD9" s="70" t="str">
        <f t="shared" si="43"/>
        <v>Credit</v>
      </c>
      <c r="DE9" s="3">
        <v>7</v>
      </c>
      <c r="DF9" s="59"/>
      <c r="DG9" s="145">
        <v>8</v>
      </c>
      <c r="DH9" s="143">
        <v>6</v>
      </c>
      <c r="DI9" s="143">
        <v>1</v>
      </c>
      <c r="DJ9" s="143">
        <v>8</v>
      </c>
      <c r="DK9" s="59">
        <f t="shared" si="44"/>
        <v>23</v>
      </c>
      <c r="DL9" s="143">
        <v>28</v>
      </c>
      <c r="DM9" s="59">
        <f t="shared" si="45"/>
        <v>51</v>
      </c>
      <c r="DN9" s="59">
        <f t="shared" si="46"/>
        <v>44</v>
      </c>
      <c r="DO9" s="59" t="str">
        <f t="shared" si="47"/>
        <v>C</v>
      </c>
      <c r="DP9" s="59" t="str">
        <f t="shared" si="48"/>
        <v>Credit</v>
      </c>
      <c r="DQ9" s="3">
        <v>7</v>
      </c>
      <c r="DR9" s="157" t="s">
        <v>121</v>
      </c>
      <c r="DS9" s="145">
        <v>6</v>
      </c>
      <c r="DT9" s="143">
        <v>4</v>
      </c>
      <c r="DU9" s="143">
        <v>8</v>
      </c>
      <c r="DV9" s="143">
        <v>8</v>
      </c>
      <c r="DW9" s="102">
        <f t="shared" si="49"/>
        <v>26</v>
      </c>
      <c r="DX9" s="143">
        <v>27</v>
      </c>
      <c r="DY9" s="102">
        <f t="shared" si="50"/>
        <v>53</v>
      </c>
      <c r="DZ9" s="102">
        <f t="shared" si="51"/>
        <v>38</v>
      </c>
      <c r="EA9" s="102" t="str">
        <f t="shared" si="52"/>
        <v>C</v>
      </c>
      <c r="EB9" s="102" t="str">
        <f t="shared" si="53"/>
        <v>Credit</v>
      </c>
      <c r="EC9" s="3">
        <v>7</v>
      </c>
      <c r="ED9" s="75"/>
      <c r="EE9" s="145">
        <v>9</v>
      </c>
      <c r="EF9" s="143">
        <v>5</v>
      </c>
      <c r="EG9" s="143">
        <v>9</v>
      </c>
      <c r="EH9" s="143">
        <v>5</v>
      </c>
      <c r="EI9" s="75">
        <f t="shared" si="54"/>
        <v>28</v>
      </c>
      <c r="EJ9" s="143">
        <v>18</v>
      </c>
      <c r="EK9" s="75">
        <f t="shared" si="0"/>
        <v>46</v>
      </c>
      <c r="EL9" s="75">
        <f t="shared" si="55"/>
        <v>34</v>
      </c>
      <c r="EM9" s="75" t="str">
        <f t="shared" si="56"/>
        <v>P</v>
      </c>
      <c r="EN9" s="75" t="str">
        <f t="shared" si="57"/>
        <v>Pass</v>
      </c>
      <c r="EO9" s="3">
        <v>7</v>
      </c>
      <c r="EP9" s="157" t="s">
        <v>121</v>
      </c>
      <c r="EQ9" s="3">
        <v>7</v>
      </c>
      <c r="ER9" s="147">
        <v>3</v>
      </c>
      <c r="ES9" s="147">
        <v>8</v>
      </c>
      <c r="ET9" s="147">
        <v>10</v>
      </c>
      <c r="EU9" s="98">
        <f t="shared" si="58"/>
        <v>28</v>
      </c>
      <c r="EV9" s="147">
        <v>17</v>
      </c>
      <c r="EW9" s="98">
        <f t="shared" si="59"/>
        <v>45</v>
      </c>
      <c r="EX9" s="98">
        <f t="shared" si="60"/>
        <v>25</v>
      </c>
      <c r="EY9" s="98" t="str">
        <f t="shared" si="61"/>
        <v>P</v>
      </c>
      <c r="EZ9" s="98" t="str">
        <f t="shared" si="62"/>
        <v>Pass</v>
      </c>
      <c r="FA9" s="3">
        <v>7</v>
      </c>
      <c r="FB9" s="113"/>
      <c r="FC9" s="145">
        <v>7</v>
      </c>
      <c r="FD9" s="143">
        <v>9</v>
      </c>
      <c r="FE9" s="143">
        <v>7</v>
      </c>
      <c r="FF9" s="143">
        <v>8</v>
      </c>
      <c r="FG9" s="113">
        <f t="shared" si="63"/>
        <v>31</v>
      </c>
      <c r="FH9" s="143">
        <v>33</v>
      </c>
      <c r="FI9" s="113">
        <f t="shared" si="64"/>
        <v>64</v>
      </c>
      <c r="FJ9" s="113">
        <f t="shared" si="65"/>
        <v>37</v>
      </c>
      <c r="FK9" s="113" t="str">
        <f t="shared" si="66"/>
        <v>C</v>
      </c>
      <c r="FL9" s="113" t="str">
        <f t="shared" si="67"/>
        <v>Credit</v>
      </c>
      <c r="FM9" s="3">
        <v>7</v>
      </c>
      <c r="FN9" s="53"/>
      <c r="FO9" s="145">
        <v>8</v>
      </c>
      <c r="FP9" s="143">
        <v>8</v>
      </c>
      <c r="FQ9" s="143">
        <v>10</v>
      </c>
      <c r="FR9" s="143">
        <v>1</v>
      </c>
      <c r="FS9" s="53">
        <f t="shared" si="68"/>
        <v>27</v>
      </c>
      <c r="FT9" s="143">
        <v>30</v>
      </c>
      <c r="FU9" s="53">
        <f t="shared" si="69"/>
        <v>57</v>
      </c>
      <c r="FV9" s="53">
        <f t="shared" si="70"/>
        <v>41</v>
      </c>
      <c r="FW9" s="53" t="str">
        <f t="shared" si="71"/>
        <v>C</v>
      </c>
      <c r="FX9" s="53" t="str">
        <f t="shared" si="72"/>
        <v>Credit</v>
      </c>
      <c r="FY9" s="3">
        <v>7</v>
      </c>
      <c r="FZ9" s="80"/>
      <c r="GA9" s="80"/>
      <c r="GB9" s="80"/>
      <c r="GC9" s="80"/>
      <c r="GD9" s="80"/>
      <c r="GE9" s="80">
        <f t="shared" si="73"/>
        <v>0</v>
      </c>
      <c r="GF9" s="80"/>
      <c r="GG9" s="80">
        <f t="shared" si="74"/>
        <v>0</v>
      </c>
      <c r="GH9" s="80" t="str">
        <f t="shared" si="75"/>
        <v/>
      </c>
      <c r="GI9" s="80" t="str">
        <f t="shared" si="76"/>
        <v/>
      </c>
      <c r="GJ9" s="80" t="str">
        <f t="shared" si="77"/>
        <v/>
      </c>
      <c r="GK9" s="3">
        <v>7</v>
      </c>
      <c r="GL9" s="157" t="s">
        <v>121</v>
      </c>
      <c r="GM9" s="145">
        <v>2</v>
      </c>
      <c r="GN9" s="143">
        <v>2</v>
      </c>
      <c r="GO9" s="143">
        <v>6</v>
      </c>
      <c r="GP9" s="143">
        <v>8</v>
      </c>
      <c r="GQ9" s="113">
        <f t="shared" si="78"/>
        <v>18</v>
      </c>
      <c r="GR9" s="143">
        <v>21</v>
      </c>
      <c r="GS9" s="113">
        <f t="shared" si="79"/>
        <v>39</v>
      </c>
      <c r="GT9" s="113">
        <f t="shared" si="80"/>
        <v>45</v>
      </c>
      <c r="GU9" s="113" t="str">
        <f t="shared" si="81"/>
        <v>F</v>
      </c>
      <c r="GV9" s="113" t="str">
        <f t="shared" si="82"/>
        <v>Fail</v>
      </c>
      <c r="GW9" s="3">
        <v>7</v>
      </c>
      <c r="GX9" s="107"/>
      <c r="GY9" s="145">
        <v>10</v>
      </c>
      <c r="GZ9" s="143">
        <v>7</v>
      </c>
      <c r="HA9" s="143">
        <v>7</v>
      </c>
      <c r="HB9" s="143">
        <v>8</v>
      </c>
      <c r="HC9" s="107">
        <f t="shared" si="83"/>
        <v>32</v>
      </c>
      <c r="HD9" s="143">
        <v>37</v>
      </c>
      <c r="HE9" s="107">
        <f t="shared" si="84"/>
        <v>69</v>
      </c>
      <c r="HF9" s="107">
        <f t="shared" si="85"/>
        <v>19</v>
      </c>
      <c r="HG9" s="107" t="str">
        <f t="shared" si="86"/>
        <v>C</v>
      </c>
      <c r="HH9" s="107" t="str">
        <f t="shared" si="87"/>
        <v>Credit</v>
      </c>
    </row>
    <row r="10" spans="1:216" ht="18.75">
      <c r="A10" s="185">
        <v>8</v>
      </c>
      <c r="B10" s="157" t="s">
        <v>122</v>
      </c>
      <c r="C10" s="130">
        <v>9</v>
      </c>
      <c r="D10" s="131">
        <v>8</v>
      </c>
      <c r="E10" s="131">
        <v>9</v>
      </c>
      <c r="F10" s="131">
        <v>5</v>
      </c>
      <c r="G10" s="53">
        <f t="shared" si="1"/>
        <v>31</v>
      </c>
      <c r="H10" s="131">
        <v>33</v>
      </c>
      <c r="I10" s="53">
        <f t="shared" si="2"/>
        <v>64</v>
      </c>
      <c r="J10" s="53">
        <f t="shared" si="3"/>
        <v>17</v>
      </c>
      <c r="K10" s="53" t="str">
        <f t="shared" si="4"/>
        <v>C</v>
      </c>
      <c r="L10" s="53" t="str">
        <f t="shared" si="5"/>
        <v>Credit</v>
      </c>
      <c r="M10" s="44">
        <v>8</v>
      </c>
      <c r="N10" s="59"/>
      <c r="O10" s="135">
        <v>4</v>
      </c>
      <c r="P10" s="136">
        <v>5</v>
      </c>
      <c r="Q10" s="136">
        <v>7</v>
      </c>
      <c r="R10" s="136">
        <v>10</v>
      </c>
      <c r="S10" s="59">
        <f t="shared" si="6"/>
        <v>26</v>
      </c>
      <c r="T10" s="136">
        <v>27</v>
      </c>
      <c r="U10" s="59">
        <f t="shared" si="7"/>
        <v>53</v>
      </c>
      <c r="V10" s="59">
        <f t="shared" si="8"/>
        <v>6</v>
      </c>
      <c r="W10" s="59" t="str">
        <f t="shared" si="9"/>
        <v>C</v>
      </c>
      <c r="X10" s="59" t="str">
        <f t="shared" si="10"/>
        <v>Credit</v>
      </c>
      <c r="Y10" s="3">
        <v>8</v>
      </c>
      <c r="Z10" s="80"/>
      <c r="AA10" s="135">
        <v>8</v>
      </c>
      <c r="AB10" s="136">
        <v>7</v>
      </c>
      <c r="AC10" s="136">
        <v>9</v>
      </c>
      <c r="AD10" s="136">
        <v>5</v>
      </c>
      <c r="AE10" s="80">
        <f t="shared" si="88"/>
        <v>29</v>
      </c>
      <c r="AF10" s="136">
        <v>41</v>
      </c>
      <c r="AG10" s="80">
        <f t="shared" si="11"/>
        <v>70</v>
      </c>
      <c r="AH10" s="80">
        <f t="shared" si="12"/>
        <v>12</v>
      </c>
      <c r="AI10" s="80" t="str">
        <f t="shared" si="13"/>
        <v>A</v>
      </c>
      <c r="AJ10" s="80" t="str">
        <f t="shared" si="14"/>
        <v>Excellent</v>
      </c>
      <c r="AK10" s="3">
        <v>8</v>
      </c>
      <c r="AL10" s="157" t="s">
        <v>122</v>
      </c>
      <c r="AM10" s="135">
        <v>6</v>
      </c>
      <c r="AN10" s="136">
        <v>7</v>
      </c>
      <c r="AO10" s="136">
        <v>10</v>
      </c>
      <c r="AP10" s="136">
        <v>10</v>
      </c>
      <c r="AQ10" s="47">
        <f t="shared" si="15"/>
        <v>33</v>
      </c>
      <c r="AR10" s="136">
        <v>36</v>
      </c>
      <c r="AS10" s="47">
        <f t="shared" si="16"/>
        <v>69</v>
      </c>
      <c r="AT10" s="47">
        <f t="shared" si="17"/>
        <v>5</v>
      </c>
      <c r="AU10" s="47" t="str">
        <f t="shared" si="18"/>
        <v>C</v>
      </c>
      <c r="AV10" s="47" t="str">
        <f t="shared" si="19"/>
        <v>Credit</v>
      </c>
      <c r="AW10" s="3">
        <v>8</v>
      </c>
      <c r="AX10" s="157" t="s">
        <v>122</v>
      </c>
      <c r="AY10" s="130">
        <v>10</v>
      </c>
      <c r="AZ10" s="131">
        <v>7</v>
      </c>
      <c r="BA10" s="131">
        <v>9</v>
      </c>
      <c r="BB10" s="131">
        <v>10</v>
      </c>
      <c r="BC10" s="85">
        <f t="shared" si="20"/>
        <v>36</v>
      </c>
      <c r="BD10" s="131">
        <v>42</v>
      </c>
      <c r="BE10" s="85">
        <f t="shared" si="21"/>
        <v>78</v>
      </c>
      <c r="BF10" s="85">
        <f t="shared" si="22"/>
        <v>10</v>
      </c>
      <c r="BG10" s="85" t="str">
        <f t="shared" si="23"/>
        <v>A</v>
      </c>
      <c r="BH10" s="85" t="str">
        <f t="shared" si="24"/>
        <v>Excellent</v>
      </c>
      <c r="BI10" s="3">
        <v>8</v>
      </c>
      <c r="BJ10" s="90"/>
      <c r="BK10" s="167">
        <v>7</v>
      </c>
      <c r="BL10" s="168">
        <v>8</v>
      </c>
      <c r="BM10" s="168">
        <v>2</v>
      </c>
      <c r="BN10" s="168"/>
      <c r="BO10" s="90">
        <f t="shared" si="25"/>
        <v>17</v>
      </c>
      <c r="BP10" s="173">
        <v>28</v>
      </c>
      <c r="BQ10" s="90">
        <f t="shared" si="26"/>
        <v>45</v>
      </c>
      <c r="BR10" s="90">
        <f t="shared" si="27"/>
        <v>27</v>
      </c>
      <c r="BS10" s="90" t="str">
        <f t="shared" si="28"/>
        <v>P</v>
      </c>
      <c r="BT10" s="90" t="str">
        <f t="shared" si="29"/>
        <v>Pass</v>
      </c>
      <c r="BU10" s="3">
        <v>8</v>
      </c>
      <c r="BV10" s="157" t="s">
        <v>122</v>
      </c>
      <c r="BW10" s="145">
        <v>8</v>
      </c>
      <c r="BX10" s="143">
        <v>5</v>
      </c>
      <c r="BY10" s="143">
        <v>9</v>
      </c>
      <c r="BZ10" s="143">
        <v>8</v>
      </c>
      <c r="CA10" s="94">
        <f t="shared" si="30"/>
        <v>30</v>
      </c>
      <c r="CB10" s="143">
        <v>34</v>
      </c>
      <c r="CC10" s="94">
        <f t="shared" si="31"/>
        <v>64</v>
      </c>
      <c r="CD10" s="94">
        <f t="shared" si="32"/>
        <v>15</v>
      </c>
      <c r="CE10" s="94" t="str">
        <f t="shared" si="33"/>
        <v>C</v>
      </c>
      <c r="CF10" s="94" t="str">
        <f t="shared" si="34"/>
        <v>Credit</v>
      </c>
      <c r="CG10" s="3">
        <v>8</v>
      </c>
      <c r="CH10" s="157" t="s">
        <v>122</v>
      </c>
      <c r="CI10" s="145">
        <v>8</v>
      </c>
      <c r="CJ10" s="143">
        <v>8</v>
      </c>
      <c r="CK10" s="143">
        <v>10</v>
      </c>
      <c r="CL10" s="143">
        <v>9</v>
      </c>
      <c r="CM10" s="66">
        <f t="shared" si="35"/>
        <v>35</v>
      </c>
      <c r="CN10" s="143">
        <v>31</v>
      </c>
      <c r="CO10" s="66">
        <f t="shared" si="89"/>
        <v>66</v>
      </c>
      <c r="CP10" s="66">
        <f t="shared" si="36"/>
        <v>16</v>
      </c>
      <c r="CQ10" s="66" t="str">
        <f t="shared" si="37"/>
        <v>C</v>
      </c>
      <c r="CR10" s="66" t="str">
        <f t="shared" si="38"/>
        <v>Credit</v>
      </c>
      <c r="CS10" s="3">
        <v>8</v>
      </c>
      <c r="CT10" s="157" t="s">
        <v>122</v>
      </c>
      <c r="CU10" s="148">
        <v>5</v>
      </c>
      <c r="CV10" s="149">
        <v>8</v>
      </c>
      <c r="CW10" s="149">
        <v>8</v>
      </c>
      <c r="CX10" s="149">
        <v>10</v>
      </c>
      <c r="CY10" s="70">
        <f t="shared" si="39"/>
        <v>31</v>
      </c>
      <c r="CZ10" s="149">
        <v>40</v>
      </c>
      <c r="DA10" s="70">
        <f t="shared" si="40"/>
        <v>71</v>
      </c>
      <c r="DB10" s="70">
        <f t="shared" si="41"/>
        <v>10</v>
      </c>
      <c r="DC10" s="70" t="str">
        <f t="shared" si="42"/>
        <v>A</v>
      </c>
      <c r="DD10" s="70" t="str">
        <f t="shared" si="43"/>
        <v>Excellent</v>
      </c>
      <c r="DE10" s="3">
        <v>8</v>
      </c>
      <c r="DF10" s="59"/>
      <c r="DG10" s="145">
        <v>7</v>
      </c>
      <c r="DH10" s="143">
        <v>10</v>
      </c>
      <c r="DI10" s="143">
        <v>1</v>
      </c>
      <c r="DJ10" s="143">
        <v>10</v>
      </c>
      <c r="DK10" s="59">
        <f t="shared" si="44"/>
        <v>28</v>
      </c>
      <c r="DL10" s="143">
        <v>40</v>
      </c>
      <c r="DM10" s="59">
        <f t="shared" si="45"/>
        <v>68</v>
      </c>
      <c r="DN10" s="59">
        <f t="shared" si="46"/>
        <v>21</v>
      </c>
      <c r="DO10" s="59" t="str">
        <f t="shared" si="47"/>
        <v>C</v>
      </c>
      <c r="DP10" s="59" t="str">
        <f t="shared" si="48"/>
        <v>Credit</v>
      </c>
      <c r="DQ10" s="3">
        <v>8</v>
      </c>
      <c r="DR10" s="157" t="s">
        <v>122</v>
      </c>
      <c r="DS10" s="145">
        <v>7</v>
      </c>
      <c r="DT10" s="143">
        <v>7</v>
      </c>
      <c r="DU10" s="143">
        <v>7</v>
      </c>
      <c r="DV10" s="143">
        <v>7</v>
      </c>
      <c r="DW10" s="102">
        <f t="shared" si="49"/>
        <v>28</v>
      </c>
      <c r="DX10" s="143">
        <v>30</v>
      </c>
      <c r="DY10" s="102">
        <f t="shared" si="50"/>
        <v>58</v>
      </c>
      <c r="DZ10" s="102">
        <f t="shared" si="51"/>
        <v>33</v>
      </c>
      <c r="EA10" s="102" t="str">
        <f t="shared" si="52"/>
        <v>C</v>
      </c>
      <c r="EB10" s="102" t="str">
        <f t="shared" si="53"/>
        <v>Credit</v>
      </c>
      <c r="EC10" s="3">
        <v>8</v>
      </c>
      <c r="ED10" s="75"/>
      <c r="EE10" s="145">
        <v>7</v>
      </c>
      <c r="EF10" s="143">
        <v>9</v>
      </c>
      <c r="EG10" s="143">
        <v>10</v>
      </c>
      <c r="EH10" s="143">
        <v>8</v>
      </c>
      <c r="EI10" s="75">
        <f t="shared" si="54"/>
        <v>34</v>
      </c>
      <c r="EJ10" s="143">
        <v>28</v>
      </c>
      <c r="EK10" s="75">
        <f t="shared" si="0"/>
        <v>62</v>
      </c>
      <c r="EL10" s="75">
        <f t="shared" si="55"/>
        <v>6</v>
      </c>
      <c r="EM10" s="75" t="str">
        <f t="shared" si="56"/>
        <v>C</v>
      </c>
      <c r="EN10" s="75" t="str">
        <f t="shared" si="57"/>
        <v>Credit</v>
      </c>
      <c r="EO10" s="3">
        <v>8</v>
      </c>
      <c r="EP10" s="157" t="s">
        <v>122</v>
      </c>
      <c r="EQ10" s="3">
        <v>7</v>
      </c>
      <c r="ER10" s="147">
        <v>5</v>
      </c>
      <c r="ES10" s="147">
        <v>8</v>
      </c>
      <c r="ET10" s="147">
        <v>10</v>
      </c>
      <c r="EU10" s="98">
        <f t="shared" si="58"/>
        <v>30</v>
      </c>
      <c r="EV10" s="147">
        <v>31</v>
      </c>
      <c r="EW10" s="98">
        <f t="shared" si="59"/>
        <v>61</v>
      </c>
      <c r="EX10" s="98">
        <f t="shared" si="60"/>
        <v>8</v>
      </c>
      <c r="EY10" s="98" t="str">
        <f t="shared" si="61"/>
        <v>C</v>
      </c>
      <c r="EZ10" s="98" t="str">
        <f t="shared" si="62"/>
        <v>Credit</v>
      </c>
      <c r="FA10" s="3">
        <v>8</v>
      </c>
      <c r="FB10" s="113"/>
      <c r="FC10" s="145">
        <v>8</v>
      </c>
      <c r="FD10" s="143">
        <v>8</v>
      </c>
      <c r="FE10" s="143">
        <v>5</v>
      </c>
      <c r="FF10" s="143">
        <v>10</v>
      </c>
      <c r="FG10" s="113">
        <f t="shared" si="63"/>
        <v>31</v>
      </c>
      <c r="FH10" s="143">
        <v>38</v>
      </c>
      <c r="FI10" s="113">
        <f t="shared" si="64"/>
        <v>69</v>
      </c>
      <c r="FJ10" s="113">
        <f t="shared" si="65"/>
        <v>24</v>
      </c>
      <c r="FK10" s="113" t="str">
        <f t="shared" si="66"/>
        <v>C</v>
      </c>
      <c r="FL10" s="113" t="str">
        <f t="shared" si="67"/>
        <v>Credit</v>
      </c>
      <c r="FM10" s="3">
        <v>8</v>
      </c>
      <c r="FN10" s="53"/>
      <c r="FO10" s="145">
        <v>10</v>
      </c>
      <c r="FP10" s="143">
        <v>8</v>
      </c>
      <c r="FQ10" s="143">
        <v>10</v>
      </c>
      <c r="FR10" s="143">
        <v>4</v>
      </c>
      <c r="FS10" s="53">
        <f t="shared" si="68"/>
        <v>32</v>
      </c>
      <c r="FT10" s="143">
        <v>39</v>
      </c>
      <c r="FU10" s="53">
        <f t="shared" si="69"/>
        <v>71</v>
      </c>
      <c r="FV10" s="53">
        <f t="shared" si="70"/>
        <v>19</v>
      </c>
      <c r="FW10" s="53" t="str">
        <f t="shared" si="71"/>
        <v>A</v>
      </c>
      <c r="FX10" s="53" t="str">
        <f t="shared" si="72"/>
        <v>Excellent</v>
      </c>
      <c r="FY10" s="3">
        <v>8</v>
      </c>
      <c r="FZ10" s="80"/>
      <c r="GA10" s="80"/>
      <c r="GB10" s="80"/>
      <c r="GC10" s="80"/>
      <c r="GD10" s="80"/>
      <c r="GE10" s="80">
        <f t="shared" si="73"/>
        <v>0</v>
      </c>
      <c r="GF10" s="80"/>
      <c r="GG10" s="80">
        <f t="shared" si="74"/>
        <v>0</v>
      </c>
      <c r="GH10" s="80" t="str">
        <f t="shared" si="75"/>
        <v/>
      </c>
      <c r="GI10" s="80" t="str">
        <f t="shared" si="76"/>
        <v/>
      </c>
      <c r="GJ10" s="80" t="str">
        <f t="shared" si="77"/>
        <v/>
      </c>
      <c r="GK10" s="3">
        <v>8</v>
      </c>
      <c r="GL10" s="157" t="s">
        <v>122</v>
      </c>
      <c r="GM10" s="145">
        <v>9</v>
      </c>
      <c r="GN10" s="143">
        <v>8</v>
      </c>
      <c r="GO10" s="143">
        <v>7</v>
      </c>
      <c r="GP10" s="143">
        <v>8</v>
      </c>
      <c r="GQ10" s="113">
        <f t="shared" si="78"/>
        <v>32</v>
      </c>
      <c r="GR10" s="143">
        <v>31</v>
      </c>
      <c r="GS10" s="113">
        <f t="shared" si="79"/>
        <v>63</v>
      </c>
      <c r="GT10" s="113">
        <f t="shared" si="80"/>
        <v>12</v>
      </c>
      <c r="GU10" s="113" t="str">
        <f t="shared" si="81"/>
        <v>C</v>
      </c>
      <c r="GV10" s="113" t="str">
        <f t="shared" si="82"/>
        <v>Credit</v>
      </c>
      <c r="GW10" s="3">
        <v>8</v>
      </c>
      <c r="GX10" s="107"/>
      <c r="GY10" s="145"/>
      <c r="GZ10" s="143"/>
      <c r="HA10" s="143"/>
      <c r="HB10" s="143"/>
      <c r="HC10" s="107">
        <f t="shared" si="83"/>
        <v>0</v>
      </c>
      <c r="HD10" s="143"/>
      <c r="HE10" s="107">
        <f t="shared" si="84"/>
        <v>0</v>
      </c>
      <c r="HF10" s="107" t="str">
        <f t="shared" si="85"/>
        <v/>
      </c>
      <c r="HG10" s="107" t="str">
        <f t="shared" si="86"/>
        <v/>
      </c>
      <c r="HH10" s="107" t="str">
        <f t="shared" si="87"/>
        <v/>
      </c>
    </row>
    <row r="11" spans="1:216" ht="18.75">
      <c r="A11" s="186">
        <v>9</v>
      </c>
      <c r="B11" s="157" t="s">
        <v>123</v>
      </c>
      <c r="C11" s="130">
        <v>4</v>
      </c>
      <c r="D11" s="131">
        <v>7</v>
      </c>
      <c r="E11" s="131">
        <v>8</v>
      </c>
      <c r="F11" s="131">
        <v>10</v>
      </c>
      <c r="G11" s="53">
        <f t="shared" si="1"/>
        <v>29</v>
      </c>
      <c r="H11" s="131">
        <v>35</v>
      </c>
      <c r="I11" s="53">
        <f t="shared" si="2"/>
        <v>64</v>
      </c>
      <c r="J11" s="53">
        <f t="shared" si="3"/>
        <v>17</v>
      </c>
      <c r="K11" s="53" t="str">
        <f t="shared" si="4"/>
        <v>C</v>
      </c>
      <c r="L11" s="53" t="str">
        <f t="shared" si="5"/>
        <v>Credit</v>
      </c>
      <c r="M11" s="44">
        <v>9</v>
      </c>
      <c r="N11" s="59"/>
      <c r="O11" s="135">
        <v>3</v>
      </c>
      <c r="P11" s="136">
        <v>1</v>
      </c>
      <c r="Q11" s="136">
        <v>6</v>
      </c>
      <c r="R11" s="136">
        <v>10</v>
      </c>
      <c r="S11" s="59">
        <f t="shared" si="6"/>
        <v>20</v>
      </c>
      <c r="T11" s="136">
        <v>25</v>
      </c>
      <c r="U11" s="59">
        <f t="shared" si="7"/>
        <v>45</v>
      </c>
      <c r="V11" s="59">
        <f t="shared" si="8"/>
        <v>23</v>
      </c>
      <c r="W11" s="59" t="str">
        <f t="shared" si="9"/>
        <v>P</v>
      </c>
      <c r="X11" s="59" t="str">
        <f t="shared" si="10"/>
        <v>Pass</v>
      </c>
      <c r="Y11" s="3">
        <v>9</v>
      </c>
      <c r="Z11" s="80"/>
      <c r="AA11" s="135">
        <v>10</v>
      </c>
      <c r="AB11" s="136">
        <v>7</v>
      </c>
      <c r="AC11" s="136">
        <v>7</v>
      </c>
      <c r="AD11" s="136">
        <v>7</v>
      </c>
      <c r="AE11" s="80">
        <f t="shared" si="88"/>
        <v>31</v>
      </c>
      <c r="AF11" s="136">
        <v>40</v>
      </c>
      <c r="AG11" s="80">
        <f t="shared" si="11"/>
        <v>71</v>
      </c>
      <c r="AH11" s="80">
        <f t="shared" si="12"/>
        <v>11</v>
      </c>
      <c r="AI11" s="80" t="str">
        <f t="shared" si="13"/>
        <v>A</v>
      </c>
      <c r="AJ11" s="80" t="str">
        <f t="shared" si="14"/>
        <v>Excellent</v>
      </c>
      <c r="AK11" s="3">
        <v>9</v>
      </c>
      <c r="AL11" s="157" t="s">
        <v>123</v>
      </c>
      <c r="AM11" s="135"/>
      <c r="AN11" s="136"/>
      <c r="AO11" s="136"/>
      <c r="AP11" s="136"/>
      <c r="AQ11" s="47">
        <f t="shared" si="15"/>
        <v>0</v>
      </c>
      <c r="AR11" s="136"/>
      <c r="AS11" s="47">
        <f t="shared" si="16"/>
        <v>0</v>
      </c>
      <c r="AT11" s="47" t="str">
        <f t="shared" si="17"/>
        <v/>
      </c>
      <c r="AU11" s="47" t="str">
        <f t="shared" si="18"/>
        <v/>
      </c>
      <c r="AV11" s="47" t="str">
        <f t="shared" si="19"/>
        <v/>
      </c>
      <c r="AW11" s="3">
        <v>9</v>
      </c>
      <c r="AX11" s="157" t="s">
        <v>123</v>
      </c>
      <c r="AY11" s="130">
        <v>10</v>
      </c>
      <c r="AZ11" s="131">
        <v>7</v>
      </c>
      <c r="BA11" s="131">
        <v>5</v>
      </c>
      <c r="BB11" s="131">
        <v>7</v>
      </c>
      <c r="BC11" s="85">
        <f t="shared" si="20"/>
        <v>29</v>
      </c>
      <c r="BD11" s="131">
        <v>26</v>
      </c>
      <c r="BE11" s="85">
        <f t="shared" si="21"/>
        <v>55</v>
      </c>
      <c r="BF11" s="85">
        <f t="shared" si="22"/>
        <v>42</v>
      </c>
      <c r="BG11" s="85" t="str">
        <f t="shared" si="23"/>
        <v>C</v>
      </c>
      <c r="BH11" s="85" t="str">
        <f t="shared" si="24"/>
        <v>Credit</v>
      </c>
      <c r="BI11" s="3">
        <v>9</v>
      </c>
      <c r="BJ11" s="90"/>
      <c r="BK11" s="167">
        <v>3</v>
      </c>
      <c r="BL11" s="168">
        <v>6</v>
      </c>
      <c r="BM11" s="168">
        <v>2</v>
      </c>
      <c r="BN11" s="168">
        <v>7</v>
      </c>
      <c r="BO11" s="90">
        <f t="shared" si="25"/>
        <v>18</v>
      </c>
      <c r="BP11" s="173">
        <v>22</v>
      </c>
      <c r="BQ11" s="90">
        <f t="shared" si="26"/>
        <v>40</v>
      </c>
      <c r="BR11" s="90">
        <f t="shared" si="27"/>
        <v>34</v>
      </c>
      <c r="BS11" s="90" t="str">
        <f t="shared" si="28"/>
        <v>F</v>
      </c>
      <c r="BT11" s="90" t="str">
        <f t="shared" si="29"/>
        <v>Fail</v>
      </c>
      <c r="BU11" s="3">
        <v>9</v>
      </c>
      <c r="BV11" s="157" t="s">
        <v>123</v>
      </c>
      <c r="BW11" s="145">
        <v>7</v>
      </c>
      <c r="BX11" s="143">
        <v>4</v>
      </c>
      <c r="BY11" s="143">
        <v>9</v>
      </c>
      <c r="BZ11" s="143">
        <v>8</v>
      </c>
      <c r="CA11" s="94">
        <f t="shared" si="30"/>
        <v>28</v>
      </c>
      <c r="CB11" s="143">
        <v>39</v>
      </c>
      <c r="CC11" s="94">
        <f t="shared" si="31"/>
        <v>67</v>
      </c>
      <c r="CD11" s="94">
        <f t="shared" si="32"/>
        <v>10</v>
      </c>
      <c r="CE11" s="94" t="str">
        <f t="shared" si="33"/>
        <v>C</v>
      </c>
      <c r="CF11" s="94" t="str">
        <f t="shared" si="34"/>
        <v>Credit</v>
      </c>
      <c r="CG11" s="3">
        <v>9</v>
      </c>
      <c r="CH11" s="157" t="s">
        <v>123</v>
      </c>
      <c r="CI11" s="145">
        <v>8</v>
      </c>
      <c r="CJ11" s="143">
        <v>8</v>
      </c>
      <c r="CK11" s="143">
        <v>8</v>
      </c>
      <c r="CL11" s="143">
        <v>8</v>
      </c>
      <c r="CM11" s="66">
        <f t="shared" si="35"/>
        <v>32</v>
      </c>
      <c r="CN11" s="143">
        <v>29</v>
      </c>
      <c r="CO11" s="66">
        <f t="shared" si="89"/>
        <v>61</v>
      </c>
      <c r="CP11" s="66">
        <f t="shared" si="36"/>
        <v>23</v>
      </c>
      <c r="CQ11" s="66" t="str">
        <f t="shared" si="37"/>
        <v>C</v>
      </c>
      <c r="CR11" s="66" t="str">
        <f t="shared" si="38"/>
        <v>Credit</v>
      </c>
      <c r="CS11" s="3">
        <v>9</v>
      </c>
      <c r="CT11" s="157" t="s">
        <v>123</v>
      </c>
      <c r="CU11" s="148">
        <v>4</v>
      </c>
      <c r="CV11" s="149">
        <v>6</v>
      </c>
      <c r="CW11" s="149">
        <v>8</v>
      </c>
      <c r="CX11" s="149">
        <v>10</v>
      </c>
      <c r="CY11" s="70">
        <f t="shared" si="39"/>
        <v>28</v>
      </c>
      <c r="CZ11" s="149">
        <v>19</v>
      </c>
      <c r="DA11" s="70">
        <f t="shared" si="40"/>
        <v>47</v>
      </c>
      <c r="DB11" s="70">
        <f t="shared" si="41"/>
        <v>45</v>
      </c>
      <c r="DC11" s="70" t="str">
        <f t="shared" si="42"/>
        <v>P</v>
      </c>
      <c r="DD11" s="70" t="str">
        <f t="shared" si="43"/>
        <v>Pass</v>
      </c>
      <c r="DE11" s="3">
        <v>9</v>
      </c>
      <c r="DF11" s="59"/>
      <c r="DG11" s="145">
        <v>10</v>
      </c>
      <c r="DH11" s="143">
        <v>10</v>
      </c>
      <c r="DI11" s="143">
        <v>5</v>
      </c>
      <c r="DJ11" s="143"/>
      <c r="DK11" s="59">
        <f t="shared" si="44"/>
        <v>25</v>
      </c>
      <c r="DL11" s="143">
        <v>34</v>
      </c>
      <c r="DM11" s="59">
        <f t="shared" si="45"/>
        <v>59</v>
      </c>
      <c r="DN11" s="59">
        <f t="shared" si="46"/>
        <v>33</v>
      </c>
      <c r="DO11" s="59" t="str">
        <f t="shared" si="47"/>
        <v>C</v>
      </c>
      <c r="DP11" s="59" t="str">
        <f t="shared" si="48"/>
        <v>Credit</v>
      </c>
      <c r="DQ11" s="3">
        <v>9</v>
      </c>
      <c r="DR11" s="157" t="s">
        <v>123</v>
      </c>
      <c r="DS11" s="145">
        <v>10</v>
      </c>
      <c r="DT11" s="143">
        <v>6</v>
      </c>
      <c r="DU11" s="143">
        <v>9</v>
      </c>
      <c r="DV11" s="143">
        <v>8</v>
      </c>
      <c r="DW11" s="102">
        <f t="shared" si="49"/>
        <v>33</v>
      </c>
      <c r="DX11" s="143">
        <v>22</v>
      </c>
      <c r="DY11" s="102">
        <f t="shared" si="50"/>
        <v>55</v>
      </c>
      <c r="DZ11" s="102">
        <f t="shared" si="51"/>
        <v>35</v>
      </c>
      <c r="EA11" s="102" t="str">
        <f t="shared" si="52"/>
        <v>C</v>
      </c>
      <c r="EB11" s="102" t="str">
        <f t="shared" si="53"/>
        <v>Credit</v>
      </c>
      <c r="EC11" s="3">
        <v>9</v>
      </c>
      <c r="ED11" s="75"/>
      <c r="EE11" s="145">
        <v>10</v>
      </c>
      <c r="EF11" s="143">
        <v>5</v>
      </c>
      <c r="EG11" s="143">
        <v>10</v>
      </c>
      <c r="EH11" s="143">
        <v>7</v>
      </c>
      <c r="EI11" s="75">
        <f t="shared" si="54"/>
        <v>32</v>
      </c>
      <c r="EJ11" s="143">
        <v>25</v>
      </c>
      <c r="EK11" s="75">
        <f t="shared" si="0"/>
        <v>57</v>
      </c>
      <c r="EL11" s="75">
        <f t="shared" si="55"/>
        <v>11</v>
      </c>
      <c r="EM11" s="75" t="str">
        <f t="shared" si="56"/>
        <v>C</v>
      </c>
      <c r="EN11" s="75" t="str">
        <f t="shared" si="57"/>
        <v>Credit</v>
      </c>
      <c r="EO11" s="3">
        <v>9</v>
      </c>
      <c r="EP11" s="157" t="s">
        <v>123</v>
      </c>
      <c r="EQ11" s="3">
        <v>7</v>
      </c>
      <c r="ER11" s="147">
        <v>3</v>
      </c>
      <c r="ES11" s="147">
        <v>5</v>
      </c>
      <c r="ET11" s="147">
        <v>1</v>
      </c>
      <c r="EU11" s="98">
        <f t="shared" si="58"/>
        <v>16</v>
      </c>
      <c r="EV11" s="147">
        <v>14</v>
      </c>
      <c r="EW11" s="98">
        <f t="shared" si="59"/>
        <v>30</v>
      </c>
      <c r="EX11" s="98">
        <f t="shared" si="60"/>
        <v>44</v>
      </c>
      <c r="EY11" s="98" t="str">
        <f t="shared" si="61"/>
        <v>F</v>
      </c>
      <c r="EZ11" s="98" t="str">
        <f t="shared" si="62"/>
        <v>Fail</v>
      </c>
      <c r="FA11" s="3">
        <v>9</v>
      </c>
      <c r="FB11" s="113"/>
      <c r="FC11" s="145">
        <v>10</v>
      </c>
      <c r="FD11" s="143">
        <v>10</v>
      </c>
      <c r="FE11" s="143">
        <v>9</v>
      </c>
      <c r="FF11" s="143">
        <v>10</v>
      </c>
      <c r="FG11" s="113">
        <f t="shared" si="63"/>
        <v>39</v>
      </c>
      <c r="FH11" s="143">
        <v>39</v>
      </c>
      <c r="FI11" s="113">
        <v>7</v>
      </c>
      <c r="FJ11" s="113">
        <v>8</v>
      </c>
      <c r="FK11" s="113">
        <v>9</v>
      </c>
      <c r="FL11" s="113" t="str">
        <f t="shared" si="67"/>
        <v>Fail</v>
      </c>
      <c r="FM11" s="3">
        <v>9</v>
      </c>
      <c r="FN11" s="53"/>
      <c r="FO11" s="145">
        <v>10</v>
      </c>
      <c r="FP11" s="143">
        <v>10</v>
      </c>
      <c r="FQ11" s="143">
        <v>8</v>
      </c>
      <c r="FR11" s="143">
        <v>8</v>
      </c>
      <c r="FS11" s="53">
        <f t="shared" si="68"/>
        <v>36</v>
      </c>
      <c r="FT11" s="143">
        <v>41</v>
      </c>
      <c r="FU11" s="53">
        <f t="shared" si="69"/>
        <v>77</v>
      </c>
      <c r="FV11" s="53">
        <f t="shared" si="70"/>
        <v>9</v>
      </c>
      <c r="FW11" s="53" t="str">
        <f t="shared" si="71"/>
        <v>A</v>
      </c>
      <c r="FX11" s="53" t="str">
        <f t="shared" si="72"/>
        <v>Excellent</v>
      </c>
      <c r="FY11" s="3">
        <v>9</v>
      </c>
      <c r="FZ11" s="80"/>
      <c r="GA11" s="80"/>
      <c r="GB11" s="80"/>
      <c r="GC11" s="80"/>
      <c r="GD11" s="80"/>
      <c r="GE11" s="80">
        <f t="shared" si="73"/>
        <v>0</v>
      </c>
      <c r="GF11" s="80"/>
      <c r="GG11" s="80">
        <f t="shared" si="74"/>
        <v>0</v>
      </c>
      <c r="GH11" s="80" t="str">
        <f t="shared" si="75"/>
        <v/>
      </c>
      <c r="GI11" s="80" t="str">
        <f t="shared" si="76"/>
        <v/>
      </c>
      <c r="GJ11" s="80" t="str">
        <f t="shared" si="77"/>
        <v/>
      </c>
      <c r="GK11" s="3">
        <v>9</v>
      </c>
      <c r="GL11" s="157" t="s">
        <v>123</v>
      </c>
      <c r="GM11" s="145">
        <v>2</v>
      </c>
      <c r="GN11" s="143">
        <v>3</v>
      </c>
      <c r="GO11" s="143">
        <v>10</v>
      </c>
      <c r="GP11" s="143">
        <v>8</v>
      </c>
      <c r="GQ11" s="113">
        <f t="shared" si="78"/>
        <v>23</v>
      </c>
      <c r="GR11" s="143">
        <v>23</v>
      </c>
      <c r="GS11" s="113">
        <f t="shared" si="79"/>
        <v>46</v>
      </c>
      <c r="GT11" s="113">
        <f t="shared" si="80"/>
        <v>36</v>
      </c>
      <c r="GU11" s="113" t="str">
        <f t="shared" si="81"/>
        <v>P</v>
      </c>
      <c r="GV11" s="113" t="str">
        <f t="shared" si="82"/>
        <v>Pass</v>
      </c>
      <c r="GW11" s="3">
        <v>9</v>
      </c>
      <c r="GX11" s="107"/>
      <c r="GY11" s="145">
        <v>9</v>
      </c>
      <c r="GZ11" s="143">
        <v>8</v>
      </c>
      <c r="HA11" s="143">
        <v>8</v>
      </c>
      <c r="HB11" s="143">
        <v>7</v>
      </c>
      <c r="HC11" s="107">
        <f t="shared" si="83"/>
        <v>32</v>
      </c>
      <c r="HD11" s="143">
        <v>39</v>
      </c>
      <c r="HE11" s="107">
        <f t="shared" si="84"/>
        <v>71</v>
      </c>
      <c r="HF11" s="107">
        <f t="shared" si="85"/>
        <v>17</v>
      </c>
      <c r="HG11" s="107" t="str">
        <f t="shared" si="86"/>
        <v>A</v>
      </c>
      <c r="HH11" s="107" t="str">
        <f t="shared" si="87"/>
        <v>Excellent</v>
      </c>
    </row>
    <row r="12" spans="1:216" ht="18.75">
      <c r="A12" s="185">
        <v>10</v>
      </c>
      <c r="B12" s="157" t="s">
        <v>124</v>
      </c>
      <c r="C12" s="130">
        <v>5</v>
      </c>
      <c r="D12" s="131">
        <v>8</v>
      </c>
      <c r="E12" s="131">
        <v>8</v>
      </c>
      <c r="F12" s="131">
        <v>9</v>
      </c>
      <c r="G12" s="53">
        <f t="shared" si="1"/>
        <v>30</v>
      </c>
      <c r="H12" s="131">
        <v>28</v>
      </c>
      <c r="I12" s="53">
        <f t="shared" si="2"/>
        <v>58</v>
      </c>
      <c r="J12" s="53">
        <f t="shared" si="3"/>
        <v>33</v>
      </c>
      <c r="K12" s="53" t="str">
        <f t="shared" si="4"/>
        <v>C</v>
      </c>
      <c r="L12" s="53" t="str">
        <f t="shared" si="5"/>
        <v>Credit</v>
      </c>
      <c r="M12" s="44">
        <v>10</v>
      </c>
      <c r="N12" s="59"/>
      <c r="O12" s="135">
        <v>3</v>
      </c>
      <c r="P12" s="136">
        <v>3</v>
      </c>
      <c r="Q12" s="136">
        <v>7</v>
      </c>
      <c r="R12" s="136">
        <v>10</v>
      </c>
      <c r="S12" s="59">
        <f t="shared" si="6"/>
        <v>23</v>
      </c>
      <c r="T12" s="136">
        <v>18</v>
      </c>
      <c r="U12" s="59">
        <f t="shared" si="7"/>
        <v>41</v>
      </c>
      <c r="V12" s="59">
        <f t="shared" si="8"/>
        <v>28</v>
      </c>
      <c r="W12" s="59" t="str">
        <f t="shared" si="9"/>
        <v>F</v>
      </c>
      <c r="X12" s="59" t="str">
        <f t="shared" si="10"/>
        <v>Fail</v>
      </c>
      <c r="Y12" s="3">
        <v>10</v>
      </c>
      <c r="Z12" s="80"/>
      <c r="AA12" s="135">
        <v>5</v>
      </c>
      <c r="AB12" s="136">
        <v>5</v>
      </c>
      <c r="AC12" s="136">
        <v>10</v>
      </c>
      <c r="AD12" s="136">
        <v>5</v>
      </c>
      <c r="AE12" s="80">
        <f t="shared" si="88"/>
        <v>25</v>
      </c>
      <c r="AF12" s="136">
        <v>34</v>
      </c>
      <c r="AG12" s="80">
        <f t="shared" si="11"/>
        <v>59</v>
      </c>
      <c r="AH12" s="80">
        <f t="shared" si="12"/>
        <v>29</v>
      </c>
      <c r="AI12" s="80" t="str">
        <f t="shared" si="13"/>
        <v>C</v>
      </c>
      <c r="AJ12" s="80" t="str">
        <f t="shared" si="14"/>
        <v>Credit</v>
      </c>
      <c r="AK12" s="3">
        <v>10</v>
      </c>
      <c r="AL12" s="157" t="s">
        <v>124</v>
      </c>
      <c r="AM12" s="135"/>
      <c r="AN12" s="136"/>
      <c r="AO12" s="136"/>
      <c r="AP12" s="136"/>
      <c r="AQ12" s="47">
        <f t="shared" si="15"/>
        <v>0</v>
      </c>
      <c r="AR12" s="136"/>
      <c r="AS12" s="47">
        <f t="shared" si="16"/>
        <v>0</v>
      </c>
      <c r="AT12" s="47" t="str">
        <f t="shared" si="17"/>
        <v/>
      </c>
      <c r="AU12" s="47" t="str">
        <f t="shared" si="18"/>
        <v/>
      </c>
      <c r="AV12" s="47" t="str">
        <f t="shared" si="19"/>
        <v/>
      </c>
      <c r="AW12" s="3">
        <v>10</v>
      </c>
      <c r="AX12" s="157" t="s">
        <v>124</v>
      </c>
      <c r="AY12" s="130">
        <v>9</v>
      </c>
      <c r="AZ12" s="131">
        <v>7</v>
      </c>
      <c r="BA12" s="131">
        <v>3</v>
      </c>
      <c r="BB12" s="131">
        <v>7</v>
      </c>
      <c r="BC12" s="85">
        <f t="shared" si="20"/>
        <v>26</v>
      </c>
      <c r="BD12" s="131">
        <v>43</v>
      </c>
      <c r="BE12" s="85">
        <f t="shared" si="21"/>
        <v>69</v>
      </c>
      <c r="BF12" s="85">
        <f t="shared" si="22"/>
        <v>24</v>
      </c>
      <c r="BG12" s="85" t="str">
        <f t="shared" si="23"/>
        <v>C</v>
      </c>
      <c r="BH12" s="85" t="str">
        <f t="shared" si="24"/>
        <v>Credit</v>
      </c>
      <c r="BI12" s="3">
        <v>10</v>
      </c>
      <c r="BJ12" s="90"/>
      <c r="BK12" s="167">
        <v>2</v>
      </c>
      <c r="BL12" s="168">
        <v>6</v>
      </c>
      <c r="BM12" s="168">
        <v>10</v>
      </c>
      <c r="BN12" s="168">
        <v>5</v>
      </c>
      <c r="BO12" s="90">
        <f t="shared" si="25"/>
        <v>23</v>
      </c>
      <c r="BP12" s="173">
        <v>32</v>
      </c>
      <c r="BQ12" s="90">
        <f t="shared" si="26"/>
        <v>55</v>
      </c>
      <c r="BR12" s="90">
        <f t="shared" si="27"/>
        <v>16</v>
      </c>
      <c r="BS12" s="90" t="str">
        <f t="shared" si="28"/>
        <v>C</v>
      </c>
      <c r="BT12" s="90" t="str">
        <f t="shared" si="29"/>
        <v>Credit</v>
      </c>
      <c r="BU12" s="3">
        <v>10</v>
      </c>
      <c r="BV12" s="157" t="s">
        <v>124</v>
      </c>
      <c r="BW12" s="145">
        <v>5</v>
      </c>
      <c r="BX12" s="143">
        <v>1</v>
      </c>
      <c r="BY12" s="143">
        <v>5</v>
      </c>
      <c r="BZ12" s="143">
        <v>8</v>
      </c>
      <c r="CA12" s="94">
        <f t="shared" si="30"/>
        <v>19</v>
      </c>
      <c r="CB12" s="143">
        <v>31</v>
      </c>
      <c r="CC12" s="94">
        <f t="shared" si="31"/>
        <v>50</v>
      </c>
      <c r="CD12" s="94">
        <f t="shared" si="32"/>
        <v>36</v>
      </c>
      <c r="CE12" s="94" t="str">
        <f t="shared" si="33"/>
        <v>C</v>
      </c>
      <c r="CF12" s="94" t="str">
        <f t="shared" si="34"/>
        <v>Credit</v>
      </c>
      <c r="CG12" s="3">
        <v>10</v>
      </c>
      <c r="CH12" s="157" t="s">
        <v>124</v>
      </c>
      <c r="CI12" s="145">
        <v>6</v>
      </c>
      <c r="CJ12" s="143">
        <v>9</v>
      </c>
      <c r="CK12" s="143">
        <v>8</v>
      </c>
      <c r="CL12" s="143">
        <v>8</v>
      </c>
      <c r="CM12" s="66">
        <f t="shared" si="35"/>
        <v>31</v>
      </c>
      <c r="CN12" s="143">
        <v>47</v>
      </c>
      <c r="CO12" s="66">
        <f t="shared" si="89"/>
        <v>78</v>
      </c>
      <c r="CP12" s="66">
        <f t="shared" si="36"/>
        <v>8</v>
      </c>
      <c r="CQ12" s="66" t="str">
        <f t="shared" si="37"/>
        <v>A</v>
      </c>
      <c r="CR12" s="66" t="str">
        <f t="shared" si="38"/>
        <v>Excellent</v>
      </c>
      <c r="CS12" s="3">
        <v>10</v>
      </c>
      <c r="CT12" s="157" t="s">
        <v>124</v>
      </c>
      <c r="CU12" s="148">
        <v>3</v>
      </c>
      <c r="CV12" s="149">
        <v>9</v>
      </c>
      <c r="CW12" s="149">
        <v>8</v>
      </c>
      <c r="CX12" s="149">
        <v>10</v>
      </c>
      <c r="CY12" s="70">
        <f t="shared" si="39"/>
        <v>30</v>
      </c>
      <c r="CZ12" s="149">
        <v>41</v>
      </c>
      <c r="DA12" s="70">
        <f t="shared" si="40"/>
        <v>71</v>
      </c>
      <c r="DB12" s="70">
        <f t="shared" si="41"/>
        <v>10</v>
      </c>
      <c r="DC12" s="70" t="str">
        <f t="shared" si="42"/>
        <v>A</v>
      </c>
      <c r="DD12" s="70" t="str">
        <f t="shared" si="43"/>
        <v>Excellent</v>
      </c>
      <c r="DE12" s="3">
        <v>10</v>
      </c>
      <c r="DF12" s="59"/>
      <c r="DG12" s="145">
        <v>7</v>
      </c>
      <c r="DH12" s="143">
        <v>10</v>
      </c>
      <c r="DI12" s="143">
        <v>5</v>
      </c>
      <c r="DJ12" s="143">
        <v>7</v>
      </c>
      <c r="DK12" s="59">
        <f t="shared" si="44"/>
        <v>29</v>
      </c>
      <c r="DL12" s="143">
        <v>32</v>
      </c>
      <c r="DM12" s="59">
        <f t="shared" si="45"/>
        <v>61</v>
      </c>
      <c r="DN12" s="59">
        <f t="shared" si="46"/>
        <v>32</v>
      </c>
      <c r="DO12" s="59" t="str">
        <f t="shared" si="47"/>
        <v>C</v>
      </c>
      <c r="DP12" s="59" t="str">
        <f t="shared" si="48"/>
        <v>Credit</v>
      </c>
      <c r="DQ12" s="3">
        <v>10</v>
      </c>
      <c r="DR12" s="157" t="s">
        <v>124</v>
      </c>
      <c r="DS12" s="145">
        <v>9</v>
      </c>
      <c r="DT12" s="143">
        <v>7</v>
      </c>
      <c r="DU12" s="143">
        <v>9</v>
      </c>
      <c r="DV12" s="143">
        <v>10</v>
      </c>
      <c r="DW12" s="102">
        <f t="shared" si="49"/>
        <v>35</v>
      </c>
      <c r="DX12" s="143">
        <v>28</v>
      </c>
      <c r="DY12" s="102">
        <f t="shared" si="50"/>
        <v>63</v>
      </c>
      <c r="DZ12" s="102">
        <f t="shared" si="51"/>
        <v>23</v>
      </c>
      <c r="EA12" s="102" t="str">
        <f t="shared" si="52"/>
        <v>C</v>
      </c>
      <c r="EB12" s="102" t="str">
        <f t="shared" si="53"/>
        <v>Credit</v>
      </c>
      <c r="EC12" s="3">
        <v>10</v>
      </c>
      <c r="ED12" s="75"/>
      <c r="EE12" s="145">
        <v>9</v>
      </c>
      <c r="EF12" s="143">
        <v>4</v>
      </c>
      <c r="EG12" s="143">
        <v>9</v>
      </c>
      <c r="EH12" s="143">
        <v>6</v>
      </c>
      <c r="EI12" s="75">
        <f t="shared" si="54"/>
        <v>28</v>
      </c>
      <c r="EJ12" s="143">
        <v>24</v>
      </c>
      <c r="EK12" s="75">
        <f t="shared" si="0"/>
        <v>52</v>
      </c>
      <c r="EL12" s="75">
        <f t="shared" si="55"/>
        <v>22</v>
      </c>
      <c r="EM12" s="75" t="str">
        <f t="shared" si="56"/>
        <v>C</v>
      </c>
      <c r="EN12" s="75" t="str">
        <f t="shared" si="57"/>
        <v>Credit</v>
      </c>
      <c r="EO12" s="3">
        <v>10</v>
      </c>
      <c r="EP12" s="157" t="s">
        <v>124</v>
      </c>
      <c r="EQ12" s="3">
        <v>3</v>
      </c>
      <c r="ER12" s="147">
        <v>5</v>
      </c>
      <c r="ES12" s="147">
        <v>9</v>
      </c>
      <c r="ET12" s="147">
        <v>9</v>
      </c>
      <c r="EU12" s="98">
        <f t="shared" si="58"/>
        <v>26</v>
      </c>
      <c r="EV12" s="147">
        <v>23</v>
      </c>
      <c r="EW12" s="98">
        <f t="shared" si="59"/>
        <v>49</v>
      </c>
      <c r="EX12" s="98">
        <f t="shared" si="60"/>
        <v>19</v>
      </c>
      <c r="EY12" s="98" t="str">
        <f t="shared" si="61"/>
        <v>P</v>
      </c>
      <c r="EZ12" s="98" t="str">
        <f t="shared" si="62"/>
        <v>Pass</v>
      </c>
      <c r="FA12" s="3">
        <v>10</v>
      </c>
      <c r="FB12" s="113"/>
      <c r="FC12" s="145">
        <v>7</v>
      </c>
      <c r="FD12" s="143">
        <v>7</v>
      </c>
      <c r="FE12" s="143">
        <v>8</v>
      </c>
      <c r="FF12" s="143">
        <v>9</v>
      </c>
      <c r="FG12" s="113">
        <f t="shared" si="63"/>
        <v>31</v>
      </c>
      <c r="FH12" s="143">
        <v>43</v>
      </c>
      <c r="FI12" s="113">
        <f t="shared" si="64"/>
        <v>74</v>
      </c>
      <c r="FJ12" s="113">
        <f t="shared" si="65"/>
        <v>16</v>
      </c>
      <c r="FK12" s="113" t="str">
        <f t="shared" si="66"/>
        <v>A</v>
      </c>
      <c r="FL12" s="113" t="str">
        <f t="shared" si="67"/>
        <v>Excellent</v>
      </c>
      <c r="FM12" s="3">
        <v>10</v>
      </c>
      <c r="FN12" s="53"/>
      <c r="FO12" s="145">
        <v>10</v>
      </c>
      <c r="FP12" s="143">
        <v>9</v>
      </c>
      <c r="FQ12" s="143">
        <v>5</v>
      </c>
      <c r="FR12" s="143">
        <v>10</v>
      </c>
      <c r="FS12" s="53">
        <f t="shared" si="68"/>
        <v>34</v>
      </c>
      <c r="FT12" s="143">
        <v>37</v>
      </c>
      <c r="FU12" s="53">
        <f t="shared" si="69"/>
        <v>71</v>
      </c>
      <c r="FV12" s="53">
        <f t="shared" si="70"/>
        <v>19</v>
      </c>
      <c r="FW12" s="53" t="str">
        <f t="shared" si="71"/>
        <v>A</v>
      </c>
      <c r="FX12" s="53" t="str">
        <f t="shared" si="72"/>
        <v>Excellent</v>
      </c>
      <c r="FY12" s="3">
        <v>10</v>
      </c>
      <c r="FZ12" s="80"/>
      <c r="GA12" s="80"/>
      <c r="GB12" s="80"/>
      <c r="GC12" s="80"/>
      <c r="GD12" s="80"/>
      <c r="GE12" s="80">
        <f t="shared" si="73"/>
        <v>0</v>
      </c>
      <c r="GF12" s="80"/>
      <c r="GG12" s="80">
        <f t="shared" si="74"/>
        <v>0</v>
      </c>
      <c r="GH12" s="80" t="str">
        <f t="shared" si="75"/>
        <v/>
      </c>
      <c r="GI12" s="80" t="str">
        <f t="shared" si="76"/>
        <v/>
      </c>
      <c r="GJ12" s="80" t="str">
        <f t="shared" si="77"/>
        <v/>
      </c>
      <c r="GK12" s="3">
        <v>10</v>
      </c>
      <c r="GL12" s="157" t="s">
        <v>124</v>
      </c>
      <c r="GM12" s="145">
        <v>2</v>
      </c>
      <c r="GN12" s="143">
        <v>2</v>
      </c>
      <c r="GO12" s="143">
        <v>7</v>
      </c>
      <c r="GP12" s="143">
        <v>8</v>
      </c>
      <c r="GQ12" s="113">
        <f t="shared" si="78"/>
        <v>19</v>
      </c>
      <c r="GR12" s="143">
        <v>28</v>
      </c>
      <c r="GS12" s="113">
        <f t="shared" si="79"/>
        <v>47</v>
      </c>
      <c r="GT12" s="113">
        <f t="shared" si="80"/>
        <v>34</v>
      </c>
      <c r="GU12" s="113" t="str">
        <f t="shared" si="81"/>
        <v>P</v>
      </c>
      <c r="GV12" s="113" t="str">
        <f t="shared" si="82"/>
        <v>Pass</v>
      </c>
      <c r="GW12" s="3">
        <v>10</v>
      </c>
      <c r="GX12" s="107"/>
      <c r="GY12" s="145">
        <v>10</v>
      </c>
      <c r="GZ12" s="143">
        <v>5</v>
      </c>
      <c r="HA12" s="143">
        <v>10</v>
      </c>
      <c r="HB12" s="143">
        <v>10</v>
      </c>
      <c r="HC12" s="107">
        <f t="shared" si="83"/>
        <v>35</v>
      </c>
      <c r="HD12" s="143">
        <v>39</v>
      </c>
      <c r="HE12" s="107">
        <f t="shared" si="84"/>
        <v>74</v>
      </c>
      <c r="HF12" s="107">
        <f t="shared" si="85"/>
        <v>15</v>
      </c>
      <c r="HG12" s="107" t="str">
        <f t="shared" si="86"/>
        <v>A</v>
      </c>
      <c r="HH12" s="107" t="str">
        <f t="shared" si="87"/>
        <v>Excellent</v>
      </c>
    </row>
    <row r="13" spans="1:216" ht="25.5">
      <c r="A13" s="186">
        <v>11</v>
      </c>
      <c r="B13" s="157" t="s">
        <v>125</v>
      </c>
      <c r="C13" s="130">
        <v>3</v>
      </c>
      <c r="D13" s="131">
        <v>8</v>
      </c>
      <c r="E13" s="131">
        <v>0</v>
      </c>
      <c r="F13" s="131">
        <v>8</v>
      </c>
      <c r="G13" s="53">
        <f t="shared" si="1"/>
        <v>19</v>
      </c>
      <c r="H13" s="131">
        <v>31</v>
      </c>
      <c r="I13" s="53">
        <f t="shared" si="2"/>
        <v>50</v>
      </c>
      <c r="J13" s="53">
        <f t="shared" si="3"/>
        <v>39</v>
      </c>
      <c r="K13" s="53" t="str">
        <f t="shared" si="4"/>
        <v>C</v>
      </c>
      <c r="L13" s="53" t="str">
        <f t="shared" si="5"/>
        <v>Credit</v>
      </c>
      <c r="M13" s="44">
        <v>11</v>
      </c>
      <c r="N13" s="59"/>
      <c r="O13" s="135">
        <v>1</v>
      </c>
      <c r="P13" s="136">
        <v>2</v>
      </c>
      <c r="Q13" s="136">
        <v>9</v>
      </c>
      <c r="R13" s="136">
        <v>10</v>
      </c>
      <c r="S13" s="59">
        <f t="shared" si="6"/>
        <v>22</v>
      </c>
      <c r="T13" s="136">
        <v>18</v>
      </c>
      <c r="U13" s="59">
        <f t="shared" si="7"/>
        <v>40</v>
      </c>
      <c r="V13" s="59">
        <f t="shared" si="8"/>
        <v>34</v>
      </c>
      <c r="W13" s="59" t="str">
        <f t="shared" si="9"/>
        <v>F</v>
      </c>
      <c r="X13" s="59" t="str">
        <f t="shared" si="10"/>
        <v>Fail</v>
      </c>
      <c r="Y13" s="3">
        <v>11</v>
      </c>
      <c r="Z13" s="80"/>
      <c r="AA13" s="135">
        <v>10</v>
      </c>
      <c r="AB13" s="136">
        <v>7</v>
      </c>
      <c r="AC13" s="136">
        <v>3</v>
      </c>
      <c r="AD13" s="136">
        <v>5</v>
      </c>
      <c r="AE13" s="80">
        <f t="shared" si="88"/>
        <v>25</v>
      </c>
      <c r="AF13" s="136">
        <v>31</v>
      </c>
      <c r="AG13" s="80">
        <f t="shared" si="11"/>
        <v>56</v>
      </c>
      <c r="AH13" s="80">
        <f t="shared" si="12"/>
        <v>34</v>
      </c>
      <c r="AI13" s="80" t="str">
        <f t="shared" si="13"/>
        <v>C</v>
      </c>
      <c r="AJ13" s="80" t="str">
        <f t="shared" si="14"/>
        <v>Credit</v>
      </c>
      <c r="AK13" s="3">
        <v>11</v>
      </c>
      <c r="AL13" s="157" t="s">
        <v>125</v>
      </c>
      <c r="AM13" s="135"/>
      <c r="AN13" s="136"/>
      <c r="AO13" s="136"/>
      <c r="AP13" s="136"/>
      <c r="AQ13" s="47">
        <f t="shared" si="15"/>
        <v>0</v>
      </c>
      <c r="AR13" s="136"/>
      <c r="AS13" s="47">
        <f t="shared" si="16"/>
        <v>0</v>
      </c>
      <c r="AT13" s="47" t="str">
        <f t="shared" si="17"/>
        <v/>
      </c>
      <c r="AU13" s="47" t="str">
        <f t="shared" si="18"/>
        <v/>
      </c>
      <c r="AV13" s="47" t="str">
        <f t="shared" si="19"/>
        <v/>
      </c>
      <c r="AW13" s="3">
        <v>11</v>
      </c>
      <c r="AX13" s="157" t="s">
        <v>125</v>
      </c>
      <c r="AY13" s="130">
        <v>9</v>
      </c>
      <c r="AZ13" s="131">
        <v>6</v>
      </c>
      <c r="BA13" s="131">
        <v>5</v>
      </c>
      <c r="BB13" s="131">
        <v>7</v>
      </c>
      <c r="BC13" s="85">
        <f t="shared" si="20"/>
        <v>27</v>
      </c>
      <c r="BD13" s="131">
        <v>47</v>
      </c>
      <c r="BE13" s="85">
        <f t="shared" si="21"/>
        <v>74</v>
      </c>
      <c r="BF13" s="85">
        <f t="shared" si="22"/>
        <v>17</v>
      </c>
      <c r="BG13" s="85" t="str">
        <f t="shared" si="23"/>
        <v>A</v>
      </c>
      <c r="BH13" s="85" t="str">
        <f t="shared" si="24"/>
        <v>Excellent</v>
      </c>
      <c r="BI13" s="3">
        <v>11</v>
      </c>
      <c r="BJ13" s="90"/>
      <c r="BK13" s="167">
        <v>5</v>
      </c>
      <c r="BL13" s="168">
        <v>7</v>
      </c>
      <c r="BM13" s="168">
        <v>2</v>
      </c>
      <c r="BN13" s="168">
        <v>10</v>
      </c>
      <c r="BO13" s="90">
        <f t="shared" si="25"/>
        <v>24</v>
      </c>
      <c r="BP13" s="173">
        <v>19</v>
      </c>
      <c r="BQ13" s="90">
        <f t="shared" si="26"/>
        <v>43</v>
      </c>
      <c r="BR13" s="90">
        <f t="shared" si="27"/>
        <v>29</v>
      </c>
      <c r="BS13" s="90" t="str">
        <f t="shared" si="28"/>
        <v>F</v>
      </c>
      <c r="BT13" s="90" t="str">
        <f t="shared" si="29"/>
        <v>Fail</v>
      </c>
      <c r="BU13" s="3">
        <v>11</v>
      </c>
      <c r="BV13" s="157" t="s">
        <v>125</v>
      </c>
      <c r="BW13" s="145">
        <v>2</v>
      </c>
      <c r="BX13" s="143">
        <v>1</v>
      </c>
      <c r="BY13" s="143">
        <v>7</v>
      </c>
      <c r="BZ13" s="143">
        <v>8</v>
      </c>
      <c r="CA13" s="94">
        <f t="shared" si="30"/>
        <v>18</v>
      </c>
      <c r="CB13" s="143">
        <v>23</v>
      </c>
      <c r="CC13" s="94">
        <f t="shared" si="31"/>
        <v>41</v>
      </c>
      <c r="CD13" s="94">
        <f t="shared" si="32"/>
        <v>45</v>
      </c>
      <c r="CE13" s="94" t="str">
        <f t="shared" si="33"/>
        <v>F</v>
      </c>
      <c r="CF13" s="94" t="str">
        <f t="shared" si="34"/>
        <v>Fail</v>
      </c>
      <c r="CG13" s="3">
        <v>11</v>
      </c>
      <c r="CH13" s="157" t="s">
        <v>125</v>
      </c>
      <c r="CI13" s="145">
        <v>6</v>
      </c>
      <c r="CJ13" s="143">
        <v>6</v>
      </c>
      <c r="CK13" s="143">
        <v>10</v>
      </c>
      <c r="CL13" s="143">
        <v>8</v>
      </c>
      <c r="CM13" s="66">
        <f t="shared" si="35"/>
        <v>30</v>
      </c>
      <c r="CN13" s="143">
        <v>23</v>
      </c>
      <c r="CO13" s="66">
        <f t="shared" si="89"/>
        <v>53</v>
      </c>
      <c r="CP13" s="66">
        <f t="shared" si="36"/>
        <v>36</v>
      </c>
      <c r="CQ13" s="66" t="str">
        <f t="shared" si="37"/>
        <v>C</v>
      </c>
      <c r="CR13" s="66" t="str">
        <f t="shared" si="38"/>
        <v>Credit</v>
      </c>
      <c r="CS13" s="3">
        <v>11</v>
      </c>
      <c r="CT13" s="157" t="s">
        <v>125</v>
      </c>
      <c r="CU13" s="148">
        <v>5</v>
      </c>
      <c r="CV13" s="149">
        <v>5</v>
      </c>
      <c r="CW13" s="149">
        <v>8</v>
      </c>
      <c r="CX13" s="149">
        <v>10</v>
      </c>
      <c r="CY13" s="70">
        <f t="shared" si="39"/>
        <v>28</v>
      </c>
      <c r="CZ13" s="149">
        <v>19</v>
      </c>
      <c r="DA13" s="70">
        <f t="shared" si="40"/>
        <v>47</v>
      </c>
      <c r="DB13" s="70">
        <f t="shared" si="41"/>
        <v>45</v>
      </c>
      <c r="DC13" s="70" t="str">
        <f t="shared" si="42"/>
        <v>P</v>
      </c>
      <c r="DD13" s="70" t="str">
        <f t="shared" si="43"/>
        <v>Pass</v>
      </c>
      <c r="DE13" s="3">
        <v>11</v>
      </c>
      <c r="DF13" s="59"/>
      <c r="DG13" s="145">
        <v>9</v>
      </c>
      <c r="DH13" s="143">
        <v>8</v>
      </c>
      <c r="DI13" s="143">
        <v>1</v>
      </c>
      <c r="DJ13" s="143">
        <v>9</v>
      </c>
      <c r="DK13" s="59">
        <f t="shared" si="44"/>
        <v>27</v>
      </c>
      <c r="DL13" s="143">
        <v>36</v>
      </c>
      <c r="DM13" s="59">
        <f t="shared" si="45"/>
        <v>63</v>
      </c>
      <c r="DN13" s="59">
        <f t="shared" si="46"/>
        <v>29</v>
      </c>
      <c r="DO13" s="59" t="str">
        <f t="shared" si="47"/>
        <v>C</v>
      </c>
      <c r="DP13" s="59" t="str">
        <f t="shared" si="48"/>
        <v>Credit</v>
      </c>
      <c r="DQ13" s="3">
        <v>11</v>
      </c>
      <c r="DR13" s="157" t="s">
        <v>125</v>
      </c>
      <c r="DS13" s="145">
        <v>9</v>
      </c>
      <c r="DT13" s="143">
        <v>7</v>
      </c>
      <c r="DU13" s="143">
        <v>10</v>
      </c>
      <c r="DV13" s="143">
        <v>9</v>
      </c>
      <c r="DW13" s="102">
        <f t="shared" si="49"/>
        <v>35</v>
      </c>
      <c r="DX13" s="143">
        <v>25</v>
      </c>
      <c r="DY13" s="102">
        <f t="shared" si="50"/>
        <v>60</v>
      </c>
      <c r="DZ13" s="102">
        <f t="shared" si="51"/>
        <v>31</v>
      </c>
      <c r="EA13" s="102" t="str">
        <f t="shared" si="52"/>
        <v>C</v>
      </c>
      <c r="EB13" s="102" t="str">
        <f t="shared" si="53"/>
        <v>Credit</v>
      </c>
      <c r="EC13" s="3">
        <v>11</v>
      </c>
      <c r="ED13" s="75"/>
      <c r="EE13" s="145">
        <v>7</v>
      </c>
      <c r="EF13" s="143">
        <v>4</v>
      </c>
      <c r="EG13" s="143">
        <v>9</v>
      </c>
      <c r="EH13" s="143">
        <v>2</v>
      </c>
      <c r="EI13" s="75">
        <f t="shared" si="54"/>
        <v>22</v>
      </c>
      <c r="EJ13" s="143">
        <v>23</v>
      </c>
      <c r="EK13" s="75">
        <f t="shared" si="0"/>
        <v>45</v>
      </c>
      <c r="EL13" s="75">
        <f t="shared" si="55"/>
        <v>36</v>
      </c>
      <c r="EM13" s="75" t="str">
        <f t="shared" si="56"/>
        <v>P</v>
      </c>
      <c r="EN13" s="75" t="str">
        <f t="shared" si="57"/>
        <v>Pass</v>
      </c>
      <c r="EO13" s="3">
        <v>11</v>
      </c>
      <c r="EP13" s="157" t="s">
        <v>125</v>
      </c>
      <c r="EQ13" s="3">
        <v>7</v>
      </c>
      <c r="ER13" s="147">
        <v>2</v>
      </c>
      <c r="ES13" s="147">
        <v>8</v>
      </c>
      <c r="ET13" s="147">
        <v>8</v>
      </c>
      <c r="EU13" s="98">
        <f t="shared" si="58"/>
        <v>25</v>
      </c>
      <c r="EV13" s="147">
        <v>13</v>
      </c>
      <c r="EW13" s="98">
        <f t="shared" si="59"/>
        <v>38</v>
      </c>
      <c r="EX13" s="98">
        <f t="shared" si="60"/>
        <v>38</v>
      </c>
      <c r="EY13" s="98" t="str">
        <f t="shared" si="61"/>
        <v>F</v>
      </c>
      <c r="EZ13" s="98" t="str">
        <f t="shared" si="62"/>
        <v>Fail</v>
      </c>
      <c r="FA13" s="3">
        <v>11</v>
      </c>
      <c r="FB13" s="113"/>
      <c r="FC13" s="145">
        <v>8</v>
      </c>
      <c r="FD13" s="143">
        <v>9</v>
      </c>
      <c r="FE13" s="143">
        <v>3</v>
      </c>
      <c r="FF13" s="143">
        <v>10</v>
      </c>
      <c r="FG13" s="113">
        <f t="shared" si="63"/>
        <v>30</v>
      </c>
      <c r="FH13" s="143">
        <v>39</v>
      </c>
      <c r="FI13" s="113">
        <f t="shared" si="64"/>
        <v>69</v>
      </c>
      <c r="FJ13" s="113">
        <f t="shared" si="65"/>
        <v>24</v>
      </c>
      <c r="FK13" s="113" t="str">
        <f t="shared" si="66"/>
        <v>C</v>
      </c>
      <c r="FL13" s="113" t="str">
        <f t="shared" si="67"/>
        <v>Credit</v>
      </c>
      <c r="FM13" s="3">
        <v>11</v>
      </c>
      <c r="FN13" s="53"/>
      <c r="FO13" s="145">
        <v>8</v>
      </c>
      <c r="FP13" s="143">
        <v>8</v>
      </c>
      <c r="FQ13" s="143">
        <v>5</v>
      </c>
      <c r="FR13" s="143">
        <v>10</v>
      </c>
      <c r="FS13" s="53">
        <f t="shared" si="68"/>
        <v>31</v>
      </c>
      <c r="FT13" s="143">
        <v>29</v>
      </c>
      <c r="FU13" s="53">
        <f t="shared" si="69"/>
        <v>60</v>
      </c>
      <c r="FV13" s="53">
        <f t="shared" si="70"/>
        <v>37</v>
      </c>
      <c r="FW13" s="53" t="str">
        <f t="shared" si="71"/>
        <v>C</v>
      </c>
      <c r="FX13" s="53" t="str">
        <f t="shared" si="72"/>
        <v>Credit</v>
      </c>
      <c r="FY13" s="3">
        <v>11</v>
      </c>
      <c r="FZ13" s="80"/>
      <c r="GA13" s="80"/>
      <c r="GB13" s="80"/>
      <c r="GC13" s="80"/>
      <c r="GD13" s="80"/>
      <c r="GE13" s="80">
        <f t="shared" si="73"/>
        <v>0</v>
      </c>
      <c r="GF13" s="80"/>
      <c r="GG13" s="80">
        <f t="shared" si="74"/>
        <v>0</v>
      </c>
      <c r="GH13" s="80" t="str">
        <f t="shared" si="75"/>
        <v/>
      </c>
      <c r="GI13" s="80" t="str">
        <f t="shared" si="76"/>
        <v/>
      </c>
      <c r="GJ13" s="80" t="str">
        <f t="shared" si="77"/>
        <v/>
      </c>
      <c r="GK13" s="3">
        <v>11</v>
      </c>
      <c r="GL13" s="157" t="s">
        <v>125</v>
      </c>
      <c r="GM13" s="145">
        <v>6</v>
      </c>
      <c r="GN13" s="143">
        <v>2</v>
      </c>
      <c r="GO13" s="143">
        <v>10</v>
      </c>
      <c r="GP13" s="143">
        <v>7</v>
      </c>
      <c r="GQ13" s="113">
        <f t="shared" si="78"/>
        <v>25</v>
      </c>
      <c r="GR13" s="143">
        <v>18</v>
      </c>
      <c r="GS13" s="113">
        <f t="shared" si="79"/>
        <v>43</v>
      </c>
      <c r="GT13" s="113">
        <f t="shared" si="80"/>
        <v>40</v>
      </c>
      <c r="GU13" s="113" t="str">
        <f t="shared" si="81"/>
        <v>F</v>
      </c>
      <c r="GV13" s="113" t="str">
        <f t="shared" si="82"/>
        <v>Fail</v>
      </c>
      <c r="GW13" s="3">
        <v>11</v>
      </c>
      <c r="GX13" s="107"/>
      <c r="GY13" s="145">
        <v>8</v>
      </c>
      <c r="GZ13" s="143">
        <v>8</v>
      </c>
      <c r="HA13" s="143">
        <v>10</v>
      </c>
      <c r="HB13" s="143">
        <v>10</v>
      </c>
      <c r="HC13" s="107">
        <f t="shared" si="83"/>
        <v>36</v>
      </c>
      <c r="HD13" s="143">
        <v>41</v>
      </c>
      <c r="HE13" s="107">
        <f t="shared" si="84"/>
        <v>77</v>
      </c>
      <c r="HF13" s="107">
        <f t="shared" si="85"/>
        <v>11</v>
      </c>
      <c r="HG13" s="107" t="str">
        <f t="shared" si="86"/>
        <v>A</v>
      </c>
      <c r="HH13" s="107" t="str">
        <f t="shared" si="87"/>
        <v>Excellent</v>
      </c>
    </row>
    <row r="14" spans="1:216" ht="18.75">
      <c r="A14" s="185">
        <v>12</v>
      </c>
      <c r="B14" s="157" t="s">
        <v>126</v>
      </c>
      <c r="C14" s="130">
        <v>6</v>
      </c>
      <c r="D14" s="131">
        <v>6</v>
      </c>
      <c r="E14" s="131">
        <v>8</v>
      </c>
      <c r="F14" s="131">
        <v>10</v>
      </c>
      <c r="G14" s="53">
        <f t="shared" si="1"/>
        <v>30</v>
      </c>
      <c r="H14" s="131">
        <v>33</v>
      </c>
      <c r="I14" s="53">
        <f t="shared" si="2"/>
        <v>63</v>
      </c>
      <c r="J14" s="53">
        <f t="shared" si="3"/>
        <v>20</v>
      </c>
      <c r="K14" s="53" t="str">
        <f t="shared" si="4"/>
        <v>C</v>
      </c>
      <c r="L14" s="53" t="str">
        <f t="shared" si="5"/>
        <v>Credit</v>
      </c>
      <c r="M14" s="44">
        <v>12</v>
      </c>
      <c r="N14" s="59"/>
      <c r="O14" s="135">
        <v>3</v>
      </c>
      <c r="P14" s="136">
        <v>3</v>
      </c>
      <c r="Q14" s="136">
        <v>8</v>
      </c>
      <c r="R14" s="136">
        <v>10</v>
      </c>
      <c r="S14" s="59">
        <f t="shared" si="6"/>
        <v>24</v>
      </c>
      <c r="T14" s="136">
        <v>16</v>
      </c>
      <c r="U14" s="59">
        <f t="shared" si="7"/>
        <v>40</v>
      </c>
      <c r="V14" s="59">
        <f t="shared" si="8"/>
        <v>34</v>
      </c>
      <c r="W14" s="59" t="str">
        <f t="shared" si="9"/>
        <v>F</v>
      </c>
      <c r="X14" s="59" t="str">
        <f t="shared" si="10"/>
        <v>Fail</v>
      </c>
      <c r="Y14" s="3">
        <v>12</v>
      </c>
      <c r="Z14" s="80"/>
      <c r="AA14" s="135">
        <v>7</v>
      </c>
      <c r="AB14" s="136">
        <v>7</v>
      </c>
      <c r="AC14" s="136">
        <v>8</v>
      </c>
      <c r="AD14" s="136">
        <v>9</v>
      </c>
      <c r="AE14" s="80">
        <f t="shared" si="88"/>
        <v>31</v>
      </c>
      <c r="AF14" s="136">
        <v>37</v>
      </c>
      <c r="AG14" s="80">
        <f t="shared" si="11"/>
        <v>68</v>
      </c>
      <c r="AH14" s="80">
        <f t="shared" si="12"/>
        <v>18</v>
      </c>
      <c r="AI14" s="80" t="str">
        <f t="shared" si="13"/>
        <v>C</v>
      </c>
      <c r="AJ14" s="80" t="str">
        <f t="shared" si="14"/>
        <v>Credit</v>
      </c>
      <c r="AK14" s="3">
        <v>12</v>
      </c>
      <c r="AL14" s="157" t="s">
        <v>126</v>
      </c>
      <c r="AM14" s="135"/>
      <c r="AN14" s="136"/>
      <c r="AO14" s="136"/>
      <c r="AP14" s="136"/>
      <c r="AQ14" s="47">
        <f t="shared" si="15"/>
        <v>0</v>
      </c>
      <c r="AR14" s="136"/>
      <c r="AS14" s="47">
        <f t="shared" si="16"/>
        <v>0</v>
      </c>
      <c r="AT14" s="47" t="str">
        <f t="shared" si="17"/>
        <v/>
      </c>
      <c r="AU14" s="47" t="str">
        <f t="shared" si="18"/>
        <v/>
      </c>
      <c r="AV14" s="47" t="str">
        <f t="shared" si="19"/>
        <v/>
      </c>
      <c r="AW14" s="3">
        <v>12</v>
      </c>
      <c r="AX14" s="157" t="s">
        <v>126</v>
      </c>
      <c r="AY14" s="130">
        <v>10</v>
      </c>
      <c r="AZ14" s="131">
        <v>7</v>
      </c>
      <c r="BA14" s="131">
        <v>10</v>
      </c>
      <c r="BB14" s="131">
        <v>10</v>
      </c>
      <c r="BC14" s="85">
        <f t="shared" si="20"/>
        <v>37</v>
      </c>
      <c r="BD14" s="131">
        <v>39</v>
      </c>
      <c r="BE14" s="85">
        <f t="shared" si="21"/>
        <v>76</v>
      </c>
      <c r="BF14" s="85">
        <f t="shared" si="22"/>
        <v>12</v>
      </c>
      <c r="BG14" s="85" t="str">
        <f t="shared" si="23"/>
        <v>A</v>
      </c>
      <c r="BH14" s="85" t="str">
        <f t="shared" si="24"/>
        <v>Excellent</v>
      </c>
      <c r="BI14" s="3">
        <v>12</v>
      </c>
      <c r="BJ14" s="90"/>
      <c r="BK14" s="167">
        <v>4</v>
      </c>
      <c r="BL14" s="168">
        <v>7</v>
      </c>
      <c r="BM14" s="168">
        <v>10</v>
      </c>
      <c r="BN14" s="168">
        <v>10</v>
      </c>
      <c r="BO14" s="90">
        <f t="shared" si="25"/>
        <v>31</v>
      </c>
      <c r="BP14" s="173">
        <v>25</v>
      </c>
      <c r="BQ14" s="90">
        <f t="shared" si="26"/>
        <v>56</v>
      </c>
      <c r="BR14" s="90">
        <f t="shared" si="27"/>
        <v>14</v>
      </c>
      <c r="BS14" s="90" t="str">
        <f t="shared" si="28"/>
        <v>C</v>
      </c>
      <c r="BT14" s="90" t="str">
        <f t="shared" si="29"/>
        <v>Credit</v>
      </c>
      <c r="BU14" s="3">
        <v>12</v>
      </c>
      <c r="BV14" s="157" t="s">
        <v>126</v>
      </c>
      <c r="BW14" s="145">
        <v>8</v>
      </c>
      <c r="BX14" s="143">
        <v>4</v>
      </c>
      <c r="BY14" s="143">
        <v>9</v>
      </c>
      <c r="BZ14" s="143">
        <v>9</v>
      </c>
      <c r="CA14" s="94">
        <f t="shared" si="30"/>
        <v>30</v>
      </c>
      <c r="CB14" s="143">
        <v>37</v>
      </c>
      <c r="CC14" s="94">
        <f t="shared" si="31"/>
        <v>67</v>
      </c>
      <c r="CD14" s="94">
        <f t="shared" si="32"/>
        <v>10</v>
      </c>
      <c r="CE14" s="94" t="str">
        <f t="shared" si="33"/>
        <v>C</v>
      </c>
      <c r="CF14" s="94" t="str">
        <f t="shared" si="34"/>
        <v>Credit</v>
      </c>
      <c r="CG14" s="3">
        <v>12</v>
      </c>
      <c r="CH14" s="157" t="s">
        <v>126</v>
      </c>
      <c r="CI14" s="145">
        <v>8</v>
      </c>
      <c r="CJ14" s="143">
        <v>10</v>
      </c>
      <c r="CK14" s="143">
        <v>8</v>
      </c>
      <c r="CL14" s="143">
        <v>9</v>
      </c>
      <c r="CM14" s="66">
        <f t="shared" si="35"/>
        <v>35</v>
      </c>
      <c r="CN14" s="143">
        <v>30</v>
      </c>
      <c r="CO14" s="66">
        <f t="shared" si="89"/>
        <v>65</v>
      </c>
      <c r="CP14" s="66">
        <f t="shared" si="36"/>
        <v>19</v>
      </c>
      <c r="CQ14" s="66" t="str">
        <f t="shared" si="37"/>
        <v>C</v>
      </c>
      <c r="CR14" s="66" t="str">
        <f t="shared" si="38"/>
        <v>Credit</v>
      </c>
      <c r="CS14" s="3">
        <v>12</v>
      </c>
      <c r="CT14" s="157" t="s">
        <v>126</v>
      </c>
      <c r="CU14" s="148">
        <v>8</v>
      </c>
      <c r="CV14" s="149">
        <v>8</v>
      </c>
      <c r="CW14" s="149">
        <v>8</v>
      </c>
      <c r="CX14" s="149">
        <v>10</v>
      </c>
      <c r="CY14" s="70">
        <f t="shared" si="39"/>
        <v>34</v>
      </c>
      <c r="CZ14" s="149">
        <v>33</v>
      </c>
      <c r="DA14" s="70">
        <f t="shared" si="40"/>
        <v>67</v>
      </c>
      <c r="DB14" s="70">
        <f t="shared" si="41"/>
        <v>17</v>
      </c>
      <c r="DC14" s="70" t="str">
        <f t="shared" si="42"/>
        <v>C</v>
      </c>
      <c r="DD14" s="70" t="str">
        <f t="shared" si="43"/>
        <v>Credit</v>
      </c>
      <c r="DE14" s="3">
        <v>12</v>
      </c>
      <c r="DF14" s="59"/>
      <c r="DG14" s="145">
        <v>10</v>
      </c>
      <c r="DH14" s="143">
        <v>10</v>
      </c>
      <c r="DI14" s="143">
        <v>1</v>
      </c>
      <c r="DJ14" s="143">
        <v>8</v>
      </c>
      <c r="DK14" s="59">
        <f t="shared" si="44"/>
        <v>29</v>
      </c>
      <c r="DL14" s="143">
        <v>41</v>
      </c>
      <c r="DM14" s="59">
        <f t="shared" si="45"/>
        <v>70</v>
      </c>
      <c r="DN14" s="59">
        <f t="shared" si="46"/>
        <v>18</v>
      </c>
      <c r="DO14" s="59" t="str">
        <f t="shared" si="47"/>
        <v>A</v>
      </c>
      <c r="DP14" s="59" t="str">
        <f t="shared" si="48"/>
        <v>Excellent</v>
      </c>
      <c r="DQ14" s="3">
        <v>12</v>
      </c>
      <c r="DR14" s="157" t="s">
        <v>126</v>
      </c>
      <c r="DS14" s="145">
        <v>9</v>
      </c>
      <c r="DT14" s="143">
        <v>8</v>
      </c>
      <c r="DU14" s="143">
        <v>8</v>
      </c>
      <c r="DV14" s="143">
        <v>9</v>
      </c>
      <c r="DW14" s="102">
        <f t="shared" si="49"/>
        <v>34</v>
      </c>
      <c r="DX14" s="143">
        <v>32</v>
      </c>
      <c r="DY14" s="102">
        <f t="shared" si="50"/>
        <v>66</v>
      </c>
      <c r="DZ14" s="102">
        <f t="shared" si="51"/>
        <v>17</v>
      </c>
      <c r="EA14" s="102" t="str">
        <f t="shared" si="52"/>
        <v>C</v>
      </c>
      <c r="EB14" s="102" t="str">
        <f t="shared" si="53"/>
        <v>Credit</v>
      </c>
      <c r="EC14" s="3">
        <v>12</v>
      </c>
      <c r="ED14" s="75"/>
      <c r="EE14" s="145">
        <v>7</v>
      </c>
      <c r="EF14" s="143">
        <v>6</v>
      </c>
      <c r="EG14" s="143">
        <v>9</v>
      </c>
      <c r="EH14" s="143">
        <v>5</v>
      </c>
      <c r="EI14" s="75">
        <f t="shared" si="54"/>
        <v>27</v>
      </c>
      <c r="EJ14" s="143">
        <v>19</v>
      </c>
      <c r="EK14" s="75">
        <f t="shared" si="0"/>
        <v>46</v>
      </c>
      <c r="EL14" s="75">
        <f t="shared" si="55"/>
        <v>34</v>
      </c>
      <c r="EM14" s="75" t="str">
        <f t="shared" si="56"/>
        <v>P</v>
      </c>
      <c r="EN14" s="75" t="str">
        <f t="shared" si="57"/>
        <v>Pass</v>
      </c>
      <c r="EO14" s="3">
        <v>12</v>
      </c>
      <c r="EP14" s="157" t="s">
        <v>126</v>
      </c>
      <c r="EQ14" s="3">
        <v>5</v>
      </c>
      <c r="ER14" s="147">
        <v>5</v>
      </c>
      <c r="ES14" s="147">
        <v>8</v>
      </c>
      <c r="ET14" s="147">
        <v>10</v>
      </c>
      <c r="EU14" s="98">
        <f t="shared" si="58"/>
        <v>28</v>
      </c>
      <c r="EV14" s="147">
        <v>21</v>
      </c>
      <c r="EW14" s="98">
        <f t="shared" si="59"/>
        <v>49</v>
      </c>
      <c r="EX14" s="98">
        <f t="shared" si="60"/>
        <v>19</v>
      </c>
      <c r="EY14" s="98" t="str">
        <f t="shared" si="61"/>
        <v>P</v>
      </c>
      <c r="EZ14" s="98" t="str">
        <f t="shared" si="62"/>
        <v>Pass</v>
      </c>
      <c r="FA14" s="3">
        <v>12</v>
      </c>
      <c r="FB14" s="113"/>
      <c r="FC14" s="145">
        <v>8</v>
      </c>
      <c r="FD14" s="143">
        <v>10</v>
      </c>
      <c r="FE14" s="143">
        <v>8</v>
      </c>
      <c r="FF14" s="143">
        <v>9</v>
      </c>
      <c r="FG14" s="113">
        <f t="shared" si="63"/>
        <v>35</v>
      </c>
      <c r="FH14" s="143">
        <v>41</v>
      </c>
      <c r="FI14" s="113">
        <f t="shared" si="64"/>
        <v>76</v>
      </c>
      <c r="FJ14" s="113">
        <f t="shared" si="65"/>
        <v>14</v>
      </c>
      <c r="FK14" s="113" t="str">
        <f t="shared" si="66"/>
        <v>A</v>
      </c>
      <c r="FL14" s="113" t="str">
        <f t="shared" si="67"/>
        <v>Excellent</v>
      </c>
      <c r="FM14" s="3">
        <v>12</v>
      </c>
      <c r="FN14" s="53"/>
      <c r="FO14" s="145">
        <v>8</v>
      </c>
      <c r="FP14" s="143">
        <v>9</v>
      </c>
      <c r="FQ14" s="143">
        <v>10</v>
      </c>
      <c r="FR14" s="143">
        <v>9</v>
      </c>
      <c r="FS14" s="53">
        <f t="shared" si="68"/>
        <v>36</v>
      </c>
      <c r="FT14" s="143">
        <v>34</v>
      </c>
      <c r="FU14" s="53">
        <f t="shared" si="69"/>
        <v>70</v>
      </c>
      <c r="FV14" s="53">
        <f t="shared" si="70"/>
        <v>21</v>
      </c>
      <c r="FW14" s="53" t="str">
        <f t="shared" si="71"/>
        <v>A</v>
      </c>
      <c r="FX14" s="53" t="str">
        <f t="shared" si="72"/>
        <v>Excellent</v>
      </c>
      <c r="FY14" s="3">
        <v>12</v>
      </c>
      <c r="FZ14" s="80"/>
      <c r="GA14" s="80"/>
      <c r="GB14" s="80"/>
      <c r="GC14" s="80"/>
      <c r="GD14" s="80"/>
      <c r="GE14" s="80">
        <f t="shared" si="73"/>
        <v>0</v>
      </c>
      <c r="GF14" s="80"/>
      <c r="GG14" s="80">
        <f t="shared" si="74"/>
        <v>0</v>
      </c>
      <c r="GH14" s="80" t="str">
        <f t="shared" si="75"/>
        <v/>
      </c>
      <c r="GI14" s="80" t="str">
        <f t="shared" si="76"/>
        <v/>
      </c>
      <c r="GJ14" s="80" t="str">
        <f t="shared" si="77"/>
        <v/>
      </c>
      <c r="GK14" s="3">
        <v>12</v>
      </c>
      <c r="GL14" s="157" t="s">
        <v>126</v>
      </c>
      <c r="GM14" s="145">
        <v>8</v>
      </c>
      <c r="GN14" s="143">
        <v>3</v>
      </c>
      <c r="GO14" s="143">
        <v>7</v>
      </c>
      <c r="GP14" s="143">
        <v>10</v>
      </c>
      <c r="GQ14" s="113">
        <f t="shared" si="78"/>
        <v>28</v>
      </c>
      <c r="GR14" s="143">
        <v>28</v>
      </c>
      <c r="GS14" s="113">
        <f t="shared" si="79"/>
        <v>56</v>
      </c>
      <c r="GT14" s="113">
        <f t="shared" si="80"/>
        <v>21</v>
      </c>
      <c r="GU14" s="113" t="str">
        <f t="shared" si="81"/>
        <v>C</v>
      </c>
      <c r="GV14" s="113" t="str">
        <f t="shared" si="82"/>
        <v>Credit</v>
      </c>
      <c r="GW14" s="3">
        <v>12</v>
      </c>
      <c r="GX14" s="107"/>
      <c r="GY14" s="145">
        <v>9</v>
      </c>
      <c r="GZ14" s="143">
        <v>7</v>
      </c>
      <c r="HA14" s="143">
        <v>10</v>
      </c>
      <c r="HB14" s="143">
        <v>10</v>
      </c>
      <c r="HC14" s="107">
        <f t="shared" si="83"/>
        <v>36</v>
      </c>
      <c r="HD14" s="143">
        <v>41</v>
      </c>
      <c r="HE14" s="107">
        <f t="shared" si="84"/>
        <v>77</v>
      </c>
      <c r="HF14" s="107">
        <f t="shared" si="85"/>
        <v>11</v>
      </c>
      <c r="HG14" s="107" t="str">
        <f t="shared" si="86"/>
        <v>A</v>
      </c>
      <c r="HH14" s="107" t="str">
        <f t="shared" si="87"/>
        <v>Excellent</v>
      </c>
    </row>
    <row r="15" spans="1:216" ht="18.75">
      <c r="A15" s="186">
        <v>13</v>
      </c>
      <c r="B15" s="157" t="s">
        <v>127</v>
      </c>
      <c r="C15" s="130">
        <v>9</v>
      </c>
      <c r="D15" s="131">
        <v>8</v>
      </c>
      <c r="E15" s="131">
        <v>8</v>
      </c>
      <c r="F15" s="131">
        <v>9</v>
      </c>
      <c r="G15" s="53">
        <f t="shared" si="1"/>
        <v>34</v>
      </c>
      <c r="H15" s="131">
        <v>28</v>
      </c>
      <c r="I15" s="53">
        <f t="shared" si="2"/>
        <v>62</v>
      </c>
      <c r="J15" s="53">
        <f t="shared" si="3"/>
        <v>25</v>
      </c>
      <c r="K15" s="53" t="str">
        <f t="shared" si="4"/>
        <v>C</v>
      </c>
      <c r="L15" s="53" t="str">
        <f t="shared" si="5"/>
        <v>Credit</v>
      </c>
      <c r="M15" s="44">
        <v>13</v>
      </c>
      <c r="N15" s="59"/>
      <c r="O15" s="135">
        <v>4</v>
      </c>
      <c r="P15" s="136">
        <v>1</v>
      </c>
      <c r="Q15" s="136">
        <v>5</v>
      </c>
      <c r="R15" s="136">
        <v>10</v>
      </c>
      <c r="S15" s="59">
        <f t="shared" si="6"/>
        <v>20</v>
      </c>
      <c r="T15" s="136">
        <v>25</v>
      </c>
      <c r="U15" s="59">
        <f t="shared" si="7"/>
        <v>45</v>
      </c>
      <c r="V15" s="59">
        <f t="shared" si="8"/>
        <v>23</v>
      </c>
      <c r="W15" s="59" t="str">
        <f t="shared" si="9"/>
        <v>P</v>
      </c>
      <c r="X15" s="59" t="str">
        <f t="shared" si="10"/>
        <v>Pass</v>
      </c>
      <c r="Y15" s="3">
        <v>13</v>
      </c>
      <c r="Z15" s="80"/>
      <c r="AA15" s="135">
        <v>8</v>
      </c>
      <c r="AB15" s="136">
        <v>7</v>
      </c>
      <c r="AC15" s="136">
        <v>9</v>
      </c>
      <c r="AD15" s="136">
        <v>5</v>
      </c>
      <c r="AE15" s="80">
        <f t="shared" si="88"/>
        <v>29</v>
      </c>
      <c r="AF15" s="136">
        <v>28</v>
      </c>
      <c r="AG15" s="80">
        <f t="shared" si="11"/>
        <v>57</v>
      </c>
      <c r="AH15" s="80">
        <f t="shared" si="12"/>
        <v>32</v>
      </c>
      <c r="AI15" s="80" t="str">
        <f t="shared" si="13"/>
        <v>C</v>
      </c>
      <c r="AJ15" s="80" t="str">
        <f t="shared" si="14"/>
        <v>Credit</v>
      </c>
      <c r="AK15" s="3">
        <v>13</v>
      </c>
      <c r="AL15" s="157" t="s">
        <v>127</v>
      </c>
      <c r="AM15" s="135"/>
      <c r="AN15" s="136"/>
      <c r="AO15" s="136"/>
      <c r="AP15" s="136"/>
      <c r="AQ15" s="47">
        <f t="shared" si="15"/>
        <v>0</v>
      </c>
      <c r="AR15" s="136"/>
      <c r="AS15" s="47">
        <f t="shared" si="16"/>
        <v>0</v>
      </c>
      <c r="AT15" s="47" t="str">
        <f t="shared" si="17"/>
        <v/>
      </c>
      <c r="AU15" s="47" t="str">
        <f t="shared" si="18"/>
        <v/>
      </c>
      <c r="AV15" s="47" t="str">
        <f t="shared" si="19"/>
        <v/>
      </c>
      <c r="AW15" s="3">
        <v>13</v>
      </c>
      <c r="AX15" s="157" t="s">
        <v>127</v>
      </c>
      <c r="AY15" s="130">
        <v>10</v>
      </c>
      <c r="AZ15" s="131">
        <v>7</v>
      </c>
      <c r="BA15" s="131">
        <v>9</v>
      </c>
      <c r="BB15" s="131">
        <v>9</v>
      </c>
      <c r="BC15" s="85">
        <f t="shared" si="20"/>
        <v>35</v>
      </c>
      <c r="BD15" s="131">
        <v>30</v>
      </c>
      <c r="BE15" s="85">
        <f t="shared" si="21"/>
        <v>65</v>
      </c>
      <c r="BF15" s="85">
        <f t="shared" si="22"/>
        <v>28</v>
      </c>
      <c r="BG15" s="85" t="str">
        <f t="shared" si="23"/>
        <v>C</v>
      </c>
      <c r="BH15" s="85" t="str">
        <f t="shared" si="24"/>
        <v>Credit</v>
      </c>
      <c r="BI15" s="3">
        <v>13</v>
      </c>
      <c r="BJ15" s="90"/>
      <c r="BK15" s="167">
        <v>5</v>
      </c>
      <c r="BL15" s="168">
        <v>8</v>
      </c>
      <c r="BM15" s="168">
        <v>2</v>
      </c>
      <c r="BN15" s="168">
        <v>9</v>
      </c>
      <c r="BO15" s="90">
        <f t="shared" si="25"/>
        <v>24</v>
      </c>
      <c r="BP15" s="173">
        <v>17</v>
      </c>
      <c r="BQ15" s="90">
        <f t="shared" si="26"/>
        <v>41</v>
      </c>
      <c r="BR15" s="90">
        <f t="shared" si="27"/>
        <v>32</v>
      </c>
      <c r="BS15" s="90" t="str">
        <f t="shared" si="28"/>
        <v>F</v>
      </c>
      <c r="BT15" s="90" t="str">
        <f t="shared" si="29"/>
        <v>Fail</v>
      </c>
      <c r="BU15" s="3">
        <v>13</v>
      </c>
      <c r="BV15" s="157" t="s">
        <v>127</v>
      </c>
      <c r="BW15" s="145">
        <v>5</v>
      </c>
      <c r="BX15" s="143">
        <v>3</v>
      </c>
      <c r="BY15" s="143">
        <v>7</v>
      </c>
      <c r="BZ15" s="143">
        <v>9</v>
      </c>
      <c r="CA15" s="94">
        <f t="shared" si="30"/>
        <v>24</v>
      </c>
      <c r="CB15" s="143">
        <v>26</v>
      </c>
      <c r="CC15" s="94">
        <f t="shared" si="31"/>
        <v>50</v>
      </c>
      <c r="CD15" s="94">
        <f t="shared" si="32"/>
        <v>36</v>
      </c>
      <c r="CE15" s="94" t="str">
        <f t="shared" si="33"/>
        <v>C</v>
      </c>
      <c r="CF15" s="94" t="str">
        <f t="shared" si="34"/>
        <v>Credit</v>
      </c>
      <c r="CG15" s="3">
        <v>13</v>
      </c>
      <c r="CH15" s="157" t="s">
        <v>127</v>
      </c>
      <c r="CI15" s="145">
        <v>7</v>
      </c>
      <c r="CJ15" s="143">
        <v>10</v>
      </c>
      <c r="CK15" s="143">
        <v>8</v>
      </c>
      <c r="CL15" s="143">
        <v>8</v>
      </c>
      <c r="CM15" s="66">
        <f t="shared" si="35"/>
        <v>33</v>
      </c>
      <c r="CN15" s="143">
        <v>28</v>
      </c>
      <c r="CO15" s="66">
        <f t="shared" si="89"/>
        <v>61</v>
      </c>
      <c r="CP15" s="66">
        <f t="shared" si="36"/>
        <v>23</v>
      </c>
      <c r="CQ15" s="66" t="str">
        <f t="shared" si="37"/>
        <v>C</v>
      </c>
      <c r="CR15" s="66" t="str">
        <f t="shared" si="38"/>
        <v>Credit</v>
      </c>
      <c r="CS15" s="3">
        <v>13</v>
      </c>
      <c r="CT15" s="157" t="s">
        <v>127</v>
      </c>
      <c r="CU15" s="148">
        <v>6</v>
      </c>
      <c r="CV15" s="149">
        <v>7</v>
      </c>
      <c r="CW15" s="149">
        <v>8</v>
      </c>
      <c r="CX15" s="149">
        <v>10</v>
      </c>
      <c r="CY15" s="70">
        <f t="shared" si="39"/>
        <v>31</v>
      </c>
      <c r="CZ15" s="149">
        <v>34</v>
      </c>
      <c r="DA15" s="70">
        <f t="shared" si="40"/>
        <v>65</v>
      </c>
      <c r="DB15" s="70">
        <f t="shared" si="41"/>
        <v>22</v>
      </c>
      <c r="DC15" s="70" t="str">
        <f t="shared" si="42"/>
        <v>C</v>
      </c>
      <c r="DD15" s="70" t="str">
        <f t="shared" si="43"/>
        <v>Credit</v>
      </c>
      <c r="DE15" s="3">
        <v>13</v>
      </c>
      <c r="DF15" s="59"/>
      <c r="DG15" s="145">
        <v>9</v>
      </c>
      <c r="DH15" s="143">
        <v>7</v>
      </c>
      <c r="DI15" s="143">
        <v>1</v>
      </c>
      <c r="DJ15" s="143">
        <v>9</v>
      </c>
      <c r="DK15" s="59">
        <f t="shared" si="44"/>
        <v>26</v>
      </c>
      <c r="DL15" s="143">
        <v>36</v>
      </c>
      <c r="DM15" s="59">
        <f t="shared" si="45"/>
        <v>62</v>
      </c>
      <c r="DN15" s="59">
        <f t="shared" si="46"/>
        <v>31</v>
      </c>
      <c r="DO15" s="59" t="str">
        <f t="shared" si="47"/>
        <v>C</v>
      </c>
      <c r="DP15" s="59" t="str">
        <f t="shared" si="48"/>
        <v>Credit</v>
      </c>
      <c r="DQ15" s="3">
        <v>13</v>
      </c>
      <c r="DR15" s="157" t="s">
        <v>127</v>
      </c>
      <c r="DS15" s="145">
        <v>8</v>
      </c>
      <c r="DT15" s="143">
        <v>6</v>
      </c>
      <c r="DU15" s="143">
        <v>9</v>
      </c>
      <c r="DV15" s="143">
        <v>10</v>
      </c>
      <c r="DW15" s="102">
        <f t="shared" si="49"/>
        <v>33</v>
      </c>
      <c r="DX15" s="143">
        <v>26</v>
      </c>
      <c r="DY15" s="102">
        <f t="shared" si="50"/>
        <v>59</v>
      </c>
      <c r="DZ15" s="102">
        <f t="shared" si="51"/>
        <v>32</v>
      </c>
      <c r="EA15" s="102" t="str">
        <f t="shared" si="52"/>
        <v>C</v>
      </c>
      <c r="EB15" s="102" t="str">
        <f t="shared" si="53"/>
        <v>Credit</v>
      </c>
      <c r="EC15" s="3">
        <v>13</v>
      </c>
      <c r="ED15" s="75"/>
      <c r="EE15" s="145">
        <v>6</v>
      </c>
      <c r="EF15" s="143">
        <v>7</v>
      </c>
      <c r="EG15" s="143">
        <v>9</v>
      </c>
      <c r="EH15" s="143">
        <v>6</v>
      </c>
      <c r="EI15" s="75">
        <f t="shared" si="54"/>
        <v>28</v>
      </c>
      <c r="EJ15" s="143">
        <v>24</v>
      </c>
      <c r="EK15" s="75">
        <f t="shared" si="0"/>
        <v>52</v>
      </c>
      <c r="EL15" s="75">
        <f t="shared" si="55"/>
        <v>22</v>
      </c>
      <c r="EM15" s="75" t="str">
        <f t="shared" si="56"/>
        <v>C</v>
      </c>
      <c r="EN15" s="75" t="str">
        <f t="shared" si="57"/>
        <v>Credit</v>
      </c>
      <c r="EO15" s="3">
        <v>13</v>
      </c>
      <c r="EP15" s="157" t="s">
        <v>127</v>
      </c>
      <c r="EQ15" s="3">
        <v>7</v>
      </c>
      <c r="ER15" s="147">
        <v>2</v>
      </c>
      <c r="ES15" s="147">
        <v>8</v>
      </c>
      <c r="ET15" s="147">
        <v>8</v>
      </c>
      <c r="EU15" s="98">
        <f t="shared" si="58"/>
        <v>25</v>
      </c>
      <c r="EV15" s="147">
        <v>20</v>
      </c>
      <c r="EW15" s="98">
        <f t="shared" si="59"/>
        <v>45</v>
      </c>
      <c r="EX15" s="98">
        <f t="shared" si="60"/>
        <v>25</v>
      </c>
      <c r="EY15" s="98" t="str">
        <f t="shared" si="61"/>
        <v>P</v>
      </c>
      <c r="EZ15" s="98" t="str">
        <f t="shared" si="62"/>
        <v>Pass</v>
      </c>
      <c r="FA15" s="3">
        <v>13</v>
      </c>
      <c r="FB15" s="113"/>
      <c r="FC15" s="145">
        <v>9</v>
      </c>
      <c r="FD15" s="143">
        <v>10</v>
      </c>
      <c r="FE15" s="143">
        <v>3</v>
      </c>
      <c r="FF15" s="143">
        <v>10</v>
      </c>
      <c r="FG15" s="113">
        <f t="shared" si="63"/>
        <v>32</v>
      </c>
      <c r="FH15" s="143">
        <v>36</v>
      </c>
      <c r="FI15" s="113">
        <f t="shared" si="64"/>
        <v>68</v>
      </c>
      <c r="FJ15" s="113">
        <f t="shared" si="65"/>
        <v>28</v>
      </c>
      <c r="FK15" s="113" t="str">
        <f t="shared" si="66"/>
        <v>C</v>
      </c>
      <c r="FL15" s="113" t="str">
        <f t="shared" si="67"/>
        <v>Credit</v>
      </c>
      <c r="FM15" s="3">
        <v>13</v>
      </c>
      <c r="FN15" s="53"/>
      <c r="FO15" s="145">
        <v>10</v>
      </c>
      <c r="FP15" s="143">
        <v>8</v>
      </c>
      <c r="FQ15" s="143">
        <v>10</v>
      </c>
      <c r="FR15" s="143">
        <v>5</v>
      </c>
      <c r="FS15" s="53">
        <f t="shared" si="68"/>
        <v>33</v>
      </c>
      <c r="FT15" s="143">
        <v>28</v>
      </c>
      <c r="FU15" s="53">
        <f t="shared" si="69"/>
        <v>61</v>
      </c>
      <c r="FV15" s="53">
        <f t="shared" si="70"/>
        <v>33</v>
      </c>
      <c r="FW15" s="53" t="str">
        <f t="shared" si="71"/>
        <v>C</v>
      </c>
      <c r="FX15" s="53" t="str">
        <f t="shared" si="72"/>
        <v>Credit</v>
      </c>
      <c r="FY15" s="3">
        <v>13</v>
      </c>
      <c r="FZ15" s="80"/>
      <c r="GA15" s="80"/>
      <c r="GB15" s="80"/>
      <c r="GC15" s="80"/>
      <c r="GD15" s="80"/>
      <c r="GE15" s="80">
        <f t="shared" si="73"/>
        <v>0</v>
      </c>
      <c r="GF15" s="80"/>
      <c r="GG15" s="80">
        <f t="shared" si="74"/>
        <v>0</v>
      </c>
      <c r="GH15" s="80" t="str">
        <f t="shared" si="75"/>
        <v/>
      </c>
      <c r="GI15" s="80" t="str">
        <f t="shared" si="76"/>
        <v/>
      </c>
      <c r="GJ15" s="80" t="str">
        <f t="shared" si="77"/>
        <v/>
      </c>
      <c r="GK15" s="3">
        <v>13</v>
      </c>
      <c r="GL15" s="157" t="s">
        <v>127</v>
      </c>
      <c r="GM15" s="145">
        <v>10</v>
      </c>
      <c r="GN15" s="143">
        <v>4</v>
      </c>
      <c r="GO15" s="143">
        <v>10</v>
      </c>
      <c r="GP15" s="143">
        <v>6</v>
      </c>
      <c r="GQ15" s="113">
        <f t="shared" si="78"/>
        <v>30</v>
      </c>
      <c r="GR15" s="143">
        <v>24</v>
      </c>
      <c r="GS15" s="113">
        <f t="shared" si="79"/>
        <v>54</v>
      </c>
      <c r="GT15" s="113">
        <f t="shared" si="80"/>
        <v>23</v>
      </c>
      <c r="GU15" s="113" t="str">
        <f t="shared" si="81"/>
        <v>C</v>
      </c>
      <c r="GV15" s="113" t="str">
        <f t="shared" si="82"/>
        <v>Credit</v>
      </c>
      <c r="GW15" s="3">
        <v>13</v>
      </c>
      <c r="GX15" s="107"/>
      <c r="GY15" s="145">
        <v>7</v>
      </c>
      <c r="GZ15" s="143">
        <v>6</v>
      </c>
      <c r="HA15" s="143">
        <v>5</v>
      </c>
      <c r="HB15" s="143">
        <v>5</v>
      </c>
      <c r="HC15" s="107">
        <f t="shared" si="83"/>
        <v>23</v>
      </c>
      <c r="HD15" s="143">
        <v>36</v>
      </c>
      <c r="HE15" s="107">
        <f t="shared" si="84"/>
        <v>59</v>
      </c>
      <c r="HF15" s="107">
        <f t="shared" si="85"/>
        <v>29</v>
      </c>
      <c r="HG15" s="107" t="str">
        <f t="shared" si="86"/>
        <v>C</v>
      </c>
      <c r="HH15" s="107" t="str">
        <f t="shared" si="87"/>
        <v>Credit</v>
      </c>
    </row>
    <row r="16" spans="1:216" ht="18.75">
      <c r="A16" s="185">
        <v>14</v>
      </c>
      <c r="B16" s="157" t="s">
        <v>128</v>
      </c>
      <c r="C16" s="130">
        <v>9</v>
      </c>
      <c r="D16" s="131">
        <v>9</v>
      </c>
      <c r="E16" s="131">
        <v>8</v>
      </c>
      <c r="F16" s="131">
        <v>10</v>
      </c>
      <c r="G16" s="53">
        <f t="shared" si="1"/>
        <v>36</v>
      </c>
      <c r="H16" s="131">
        <v>35</v>
      </c>
      <c r="I16" s="53">
        <f t="shared" si="2"/>
        <v>71</v>
      </c>
      <c r="J16" s="53">
        <f t="shared" si="3"/>
        <v>9</v>
      </c>
      <c r="K16" s="53" t="str">
        <f t="shared" si="4"/>
        <v>A</v>
      </c>
      <c r="L16" s="53" t="str">
        <f t="shared" si="5"/>
        <v>Excellent</v>
      </c>
      <c r="M16" s="44">
        <v>14</v>
      </c>
      <c r="N16" s="59"/>
      <c r="O16" s="135">
        <v>7</v>
      </c>
      <c r="P16" s="136">
        <v>3</v>
      </c>
      <c r="Q16" s="136">
        <v>9</v>
      </c>
      <c r="R16" s="136">
        <v>10</v>
      </c>
      <c r="S16" s="59">
        <f t="shared" si="6"/>
        <v>29</v>
      </c>
      <c r="T16" s="136">
        <v>28</v>
      </c>
      <c r="U16" s="59">
        <f t="shared" si="7"/>
        <v>57</v>
      </c>
      <c r="V16" s="59">
        <f t="shared" si="8"/>
        <v>3</v>
      </c>
      <c r="W16" s="59" t="str">
        <f t="shared" si="9"/>
        <v>C</v>
      </c>
      <c r="X16" s="59" t="str">
        <f t="shared" si="10"/>
        <v>Credit</v>
      </c>
      <c r="Y16" s="3">
        <v>14</v>
      </c>
      <c r="Z16" s="80"/>
      <c r="AA16" s="135">
        <v>10</v>
      </c>
      <c r="AB16" s="136">
        <v>7</v>
      </c>
      <c r="AC16" s="136">
        <v>9</v>
      </c>
      <c r="AD16" s="136">
        <v>8</v>
      </c>
      <c r="AE16" s="80">
        <f t="shared" si="88"/>
        <v>34</v>
      </c>
      <c r="AF16" s="136">
        <v>40</v>
      </c>
      <c r="AG16" s="80">
        <f t="shared" si="11"/>
        <v>74</v>
      </c>
      <c r="AH16" s="80">
        <f t="shared" si="12"/>
        <v>6</v>
      </c>
      <c r="AI16" s="80" t="str">
        <f t="shared" si="13"/>
        <v>A</v>
      </c>
      <c r="AJ16" s="80" t="str">
        <f t="shared" si="14"/>
        <v>Excellent</v>
      </c>
      <c r="AK16" s="3">
        <v>14</v>
      </c>
      <c r="AL16" s="157" t="s">
        <v>128</v>
      </c>
      <c r="AM16" s="135"/>
      <c r="AN16" s="136"/>
      <c r="AO16" s="136"/>
      <c r="AP16" s="136"/>
      <c r="AQ16" s="47">
        <f t="shared" si="15"/>
        <v>0</v>
      </c>
      <c r="AR16" s="136"/>
      <c r="AS16" s="47">
        <f t="shared" si="16"/>
        <v>0</v>
      </c>
      <c r="AT16" s="47" t="str">
        <f t="shared" si="17"/>
        <v/>
      </c>
      <c r="AU16" s="47" t="str">
        <f t="shared" si="18"/>
        <v/>
      </c>
      <c r="AV16" s="47" t="str">
        <f t="shared" si="19"/>
        <v/>
      </c>
      <c r="AW16" s="3">
        <v>14</v>
      </c>
      <c r="AX16" s="157" t="s">
        <v>128</v>
      </c>
      <c r="AY16" s="130">
        <v>10</v>
      </c>
      <c r="AZ16" s="131">
        <v>8</v>
      </c>
      <c r="BA16" s="131">
        <v>10</v>
      </c>
      <c r="BB16" s="131">
        <v>10</v>
      </c>
      <c r="BC16" s="85">
        <f t="shared" si="20"/>
        <v>38</v>
      </c>
      <c r="BD16" s="131">
        <v>42</v>
      </c>
      <c r="BE16" s="85">
        <f t="shared" si="21"/>
        <v>80</v>
      </c>
      <c r="BF16" s="85">
        <f t="shared" si="22"/>
        <v>7</v>
      </c>
      <c r="BG16" s="85" t="str">
        <f t="shared" si="23"/>
        <v>A</v>
      </c>
      <c r="BH16" s="85" t="str">
        <f t="shared" si="24"/>
        <v>Excellent</v>
      </c>
      <c r="BI16" s="3">
        <v>14</v>
      </c>
      <c r="BJ16" s="90"/>
      <c r="BK16" s="167">
        <v>5</v>
      </c>
      <c r="BL16" s="168">
        <v>8</v>
      </c>
      <c r="BM16" s="168">
        <v>10</v>
      </c>
      <c r="BN16" s="168">
        <v>10</v>
      </c>
      <c r="BO16" s="90">
        <f t="shared" si="25"/>
        <v>33</v>
      </c>
      <c r="BP16" s="173">
        <v>27</v>
      </c>
      <c r="BQ16" s="90">
        <f t="shared" si="26"/>
        <v>60</v>
      </c>
      <c r="BR16" s="90">
        <f t="shared" si="27"/>
        <v>10</v>
      </c>
      <c r="BS16" s="90" t="str">
        <f t="shared" si="28"/>
        <v>C</v>
      </c>
      <c r="BT16" s="90" t="str">
        <f t="shared" si="29"/>
        <v>Credit</v>
      </c>
      <c r="BU16" s="3">
        <v>14</v>
      </c>
      <c r="BV16" s="157" t="s">
        <v>128</v>
      </c>
      <c r="BW16" s="145">
        <v>10</v>
      </c>
      <c r="BX16" s="143">
        <v>4</v>
      </c>
      <c r="BY16" s="143">
        <v>5</v>
      </c>
      <c r="BZ16" s="143">
        <v>9</v>
      </c>
      <c r="CA16" s="94">
        <f t="shared" si="30"/>
        <v>28</v>
      </c>
      <c r="CB16" s="143">
        <v>33</v>
      </c>
      <c r="CC16" s="94">
        <f t="shared" si="31"/>
        <v>61</v>
      </c>
      <c r="CD16" s="94">
        <f t="shared" si="32"/>
        <v>18</v>
      </c>
      <c r="CE16" s="94" t="str">
        <f t="shared" si="33"/>
        <v>C</v>
      </c>
      <c r="CF16" s="94" t="str">
        <f t="shared" si="34"/>
        <v>Credit</v>
      </c>
      <c r="CG16" s="3">
        <v>14</v>
      </c>
      <c r="CH16" s="157" t="s">
        <v>128</v>
      </c>
      <c r="CI16" s="145">
        <v>10</v>
      </c>
      <c r="CJ16" s="143">
        <v>10</v>
      </c>
      <c r="CK16" s="143">
        <v>10</v>
      </c>
      <c r="CL16" s="143">
        <v>10</v>
      </c>
      <c r="CM16" s="66">
        <f t="shared" si="35"/>
        <v>40</v>
      </c>
      <c r="CN16" s="143">
        <v>45</v>
      </c>
      <c r="CO16" s="66">
        <f t="shared" si="89"/>
        <v>85</v>
      </c>
      <c r="CP16" s="66">
        <f t="shared" si="36"/>
        <v>3</v>
      </c>
      <c r="CQ16" s="66" t="str">
        <f t="shared" si="37"/>
        <v>A</v>
      </c>
      <c r="CR16" s="66" t="str">
        <f t="shared" si="38"/>
        <v>Excellent</v>
      </c>
      <c r="CS16" s="3">
        <v>14</v>
      </c>
      <c r="CT16" s="157" t="s">
        <v>128</v>
      </c>
      <c r="CU16" s="148">
        <v>7</v>
      </c>
      <c r="CV16" s="149">
        <v>10</v>
      </c>
      <c r="CW16" s="149">
        <v>8</v>
      </c>
      <c r="CX16" s="149">
        <v>10</v>
      </c>
      <c r="CY16" s="70">
        <f t="shared" si="39"/>
        <v>35</v>
      </c>
      <c r="CZ16" s="149">
        <v>46</v>
      </c>
      <c r="DA16" s="70">
        <f t="shared" si="40"/>
        <v>81</v>
      </c>
      <c r="DB16" s="70">
        <f t="shared" si="41"/>
        <v>2</v>
      </c>
      <c r="DC16" s="70" t="str">
        <f t="shared" si="42"/>
        <v>A</v>
      </c>
      <c r="DD16" s="70" t="str">
        <f t="shared" si="43"/>
        <v>Excellent</v>
      </c>
      <c r="DE16" s="3">
        <v>14</v>
      </c>
      <c r="DF16" s="59"/>
      <c r="DG16" s="145">
        <v>8</v>
      </c>
      <c r="DH16" s="143">
        <v>10</v>
      </c>
      <c r="DI16" s="143">
        <v>9</v>
      </c>
      <c r="DJ16" s="143">
        <v>10</v>
      </c>
      <c r="DK16" s="59">
        <f t="shared" si="44"/>
        <v>37</v>
      </c>
      <c r="DL16" s="143">
        <v>40</v>
      </c>
      <c r="DM16" s="59">
        <f t="shared" si="45"/>
        <v>77</v>
      </c>
      <c r="DN16" s="59">
        <f t="shared" si="46"/>
        <v>8</v>
      </c>
      <c r="DO16" s="59" t="str">
        <f t="shared" si="47"/>
        <v>A</v>
      </c>
      <c r="DP16" s="59" t="str">
        <f t="shared" si="48"/>
        <v>Excellent</v>
      </c>
      <c r="DQ16" s="3">
        <v>14</v>
      </c>
      <c r="DR16" s="157" t="s">
        <v>128</v>
      </c>
      <c r="DS16" s="145">
        <v>10</v>
      </c>
      <c r="DT16" s="143">
        <v>10</v>
      </c>
      <c r="DU16" s="143">
        <v>9</v>
      </c>
      <c r="DV16" s="143">
        <v>7</v>
      </c>
      <c r="DW16" s="102">
        <f t="shared" si="49"/>
        <v>36</v>
      </c>
      <c r="DX16" s="143">
        <v>35</v>
      </c>
      <c r="DY16" s="102">
        <f t="shared" si="50"/>
        <v>71</v>
      </c>
      <c r="DZ16" s="102">
        <f t="shared" si="51"/>
        <v>6</v>
      </c>
      <c r="EA16" s="102" t="str">
        <f t="shared" si="52"/>
        <v>A</v>
      </c>
      <c r="EB16" s="102" t="str">
        <f t="shared" si="53"/>
        <v>Excellent</v>
      </c>
      <c r="EC16" s="3">
        <v>14</v>
      </c>
      <c r="ED16" s="75"/>
      <c r="EE16" s="145">
        <v>10</v>
      </c>
      <c r="EF16" s="143">
        <v>9</v>
      </c>
      <c r="EG16" s="143">
        <v>9</v>
      </c>
      <c r="EH16" s="143">
        <v>5</v>
      </c>
      <c r="EI16" s="75">
        <f t="shared" si="54"/>
        <v>33</v>
      </c>
      <c r="EJ16" s="143">
        <v>30</v>
      </c>
      <c r="EK16" s="75">
        <f t="shared" si="0"/>
        <v>63</v>
      </c>
      <c r="EL16" s="75">
        <f t="shared" si="55"/>
        <v>5</v>
      </c>
      <c r="EM16" s="75" t="str">
        <f t="shared" si="56"/>
        <v>C</v>
      </c>
      <c r="EN16" s="75" t="str">
        <f t="shared" si="57"/>
        <v>Credit</v>
      </c>
      <c r="EO16" s="3">
        <v>14</v>
      </c>
      <c r="EP16" s="157" t="s">
        <v>128</v>
      </c>
      <c r="EQ16" s="3">
        <v>9</v>
      </c>
      <c r="ER16" s="147">
        <v>6</v>
      </c>
      <c r="ES16" s="147">
        <v>9</v>
      </c>
      <c r="ET16" s="147">
        <v>10</v>
      </c>
      <c r="EU16" s="98">
        <f t="shared" si="58"/>
        <v>34</v>
      </c>
      <c r="EV16" s="147">
        <v>33</v>
      </c>
      <c r="EW16" s="98">
        <f t="shared" si="59"/>
        <v>67</v>
      </c>
      <c r="EX16" s="98">
        <f t="shared" si="60"/>
        <v>6</v>
      </c>
      <c r="EY16" s="98" t="str">
        <f t="shared" si="61"/>
        <v>C</v>
      </c>
      <c r="EZ16" s="98" t="str">
        <f t="shared" si="62"/>
        <v>Credit</v>
      </c>
      <c r="FA16" s="3">
        <v>14</v>
      </c>
      <c r="FB16" s="113"/>
      <c r="FC16" s="145">
        <v>10</v>
      </c>
      <c r="FD16" s="143">
        <v>10</v>
      </c>
      <c r="FE16" s="143">
        <v>8</v>
      </c>
      <c r="FF16" s="143">
        <v>10</v>
      </c>
      <c r="FG16" s="113">
        <f t="shared" si="63"/>
        <v>38</v>
      </c>
      <c r="FH16" s="143">
        <v>57</v>
      </c>
      <c r="FI16" s="113">
        <f t="shared" si="64"/>
        <v>95</v>
      </c>
      <c r="FJ16" s="113">
        <f t="shared" si="65"/>
        <v>1</v>
      </c>
      <c r="FK16" s="113" t="str">
        <f t="shared" si="66"/>
        <v>A</v>
      </c>
      <c r="FL16" s="113" t="str">
        <f t="shared" si="67"/>
        <v>Excellent</v>
      </c>
      <c r="FM16" s="3">
        <v>14</v>
      </c>
      <c r="FN16" s="53"/>
      <c r="FO16" s="145">
        <v>10</v>
      </c>
      <c r="FP16" s="143">
        <v>10</v>
      </c>
      <c r="FQ16" s="143">
        <v>10</v>
      </c>
      <c r="FR16" s="143">
        <v>2</v>
      </c>
      <c r="FS16" s="53">
        <f t="shared" si="68"/>
        <v>32</v>
      </c>
      <c r="FT16" s="143">
        <v>41</v>
      </c>
      <c r="FU16" s="53">
        <f t="shared" si="69"/>
        <v>73</v>
      </c>
      <c r="FV16" s="53">
        <f t="shared" si="70"/>
        <v>11</v>
      </c>
      <c r="FW16" s="53" t="str">
        <f t="shared" si="71"/>
        <v>A</v>
      </c>
      <c r="FX16" s="53" t="str">
        <f t="shared" si="72"/>
        <v>Excellent</v>
      </c>
      <c r="FY16" s="3">
        <v>14</v>
      </c>
      <c r="FZ16" s="80"/>
      <c r="GA16" s="80"/>
      <c r="GB16" s="80"/>
      <c r="GC16" s="80"/>
      <c r="GD16" s="80"/>
      <c r="GE16" s="80">
        <f t="shared" si="73"/>
        <v>0</v>
      </c>
      <c r="GF16" s="80"/>
      <c r="GG16" s="80">
        <f t="shared" si="74"/>
        <v>0</v>
      </c>
      <c r="GH16" s="80" t="str">
        <f t="shared" si="75"/>
        <v/>
      </c>
      <c r="GI16" s="80" t="str">
        <f t="shared" si="76"/>
        <v/>
      </c>
      <c r="GJ16" s="80" t="str">
        <f t="shared" si="77"/>
        <v/>
      </c>
      <c r="GK16" s="3">
        <v>14</v>
      </c>
      <c r="GL16" s="157" t="s">
        <v>128</v>
      </c>
      <c r="GM16" s="145">
        <v>10</v>
      </c>
      <c r="GN16" s="143">
        <v>9</v>
      </c>
      <c r="GO16" s="143">
        <v>8</v>
      </c>
      <c r="GP16" s="143">
        <v>7</v>
      </c>
      <c r="GQ16" s="113">
        <f t="shared" si="78"/>
        <v>34</v>
      </c>
      <c r="GR16" s="143">
        <v>27</v>
      </c>
      <c r="GS16" s="113">
        <f t="shared" si="79"/>
        <v>61</v>
      </c>
      <c r="GT16" s="113">
        <f t="shared" si="80"/>
        <v>16</v>
      </c>
      <c r="GU16" s="113" t="str">
        <f t="shared" si="81"/>
        <v>C</v>
      </c>
      <c r="GV16" s="113" t="str">
        <f t="shared" si="82"/>
        <v>Credit</v>
      </c>
      <c r="GW16" s="3">
        <v>14</v>
      </c>
      <c r="GX16" s="107"/>
      <c r="GY16" s="145">
        <v>8</v>
      </c>
      <c r="GZ16" s="143">
        <v>9</v>
      </c>
      <c r="HA16" s="143">
        <v>10</v>
      </c>
      <c r="HB16" s="143">
        <v>10</v>
      </c>
      <c r="HC16" s="107">
        <f t="shared" si="83"/>
        <v>37</v>
      </c>
      <c r="HD16" s="143">
        <v>49</v>
      </c>
      <c r="HE16" s="107">
        <f t="shared" si="84"/>
        <v>86</v>
      </c>
      <c r="HF16" s="107">
        <f t="shared" si="85"/>
        <v>5</v>
      </c>
      <c r="HG16" s="107" t="str">
        <f t="shared" si="86"/>
        <v>A</v>
      </c>
      <c r="HH16" s="107" t="str">
        <f t="shared" si="87"/>
        <v>Excellent</v>
      </c>
    </row>
    <row r="17" spans="1:216" ht="18.75">
      <c r="A17" s="186">
        <v>15</v>
      </c>
      <c r="B17" s="157" t="s">
        <v>129</v>
      </c>
      <c r="C17" s="130">
        <v>9</v>
      </c>
      <c r="D17" s="131">
        <v>8</v>
      </c>
      <c r="E17" s="131">
        <v>9</v>
      </c>
      <c r="F17" s="131">
        <v>7</v>
      </c>
      <c r="G17" s="53">
        <f t="shared" si="1"/>
        <v>33</v>
      </c>
      <c r="H17" s="131">
        <v>49</v>
      </c>
      <c r="I17" s="53">
        <f t="shared" si="2"/>
        <v>82</v>
      </c>
      <c r="J17" s="53">
        <f t="shared" si="3"/>
        <v>1</v>
      </c>
      <c r="K17" s="53" t="str">
        <f t="shared" si="4"/>
        <v>A</v>
      </c>
      <c r="L17" s="53" t="str">
        <f t="shared" si="5"/>
        <v>Excellent</v>
      </c>
      <c r="M17" s="44">
        <v>15</v>
      </c>
      <c r="N17" s="59"/>
      <c r="O17" s="135">
        <v>4</v>
      </c>
      <c r="P17" s="136">
        <v>2</v>
      </c>
      <c r="Q17" s="136">
        <v>5</v>
      </c>
      <c r="R17" s="136">
        <v>10</v>
      </c>
      <c r="S17" s="59">
        <f t="shared" si="6"/>
        <v>21</v>
      </c>
      <c r="T17" s="136">
        <v>26</v>
      </c>
      <c r="U17" s="59">
        <f t="shared" si="7"/>
        <v>47</v>
      </c>
      <c r="V17" s="59">
        <f t="shared" si="8"/>
        <v>20</v>
      </c>
      <c r="W17" s="59" t="str">
        <f t="shared" si="9"/>
        <v>P</v>
      </c>
      <c r="X17" s="59" t="str">
        <f t="shared" si="10"/>
        <v>Pass</v>
      </c>
      <c r="Y17" s="3">
        <v>15</v>
      </c>
      <c r="Z17" s="80"/>
      <c r="AA17" s="135">
        <v>8</v>
      </c>
      <c r="AB17" s="136">
        <v>8</v>
      </c>
      <c r="AC17" s="136">
        <v>3</v>
      </c>
      <c r="AD17" s="136">
        <v>5</v>
      </c>
      <c r="AE17" s="80">
        <f t="shared" si="88"/>
        <v>24</v>
      </c>
      <c r="AF17" s="136">
        <v>46</v>
      </c>
      <c r="AG17" s="80">
        <f t="shared" si="11"/>
        <v>70</v>
      </c>
      <c r="AH17" s="80">
        <f t="shared" si="12"/>
        <v>12</v>
      </c>
      <c r="AI17" s="80" t="str">
        <f t="shared" si="13"/>
        <v>A</v>
      </c>
      <c r="AJ17" s="80" t="str">
        <f t="shared" si="14"/>
        <v>Excellent</v>
      </c>
      <c r="AK17" s="3">
        <v>15</v>
      </c>
      <c r="AL17" s="157" t="s">
        <v>129</v>
      </c>
      <c r="AM17" s="135">
        <v>10</v>
      </c>
      <c r="AN17" s="136">
        <v>9</v>
      </c>
      <c r="AO17" s="136">
        <v>10</v>
      </c>
      <c r="AP17" s="136">
        <v>10</v>
      </c>
      <c r="AQ17" s="47">
        <f t="shared" si="15"/>
        <v>39</v>
      </c>
      <c r="AR17" s="136">
        <v>50</v>
      </c>
      <c r="AS17" s="47">
        <f t="shared" si="16"/>
        <v>89</v>
      </c>
      <c r="AT17" s="47">
        <f t="shared" si="17"/>
        <v>1</v>
      </c>
      <c r="AU17" s="47" t="str">
        <f t="shared" si="18"/>
        <v>A</v>
      </c>
      <c r="AV17" s="47" t="str">
        <f t="shared" si="19"/>
        <v>Excellent</v>
      </c>
      <c r="AW17" s="3">
        <v>15</v>
      </c>
      <c r="AX17" s="157" t="s">
        <v>129</v>
      </c>
      <c r="AY17" s="130">
        <v>8</v>
      </c>
      <c r="AZ17" s="131">
        <v>10</v>
      </c>
      <c r="BA17" s="131">
        <v>8</v>
      </c>
      <c r="BB17" s="131">
        <v>10</v>
      </c>
      <c r="BC17" s="85">
        <f t="shared" si="20"/>
        <v>36</v>
      </c>
      <c r="BD17" s="131">
        <v>53</v>
      </c>
      <c r="BE17" s="85">
        <f t="shared" si="21"/>
        <v>89</v>
      </c>
      <c r="BF17" s="85">
        <f t="shared" si="22"/>
        <v>1</v>
      </c>
      <c r="BG17" s="85" t="str">
        <f t="shared" si="23"/>
        <v>A</v>
      </c>
      <c r="BH17" s="85" t="str">
        <f t="shared" si="24"/>
        <v>Excellent</v>
      </c>
      <c r="BI17" s="3">
        <v>15</v>
      </c>
      <c r="BJ17" s="90"/>
      <c r="BK17" s="167">
        <v>4</v>
      </c>
      <c r="BL17" s="168">
        <v>5</v>
      </c>
      <c r="BM17" s="168">
        <v>2</v>
      </c>
      <c r="BN17" s="168">
        <v>5</v>
      </c>
      <c r="BO17" s="90">
        <f t="shared" si="25"/>
        <v>16</v>
      </c>
      <c r="BP17" s="173">
        <v>42</v>
      </c>
      <c r="BQ17" s="90">
        <f t="shared" si="26"/>
        <v>58</v>
      </c>
      <c r="BR17" s="90">
        <f t="shared" si="27"/>
        <v>12</v>
      </c>
      <c r="BS17" s="90" t="str">
        <f t="shared" si="28"/>
        <v>C</v>
      </c>
      <c r="BT17" s="90" t="str">
        <f t="shared" si="29"/>
        <v>Credit</v>
      </c>
      <c r="BU17" s="3">
        <v>15</v>
      </c>
      <c r="BV17" s="157" t="s">
        <v>129</v>
      </c>
      <c r="BW17" s="145">
        <v>10</v>
      </c>
      <c r="BX17" s="143">
        <v>5</v>
      </c>
      <c r="BY17" s="143">
        <v>8</v>
      </c>
      <c r="BZ17" s="143">
        <v>8</v>
      </c>
      <c r="CA17" s="94">
        <f t="shared" si="30"/>
        <v>31</v>
      </c>
      <c r="CB17" s="143">
        <v>43</v>
      </c>
      <c r="CC17" s="94">
        <f t="shared" si="31"/>
        <v>74</v>
      </c>
      <c r="CD17" s="94">
        <f t="shared" si="32"/>
        <v>1</v>
      </c>
      <c r="CE17" s="94" t="str">
        <f t="shared" si="33"/>
        <v>A</v>
      </c>
      <c r="CF17" s="94" t="str">
        <f t="shared" si="34"/>
        <v>Excellent</v>
      </c>
      <c r="CG17" s="3">
        <v>15</v>
      </c>
      <c r="CH17" s="157" t="s">
        <v>129</v>
      </c>
      <c r="CI17" s="145">
        <v>10</v>
      </c>
      <c r="CJ17" s="143">
        <v>8</v>
      </c>
      <c r="CK17" s="143">
        <v>10</v>
      </c>
      <c r="CL17" s="143">
        <v>9</v>
      </c>
      <c r="CM17" s="66">
        <f t="shared" si="35"/>
        <v>37</v>
      </c>
      <c r="CN17" s="143">
        <v>48</v>
      </c>
      <c r="CO17" s="66">
        <f t="shared" si="89"/>
        <v>85</v>
      </c>
      <c r="CP17" s="66">
        <f t="shared" si="36"/>
        <v>3</v>
      </c>
      <c r="CQ17" s="66" t="str">
        <f t="shared" si="37"/>
        <v>A</v>
      </c>
      <c r="CR17" s="66" t="str">
        <f t="shared" si="38"/>
        <v>Excellent</v>
      </c>
      <c r="CS17" s="3">
        <v>15</v>
      </c>
      <c r="CT17" s="157" t="s">
        <v>129</v>
      </c>
      <c r="CU17" s="148">
        <v>5</v>
      </c>
      <c r="CV17" s="149">
        <v>6</v>
      </c>
      <c r="CW17" s="149">
        <v>2</v>
      </c>
      <c r="CX17" s="149">
        <v>10</v>
      </c>
      <c r="CY17" s="70">
        <f t="shared" si="39"/>
        <v>23</v>
      </c>
      <c r="CZ17" s="149">
        <v>41</v>
      </c>
      <c r="DA17" s="70">
        <f t="shared" si="40"/>
        <v>64</v>
      </c>
      <c r="DB17" s="70">
        <f t="shared" si="41"/>
        <v>23</v>
      </c>
      <c r="DC17" s="70" t="str">
        <f t="shared" si="42"/>
        <v>C</v>
      </c>
      <c r="DD17" s="70" t="str">
        <f t="shared" si="43"/>
        <v>Credit</v>
      </c>
      <c r="DE17" s="3">
        <v>15</v>
      </c>
      <c r="DF17" s="59"/>
      <c r="DG17" s="145">
        <v>10</v>
      </c>
      <c r="DH17" s="143">
        <v>10</v>
      </c>
      <c r="DI17" s="143">
        <v>5</v>
      </c>
      <c r="DJ17" s="143">
        <v>9</v>
      </c>
      <c r="DK17" s="59">
        <f t="shared" si="44"/>
        <v>34</v>
      </c>
      <c r="DL17" s="143">
        <v>48</v>
      </c>
      <c r="DM17" s="59">
        <f t="shared" si="45"/>
        <v>82</v>
      </c>
      <c r="DN17" s="59">
        <f t="shared" si="46"/>
        <v>3</v>
      </c>
      <c r="DO17" s="59" t="str">
        <f t="shared" si="47"/>
        <v>A</v>
      </c>
      <c r="DP17" s="59" t="str">
        <f t="shared" si="48"/>
        <v>Excellent</v>
      </c>
      <c r="DQ17" s="3">
        <v>15</v>
      </c>
      <c r="DR17" s="157" t="s">
        <v>129</v>
      </c>
      <c r="DS17" s="145">
        <v>7</v>
      </c>
      <c r="DT17" s="143">
        <v>7</v>
      </c>
      <c r="DU17" s="143">
        <v>8</v>
      </c>
      <c r="DV17" s="143">
        <v>10</v>
      </c>
      <c r="DW17" s="102">
        <f t="shared" si="49"/>
        <v>32</v>
      </c>
      <c r="DX17" s="143">
        <v>37</v>
      </c>
      <c r="DY17" s="102">
        <f t="shared" si="50"/>
        <v>69</v>
      </c>
      <c r="DZ17" s="102">
        <f t="shared" si="51"/>
        <v>11</v>
      </c>
      <c r="EA17" s="102" t="str">
        <f t="shared" si="52"/>
        <v>C</v>
      </c>
      <c r="EB17" s="102" t="str">
        <f t="shared" si="53"/>
        <v>Credit</v>
      </c>
      <c r="EC17" s="3">
        <v>15</v>
      </c>
      <c r="ED17" s="75"/>
      <c r="EE17" s="145">
        <v>8</v>
      </c>
      <c r="EF17" s="143">
        <v>9</v>
      </c>
      <c r="EG17" s="143">
        <v>10</v>
      </c>
      <c r="EH17" s="143">
        <v>5</v>
      </c>
      <c r="EI17" s="75">
        <f t="shared" si="54"/>
        <v>32</v>
      </c>
      <c r="EJ17" s="143">
        <v>38</v>
      </c>
      <c r="EK17" s="75">
        <f t="shared" si="0"/>
        <v>70</v>
      </c>
      <c r="EL17" s="75">
        <f t="shared" si="55"/>
        <v>2</v>
      </c>
      <c r="EM17" s="75" t="str">
        <f t="shared" si="56"/>
        <v>A</v>
      </c>
      <c r="EN17" s="75" t="str">
        <f t="shared" si="57"/>
        <v>Excellent</v>
      </c>
      <c r="EO17" s="3">
        <v>15</v>
      </c>
      <c r="EP17" s="157" t="s">
        <v>129</v>
      </c>
      <c r="EQ17" s="3">
        <v>10</v>
      </c>
      <c r="ER17" s="147">
        <v>2</v>
      </c>
      <c r="ES17" s="147">
        <v>7</v>
      </c>
      <c r="ET17" s="147">
        <v>10</v>
      </c>
      <c r="EU17" s="98">
        <f t="shared" si="58"/>
        <v>29</v>
      </c>
      <c r="EV17" s="147">
        <v>18</v>
      </c>
      <c r="EW17" s="98">
        <f t="shared" si="59"/>
        <v>47</v>
      </c>
      <c r="EX17" s="98">
        <f t="shared" si="60"/>
        <v>21</v>
      </c>
      <c r="EY17" s="98" t="str">
        <f t="shared" si="61"/>
        <v>P</v>
      </c>
      <c r="EZ17" s="98" t="str">
        <f t="shared" si="62"/>
        <v>Pass</v>
      </c>
      <c r="FA17" s="3">
        <v>15</v>
      </c>
      <c r="FB17" s="113"/>
      <c r="FC17" s="145">
        <v>7</v>
      </c>
      <c r="FD17" s="143">
        <v>10</v>
      </c>
      <c r="FE17" s="143">
        <v>3</v>
      </c>
      <c r="FF17" s="143">
        <v>5</v>
      </c>
      <c r="FG17" s="113">
        <f t="shared" si="63"/>
        <v>25</v>
      </c>
      <c r="FH17" s="143">
        <v>37</v>
      </c>
      <c r="FI17" s="113">
        <f t="shared" si="64"/>
        <v>62</v>
      </c>
      <c r="FJ17" s="113">
        <f t="shared" si="65"/>
        <v>41</v>
      </c>
      <c r="FK17" s="113" t="str">
        <f t="shared" si="66"/>
        <v>C</v>
      </c>
      <c r="FL17" s="113" t="str">
        <f t="shared" si="67"/>
        <v>Credit</v>
      </c>
      <c r="FM17" s="3">
        <v>15</v>
      </c>
      <c r="FN17" s="53"/>
      <c r="FO17" s="145">
        <v>10</v>
      </c>
      <c r="FP17" s="143">
        <v>10</v>
      </c>
      <c r="FQ17" s="143">
        <v>10</v>
      </c>
      <c r="FR17" s="143">
        <v>4</v>
      </c>
      <c r="FS17" s="53">
        <f t="shared" si="68"/>
        <v>34</v>
      </c>
      <c r="FT17" s="143">
        <v>49</v>
      </c>
      <c r="FU17" s="53">
        <f t="shared" si="69"/>
        <v>83</v>
      </c>
      <c r="FV17" s="53">
        <f t="shared" si="70"/>
        <v>4</v>
      </c>
      <c r="FW17" s="53" t="str">
        <f t="shared" si="71"/>
        <v>A</v>
      </c>
      <c r="FX17" s="53" t="str">
        <f t="shared" si="72"/>
        <v>Excellent</v>
      </c>
      <c r="FY17" s="3">
        <v>15</v>
      </c>
      <c r="FZ17" s="80"/>
      <c r="GA17" s="80"/>
      <c r="GB17" s="80"/>
      <c r="GC17" s="80"/>
      <c r="GD17" s="80"/>
      <c r="GE17" s="80">
        <f t="shared" si="73"/>
        <v>0</v>
      </c>
      <c r="GF17" s="80"/>
      <c r="GG17" s="80">
        <f t="shared" si="74"/>
        <v>0</v>
      </c>
      <c r="GH17" s="80" t="str">
        <f t="shared" si="75"/>
        <v/>
      </c>
      <c r="GI17" s="80" t="str">
        <f t="shared" si="76"/>
        <v/>
      </c>
      <c r="GJ17" s="80" t="str">
        <f t="shared" si="77"/>
        <v/>
      </c>
      <c r="GK17" s="3">
        <v>15</v>
      </c>
      <c r="GL17" s="157" t="s">
        <v>129</v>
      </c>
      <c r="GM17" s="145">
        <v>10</v>
      </c>
      <c r="GN17" s="143">
        <v>10</v>
      </c>
      <c r="GO17" s="143">
        <v>6</v>
      </c>
      <c r="GP17" s="143">
        <v>6</v>
      </c>
      <c r="GQ17" s="113">
        <f t="shared" si="78"/>
        <v>32</v>
      </c>
      <c r="GR17" s="143">
        <v>50</v>
      </c>
      <c r="GS17" s="113">
        <f t="shared" si="79"/>
        <v>82</v>
      </c>
      <c r="GT17" s="113">
        <f t="shared" si="80"/>
        <v>5</v>
      </c>
      <c r="GU17" s="113" t="str">
        <f t="shared" si="81"/>
        <v>A</v>
      </c>
      <c r="GV17" s="113" t="str">
        <f t="shared" si="82"/>
        <v>Excellent</v>
      </c>
      <c r="GW17" s="3">
        <v>15</v>
      </c>
      <c r="GX17" s="107"/>
      <c r="GY17" s="145"/>
      <c r="GZ17" s="143"/>
      <c r="HA17" s="143"/>
      <c r="HB17" s="143"/>
      <c r="HC17" s="107">
        <f t="shared" si="83"/>
        <v>0</v>
      </c>
      <c r="HD17" s="143"/>
      <c r="HE17" s="107">
        <f t="shared" si="84"/>
        <v>0</v>
      </c>
      <c r="HF17" s="107" t="str">
        <f t="shared" si="85"/>
        <v/>
      </c>
      <c r="HG17" s="107" t="str">
        <f t="shared" si="86"/>
        <v/>
      </c>
      <c r="HH17" s="107" t="str">
        <f t="shared" si="87"/>
        <v/>
      </c>
    </row>
    <row r="18" spans="1:216" ht="18.75">
      <c r="A18" s="185">
        <v>16</v>
      </c>
      <c r="B18" s="157" t="s">
        <v>130</v>
      </c>
      <c r="C18" s="130">
        <v>3</v>
      </c>
      <c r="D18" s="131">
        <v>4</v>
      </c>
      <c r="E18" s="131">
        <v>8</v>
      </c>
      <c r="F18" s="131">
        <v>6</v>
      </c>
      <c r="G18" s="53">
        <f t="shared" si="1"/>
        <v>21</v>
      </c>
      <c r="H18" s="131">
        <v>28</v>
      </c>
      <c r="I18" s="53">
        <f t="shared" si="2"/>
        <v>49</v>
      </c>
      <c r="J18" s="53">
        <f t="shared" si="3"/>
        <v>41</v>
      </c>
      <c r="K18" s="53" t="str">
        <f t="shared" si="4"/>
        <v>P</v>
      </c>
      <c r="L18" s="53" t="str">
        <f t="shared" si="5"/>
        <v>Pass</v>
      </c>
      <c r="M18" s="44">
        <v>16</v>
      </c>
      <c r="N18" s="59"/>
      <c r="O18" s="135">
        <v>2</v>
      </c>
      <c r="P18" s="136">
        <v>3</v>
      </c>
      <c r="Q18" s="136">
        <v>9</v>
      </c>
      <c r="R18" s="136">
        <v>10</v>
      </c>
      <c r="S18" s="59">
        <f t="shared" si="6"/>
        <v>24</v>
      </c>
      <c r="T18" s="136">
        <v>24</v>
      </c>
      <c r="U18" s="59">
        <f t="shared" si="7"/>
        <v>48</v>
      </c>
      <c r="V18" s="59">
        <f t="shared" si="8"/>
        <v>18</v>
      </c>
      <c r="W18" s="59" t="str">
        <f t="shared" si="9"/>
        <v>P</v>
      </c>
      <c r="X18" s="59" t="str">
        <f t="shared" si="10"/>
        <v>Pass</v>
      </c>
      <c r="Y18" s="3">
        <v>16</v>
      </c>
      <c r="Z18" s="80"/>
      <c r="AA18" s="135">
        <v>9</v>
      </c>
      <c r="AB18" s="136">
        <v>8</v>
      </c>
      <c r="AC18" s="136">
        <v>10</v>
      </c>
      <c r="AD18" s="136">
        <v>8</v>
      </c>
      <c r="AE18" s="80">
        <f t="shared" si="88"/>
        <v>35</v>
      </c>
      <c r="AF18" s="136">
        <v>34</v>
      </c>
      <c r="AG18" s="80">
        <f t="shared" si="11"/>
        <v>69</v>
      </c>
      <c r="AH18" s="80">
        <f t="shared" si="12"/>
        <v>16</v>
      </c>
      <c r="AI18" s="80" t="str">
        <f t="shared" si="13"/>
        <v>C</v>
      </c>
      <c r="AJ18" s="80" t="str">
        <f t="shared" si="14"/>
        <v>Credit</v>
      </c>
      <c r="AK18" s="3">
        <v>16</v>
      </c>
      <c r="AL18" s="157" t="s">
        <v>130</v>
      </c>
      <c r="AM18" s="135"/>
      <c r="AN18" s="136"/>
      <c r="AO18" s="136"/>
      <c r="AP18" s="136"/>
      <c r="AQ18" s="47">
        <f t="shared" si="15"/>
        <v>0</v>
      </c>
      <c r="AR18" s="136"/>
      <c r="AS18" s="47">
        <f t="shared" si="16"/>
        <v>0</v>
      </c>
      <c r="AT18" s="47" t="str">
        <f t="shared" si="17"/>
        <v/>
      </c>
      <c r="AU18" s="47" t="str">
        <f t="shared" si="18"/>
        <v/>
      </c>
      <c r="AV18" s="47" t="str">
        <f t="shared" si="19"/>
        <v/>
      </c>
      <c r="AW18" s="3">
        <v>16</v>
      </c>
      <c r="AX18" s="157" t="s">
        <v>130</v>
      </c>
      <c r="AY18" s="130">
        <v>10</v>
      </c>
      <c r="AZ18" s="131">
        <v>7</v>
      </c>
      <c r="BA18" s="131">
        <v>2</v>
      </c>
      <c r="BB18" s="131">
        <v>7</v>
      </c>
      <c r="BC18" s="85">
        <f t="shared" si="20"/>
        <v>26</v>
      </c>
      <c r="BD18" s="131">
        <v>33</v>
      </c>
      <c r="BE18" s="85">
        <f t="shared" si="21"/>
        <v>59</v>
      </c>
      <c r="BF18" s="85">
        <f t="shared" si="22"/>
        <v>37</v>
      </c>
      <c r="BG18" s="85" t="str">
        <f t="shared" si="23"/>
        <v>C</v>
      </c>
      <c r="BH18" s="85" t="str">
        <f t="shared" si="24"/>
        <v>Credit</v>
      </c>
      <c r="BI18" s="3">
        <v>16</v>
      </c>
      <c r="BJ18" s="90"/>
      <c r="BK18" s="167">
        <v>2</v>
      </c>
      <c r="BL18" s="168">
        <v>5</v>
      </c>
      <c r="BM18" s="168">
        <v>2</v>
      </c>
      <c r="BN18" s="168">
        <v>5</v>
      </c>
      <c r="BO18" s="90">
        <f t="shared" si="25"/>
        <v>14</v>
      </c>
      <c r="BP18" s="173">
        <v>27</v>
      </c>
      <c r="BQ18" s="90">
        <f t="shared" si="26"/>
        <v>41</v>
      </c>
      <c r="BR18" s="90">
        <f t="shared" si="27"/>
        <v>32</v>
      </c>
      <c r="BS18" s="90" t="str">
        <f t="shared" si="28"/>
        <v>F</v>
      </c>
      <c r="BT18" s="90" t="str">
        <f t="shared" si="29"/>
        <v>Fail</v>
      </c>
      <c r="BU18" s="3">
        <v>16</v>
      </c>
      <c r="BV18" s="157" t="s">
        <v>130</v>
      </c>
      <c r="BW18" s="145">
        <v>5</v>
      </c>
      <c r="BX18" s="143">
        <v>1</v>
      </c>
      <c r="BY18" s="143">
        <v>9</v>
      </c>
      <c r="BZ18" s="143">
        <v>8</v>
      </c>
      <c r="CA18" s="94">
        <f t="shared" si="30"/>
        <v>23</v>
      </c>
      <c r="CB18" s="143">
        <v>27</v>
      </c>
      <c r="CC18" s="94">
        <f t="shared" si="31"/>
        <v>50</v>
      </c>
      <c r="CD18" s="94">
        <f t="shared" si="32"/>
        <v>36</v>
      </c>
      <c r="CE18" s="94" t="str">
        <f t="shared" si="33"/>
        <v>C</v>
      </c>
      <c r="CF18" s="94" t="str">
        <f t="shared" si="34"/>
        <v>Credit</v>
      </c>
      <c r="CG18" s="3">
        <v>16</v>
      </c>
      <c r="CH18" s="157" t="s">
        <v>130</v>
      </c>
      <c r="CI18" s="145">
        <v>8</v>
      </c>
      <c r="CJ18" s="143">
        <v>6</v>
      </c>
      <c r="CK18" s="143">
        <v>8</v>
      </c>
      <c r="CL18" s="143">
        <v>8</v>
      </c>
      <c r="CM18" s="66">
        <f t="shared" si="35"/>
        <v>30</v>
      </c>
      <c r="CN18" s="143">
        <v>23</v>
      </c>
      <c r="CO18" s="66">
        <f t="shared" si="89"/>
        <v>53</v>
      </c>
      <c r="CP18" s="66">
        <f t="shared" si="36"/>
        <v>36</v>
      </c>
      <c r="CQ18" s="66" t="str">
        <f t="shared" si="37"/>
        <v>C</v>
      </c>
      <c r="CR18" s="66" t="str">
        <f t="shared" si="38"/>
        <v>Credit</v>
      </c>
      <c r="CS18" s="3">
        <v>16</v>
      </c>
      <c r="CT18" s="157" t="s">
        <v>130</v>
      </c>
      <c r="CU18" s="148">
        <v>2</v>
      </c>
      <c r="CV18" s="149">
        <v>5</v>
      </c>
      <c r="CW18" s="149">
        <v>8</v>
      </c>
      <c r="CX18" s="149">
        <v>10</v>
      </c>
      <c r="CY18" s="70">
        <f t="shared" si="39"/>
        <v>25</v>
      </c>
      <c r="CZ18" s="149">
        <v>30</v>
      </c>
      <c r="DA18" s="70">
        <f t="shared" si="40"/>
        <v>55</v>
      </c>
      <c r="DB18" s="70">
        <f t="shared" si="41"/>
        <v>39</v>
      </c>
      <c r="DC18" s="70" t="str">
        <f t="shared" si="42"/>
        <v>C</v>
      </c>
      <c r="DD18" s="70" t="str">
        <f t="shared" si="43"/>
        <v>Credit</v>
      </c>
      <c r="DE18" s="3">
        <v>16</v>
      </c>
      <c r="DF18" s="59"/>
      <c r="DG18" s="145">
        <v>9</v>
      </c>
      <c r="DH18" s="143">
        <v>10</v>
      </c>
      <c r="DI18" s="143">
        <v>1</v>
      </c>
      <c r="DJ18" s="143">
        <v>9</v>
      </c>
      <c r="DK18" s="59">
        <f t="shared" si="44"/>
        <v>29</v>
      </c>
      <c r="DL18" s="143">
        <v>27</v>
      </c>
      <c r="DM18" s="59">
        <f t="shared" si="45"/>
        <v>56</v>
      </c>
      <c r="DN18" s="59">
        <f t="shared" si="46"/>
        <v>38</v>
      </c>
      <c r="DO18" s="59" t="str">
        <f t="shared" si="47"/>
        <v>C</v>
      </c>
      <c r="DP18" s="59" t="str">
        <f t="shared" si="48"/>
        <v>Credit</v>
      </c>
      <c r="DQ18" s="3">
        <v>16</v>
      </c>
      <c r="DR18" s="157" t="s">
        <v>130</v>
      </c>
      <c r="DS18" s="145">
        <v>9</v>
      </c>
      <c r="DT18" s="143">
        <v>5</v>
      </c>
      <c r="DU18" s="143">
        <v>9</v>
      </c>
      <c r="DV18" s="143">
        <v>10</v>
      </c>
      <c r="DW18" s="102">
        <f t="shared" si="49"/>
        <v>33</v>
      </c>
      <c r="DX18" s="143">
        <v>30</v>
      </c>
      <c r="DY18" s="102">
        <f t="shared" si="50"/>
        <v>63</v>
      </c>
      <c r="DZ18" s="102">
        <f t="shared" si="51"/>
        <v>23</v>
      </c>
      <c r="EA18" s="102" t="str">
        <f t="shared" si="52"/>
        <v>C</v>
      </c>
      <c r="EB18" s="102" t="str">
        <f t="shared" si="53"/>
        <v>Credit</v>
      </c>
      <c r="EC18" s="3">
        <v>16</v>
      </c>
      <c r="ED18" s="75"/>
      <c r="EE18" s="145">
        <v>9</v>
      </c>
      <c r="EF18" s="143">
        <v>4</v>
      </c>
      <c r="EG18" s="143">
        <v>9</v>
      </c>
      <c r="EH18" s="143">
        <v>4</v>
      </c>
      <c r="EI18" s="75">
        <f t="shared" si="54"/>
        <v>26</v>
      </c>
      <c r="EJ18" s="143">
        <v>29</v>
      </c>
      <c r="EK18" s="75">
        <f t="shared" si="0"/>
        <v>55</v>
      </c>
      <c r="EL18" s="75">
        <f t="shared" si="55"/>
        <v>14</v>
      </c>
      <c r="EM18" s="75" t="str">
        <f t="shared" si="56"/>
        <v>C</v>
      </c>
      <c r="EN18" s="75" t="str">
        <f t="shared" si="57"/>
        <v>Credit</v>
      </c>
      <c r="EO18" s="3">
        <v>16</v>
      </c>
      <c r="EP18" s="157" t="s">
        <v>130</v>
      </c>
      <c r="EQ18" s="3">
        <v>7</v>
      </c>
      <c r="ER18" s="147">
        <v>2</v>
      </c>
      <c r="ES18" s="147">
        <v>8</v>
      </c>
      <c r="ET18" s="147">
        <v>9</v>
      </c>
      <c r="EU18" s="98">
        <f t="shared" si="58"/>
        <v>26</v>
      </c>
      <c r="EV18" s="147">
        <v>17</v>
      </c>
      <c r="EW18" s="98">
        <f t="shared" si="59"/>
        <v>43</v>
      </c>
      <c r="EX18" s="98">
        <f t="shared" si="60"/>
        <v>35</v>
      </c>
      <c r="EY18" s="98" t="str">
        <f t="shared" si="61"/>
        <v>F</v>
      </c>
      <c r="EZ18" s="98" t="str">
        <f t="shared" si="62"/>
        <v>Fail</v>
      </c>
      <c r="FA18" s="3">
        <v>16</v>
      </c>
      <c r="FB18" s="113"/>
      <c r="FC18" s="145">
        <v>10</v>
      </c>
      <c r="FD18" s="143">
        <v>8</v>
      </c>
      <c r="FE18" s="143">
        <v>7</v>
      </c>
      <c r="FF18" s="143">
        <v>10</v>
      </c>
      <c r="FG18" s="113">
        <f t="shared" si="63"/>
        <v>35</v>
      </c>
      <c r="FH18" s="143">
        <v>38</v>
      </c>
      <c r="FI18" s="113">
        <f t="shared" si="64"/>
        <v>73</v>
      </c>
      <c r="FJ18" s="113">
        <f t="shared" si="65"/>
        <v>19</v>
      </c>
      <c r="FK18" s="113" t="str">
        <f t="shared" si="66"/>
        <v>A</v>
      </c>
      <c r="FL18" s="113" t="str">
        <f t="shared" si="67"/>
        <v>Excellent</v>
      </c>
      <c r="FM18" s="3">
        <v>16</v>
      </c>
      <c r="FN18" s="53"/>
      <c r="FO18" s="145">
        <v>10</v>
      </c>
      <c r="FP18" s="143">
        <v>9</v>
      </c>
      <c r="FQ18" s="143">
        <v>8</v>
      </c>
      <c r="FR18" s="143">
        <v>5</v>
      </c>
      <c r="FS18" s="53">
        <f t="shared" si="68"/>
        <v>32</v>
      </c>
      <c r="FT18" s="143">
        <v>37</v>
      </c>
      <c r="FU18" s="53">
        <f t="shared" si="69"/>
        <v>69</v>
      </c>
      <c r="FV18" s="53">
        <f t="shared" si="70"/>
        <v>24</v>
      </c>
      <c r="FW18" s="53" t="str">
        <f t="shared" si="71"/>
        <v>C</v>
      </c>
      <c r="FX18" s="53" t="str">
        <f t="shared" si="72"/>
        <v>Credit</v>
      </c>
      <c r="FY18" s="3">
        <v>16</v>
      </c>
      <c r="FZ18" s="80"/>
      <c r="GA18" s="80"/>
      <c r="GB18" s="80"/>
      <c r="GC18" s="80"/>
      <c r="GD18" s="80"/>
      <c r="GE18" s="80">
        <f t="shared" si="73"/>
        <v>0</v>
      </c>
      <c r="GF18" s="80"/>
      <c r="GG18" s="80">
        <f t="shared" si="74"/>
        <v>0</v>
      </c>
      <c r="GH18" s="80" t="str">
        <f t="shared" si="75"/>
        <v/>
      </c>
      <c r="GI18" s="80" t="str">
        <f t="shared" si="76"/>
        <v/>
      </c>
      <c r="GJ18" s="80" t="str">
        <f t="shared" si="77"/>
        <v/>
      </c>
      <c r="GK18" s="3">
        <v>16</v>
      </c>
      <c r="GL18" s="157" t="s">
        <v>130</v>
      </c>
      <c r="GM18" s="145">
        <v>6</v>
      </c>
      <c r="GN18" s="143">
        <v>2</v>
      </c>
      <c r="GO18" s="143">
        <v>10</v>
      </c>
      <c r="GP18" s="143">
        <v>8</v>
      </c>
      <c r="GQ18" s="113">
        <f t="shared" si="78"/>
        <v>26</v>
      </c>
      <c r="GR18" s="143">
        <v>25</v>
      </c>
      <c r="GS18" s="113">
        <f t="shared" si="79"/>
        <v>51</v>
      </c>
      <c r="GT18" s="113">
        <f t="shared" si="80"/>
        <v>28</v>
      </c>
      <c r="GU18" s="113" t="str">
        <f t="shared" si="81"/>
        <v>C</v>
      </c>
      <c r="GV18" s="113" t="str">
        <f t="shared" si="82"/>
        <v>Credit</v>
      </c>
      <c r="GW18" s="3">
        <v>16</v>
      </c>
      <c r="GX18" s="107"/>
      <c r="GY18" s="145">
        <v>10</v>
      </c>
      <c r="GZ18" s="143">
        <v>8</v>
      </c>
      <c r="HA18" s="143">
        <v>5</v>
      </c>
      <c r="HB18" s="143">
        <v>5</v>
      </c>
      <c r="HC18" s="107">
        <f t="shared" si="83"/>
        <v>28</v>
      </c>
      <c r="HD18" s="143">
        <v>36</v>
      </c>
      <c r="HE18" s="107">
        <f t="shared" si="84"/>
        <v>64</v>
      </c>
      <c r="HF18" s="107">
        <f t="shared" si="85"/>
        <v>25</v>
      </c>
      <c r="HG18" s="107" t="str">
        <f t="shared" si="86"/>
        <v>C</v>
      </c>
      <c r="HH18" s="107" t="str">
        <f t="shared" si="87"/>
        <v>Credit</v>
      </c>
    </row>
    <row r="19" spans="1:216" ht="18.75">
      <c r="A19" s="186">
        <v>17</v>
      </c>
      <c r="B19" s="157" t="s">
        <v>131</v>
      </c>
      <c r="C19" s="130">
        <v>9</v>
      </c>
      <c r="D19" s="131">
        <v>4</v>
      </c>
      <c r="E19" s="131">
        <v>0</v>
      </c>
      <c r="F19" s="131">
        <v>8</v>
      </c>
      <c r="G19" s="53">
        <f t="shared" si="1"/>
        <v>21</v>
      </c>
      <c r="H19" s="131">
        <v>25</v>
      </c>
      <c r="I19" s="53">
        <f t="shared" si="2"/>
        <v>46</v>
      </c>
      <c r="J19" s="53">
        <f t="shared" si="3"/>
        <v>45</v>
      </c>
      <c r="K19" s="53" t="str">
        <f t="shared" si="4"/>
        <v>P</v>
      </c>
      <c r="L19" s="53" t="str">
        <f t="shared" si="5"/>
        <v>Pass</v>
      </c>
      <c r="M19" s="44">
        <v>17</v>
      </c>
      <c r="N19" s="59"/>
      <c r="O19" s="135">
        <v>3</v>
      </c>
      <c r="P19" s="136">
        <v>0</v>
      </c>
      <c r="Q19" s="136">
        <v>8</v>
      </c>
      <c r="R19" s="136">
        <v>10</v>
      </c>
      <c r="S19" s="59">
        <f t="shared" si="6"/>
        <v>21</v>
      </c>
      <c r="T19" s="136">
        <v>16</v>
      </c>
      <c r="U19" s="59">
        <f t="shared" si="7"/>
        <v>37</v>
      </c>
      <c r="V19" s="59">
        <f t="shared" si="8"/>
        <v>37</v>
      </c>
      <c r="W19" s="59" t="str">
        <f t="shared" si="9"/>
        <v>F</v>
      </c>
      <c r="X19" s="59" t="str">
        <f t="shared" si="10"/>
        <v>Fail</v>
      </c>
      <c r="Y19" s="3">
        <v>17</v>
      </c>
      <c r="Z19" s="80"/>
      <c r="AA19" s="135">
        <v>8</v>
      </c>
      <c r="AB19" s="136">
        <v>5</v>
      </c>
      <c r="AC19" s="136">
        <v>8</v>
      </c>
      <c r="AD19" s="136">
        <v>5</v>
      </c>
      <c r="AE19" s="80">
        <f t="shared" si="88"/>
        <v>26</v>
      </c>
      <c r="AF19" s="136">
        <v>19</v>
      </c>
      <c r="AG19" s="80">
        <f t="shared" si="11"/>
        <v>45</v>
      </c>
      <c r="AH19" s="80">
        <f t="shared" si="12"/>
        <v>45</v>
      </c>
      <c r="AI19" s="80" t="str">
        <f t="shared" si="13"/>
        <v>P</v>
      </c>
      <c r="AJ19" s="80" t="str">
        <f t="shared" si="14"/>
        <v>Pass</v>
      </c>
      <c r="AK19" s="3">
        <v>17</v>
      </c>
      <c r="AL19" s="157" t="s">
        <v>131</v>
      </c>
      <c r="AM19" s="135"/>
      <c r="AN19" s="136"/>
      <c r="AO19" s="136"/>
      <c r="AP19" s="136"/>
      <c r="AQ19" s="47">
        <f t="shared" si="15"/>
        <v>0</v>
      </c>
      <c r="AR19" s="136"/>
      <c r="AS19" s="47">
        <f t="shared" si="16"/>
        <v>0</v>
      </c>
      <c r="AT19" s="47" t="str">
        <f t="shared" si="17"/>
        <v/>
      </c>
      <c r="AU19" s="47" t="str">
        <f t="shared" si="18"/>
        <v/>
      </c>
      <c r="AV19" s="47" t="str">
        <f t="shared" si="19"/>
        <v/>
      </c>
      <c r="AW19" s="3">
        <v>17</v>
      </c>
      <c r="AX19" s="157" t="s">
        <v>131</v>
      </c>
      <c r="AY19" s="130">
        <v>9</v>
      </c>
      <c r="AZ19" s="131">
        <v>3</v>
      </c>
      <c r="BA19" s="131">
        <v>4</v>
      </c>
      <c r="BB19" s="131">
        <v>8</v>
      </c>
      <c r="BC19" s="85">
        <f t="shared" si="20"/>
        <v>24</v>
      </c>
      <c r="BD19" s="131">
        <v>30</v>
      </c>
      <c r="BE19" s="85">
        <f t="shared" si="21"/>
        <v>54</v>
      </c>
      <c r="BF19" s="85">
        <f t="shared" si="22"/>
        <v>43</v>
      </c>
      <c r="BG19" s="85" t="str">
        <f t="shared" si="23"/>
        <v>C</v>
      </c>
      <c r="BH19" s="85" t="str">
        <f t="shared" si="24"/>
        <v>Credit</v>
      </c>
      <c r="BI19" s="3">
        <v>17</v>
      </c>
      <c r="BJ19" s="90"/>
      <c r="BK19" s="167">
        <v>4</v>
      </c>
      <c r="BL19" s="168">
        <v>7</v>
      </c>
      <c r="BM19" s="168">
        <v>2</v>
      </c>
      <c r="BN19" s="168">
        <v>9</v>
      </c>
      <c r="BO19" s="90">
        <f t="shared" si="25"/>
        <v>22</v>
      </c>
      <c r="BP19" s="173">
        <v>17</v>
      </c>
      <c r="BQ19" s="90">
        <f t="shared" si="26"/>
        <v>39</v>
      </c>
      <c r="BR19" s="90">
        <f t="shared" si="27"/>
        <v>37</v>
      </c>
      <c r="BS19" s="90" t="str">
        <f t="shared" si="28"/>
        <v>F</v>
      </c>
      <c r="BT19" s="90" t="str">
        <f t="shared" si="29"/>
        <v>Fail</v>
      </c>
      <c r="BU19" s="3">
        <v>17</v>
      </c>
      <c r="BV19" s="157" t="s">
        <v>131</v>
      </c>
      <c r="BW19" s="145">
        <v>6</v>
      </c>
      <c r="BX19" s="143">
        <v>3</v>
      </c>
      <c r="BY19" s="143">
        <v>7</v>
      </c>
      <c r="BZ19" s="143">
        <v>8</v>
      </c>
      <c r="CA19" s="94">
        <f t="shared" si="30"/>
        <v>24</v>
      </c>
      <c r="CB19" s="143">
        <v>36</v>
      </c>
      <c r="CC19" s="94">
        <f t="shared" si="31"/>
        <v>60</v>
      </c>
      <c r="CD19" s="94">
        <f t="shared" si="32"/>
        <v>21</v>
      </c>
      <c r="CE19" s="94" t="str">
        <f t="shared" si="33"/>
        <v>C</v>
      </c>
      <c r="CF19" s="94" t="str">
        <f t="shared" si="34"/>
        <v>Credit</v>
      </c>
      <c r="CG19" s="3">
        <v>17</v>
      </c>
      <c r="CH19" s="157" t="s">
        <v>131</v>
      </c>
      <c r="CI19" s="145">
        <v>5</v>
      </c>
      <c r="CJ19" s="143">
        <v>10</v>
      </c>
      <c r="CK19" s="143">
        <v>10</v>
      </c>
      <c r="CL19" s="143">
        <v>8</v>
      </c>
      <c r="CM19" s="66">
        <v>13</v>
      </c>
      <c r="CN19" s="143"/>
      <c r="CO19" s="66">
        <f t="shared" si="89"/>
        <v>13</v>
      </c>
      <c r="CP19" s="66">
        <f t="shared" si="36"/>
        <v>47</v>
      </c>
      <c r="CQ19" s="66" t="str">
        <f t="shared" si="37"/>
        <v>F</v>
      </c>
      <c r="CR19" s="66" t="str">
        <f t="shared" si="38"/>
        <v>Fail</v>
      </c>
      <c r="CS19" s="3">
        <v>17</v>
      </c>
      <c r="CT19" s="157" t="s">
        <v>131</v>
      </c>
      <c r="CU19" s="148">
        <v>6</v>
      </c>
      <c r="CV19" s="149">
        <v>6</v>
      </c>
      <c r="CW19" s="149">
        <v>8</v>
      </c>
      <c r="CX19" s="149">
        <v>10</v>
      </c>
      <c r="CY19" s="70">
        <f t="shared" si="39"/>
        <v>30</v>
      </c>
      <c r="CZ19" s="149">
        <v>17</v>
      </c>
      <c r="DA19" s="70">
        <f t="shared" si="40"/>
        <v>47</v>
      </c>
      <c r="DB19" s="70">
        <f t="shared" si="41"/>
        <v>45</v>
      </c>
      <c r="DC19" s="70" t="str">
        <f t="shared" si="42"/>
        <v>P</v>
      </c>
      <c r="DD19" s="70" t="str">
        <f t="shared" si="43"/>
        <v>Pass</v>
      </c>
      <c r="DE19" s="3">
        <v>17</v>
      </c>
      <c r="DF19" s="59"/>
      <c r="DG19" s="145">
        <v>9</v>
      </c>
      <c r="DH19" s="143">
        <v>4</v>
      </c>
      <c r="DI19" s="143">
        <v>1</v>
      </c>
      <c r="DJ19" s="143">
        <v>7</v>
      </c>
      <c r="DK19" s="59">
        <f t="shared" si="44"/>
        <v>21</v>
      </c>
      <c r="DL19" s="143">
        <v>29</v>
      </c>
      <c r="DM19" s="59">
        <f t="shared" si="45"/>
        <v>50</v>
      </c>
      <c r="DN19" s="59">
        <f t="shared" si="46"/>
        <v>45</v>
      </c>
      <c r="DO19" s="59" t="str">
        <f t="shared" si="47"/>
        <v>C</v>
      </c>
      <c r="DP19" s="59" t="str">
        <f t="shared" si="48"/>
        <v>Credit</v>
      </c>
      <c r="DQ19" s="3">
        <v>17</v>
      </c>
      <c r="DR19" s="157" t="s">
        <v>131</v>
      </c>
      <c r="DS19" s="145">
        <v>8</v>
      </c>
      <c r="DT19" s="143">
        <v>6</v>
      </c>
      <c r="DU19" s="143">
        <v>9</v>
      </c>
      <c r="DV19" s="143">
        <v>10</v>
      </c>
      <c r="DW19" s="102">
        <f t="shared" si="49"/>
        <v>33</v>
      </c>
      <c r="DX19" s="143">
        <v>20</v>
      </c>
      <c r="DY19" s="102">
        <f t="shared" si="50"/>
        <v>53</v>
      </c>
      <c r="DZ19" s="102">
        <f t="shared" si="51"/>
        <v>38</v>
      </c>
      <c r="EA19" s="102" t="str">
        <f t="shared" si="52"/>
        <v>C</v>
      </c>
      <c r="EB19" s="102" t="str">
        <f t="shared" si="53"/>
        <v>Credit</v>
      </c>
      <c r="EC19" s="3">
        <v>17</v>
      </c>
      <c r="ED19" s="75"/>
      <c r="EE19" s="145">
        <v>9</v>
      </c>
      <c r="EF19" s="143">
        <v>1</v>
      </c>
      <c r="EG19" s="143">
        <v>9</v>
      </c>
      <c r="EH19" s="143">
        <v>2</v>
      </c>
      <c r="EI19" s="75">
        <f t="shared" si="54"/>
        <v>21</v>
      </c>
      <c r="EJ19" s="143">
        <v>23</v>
      </c>
      <c r="EK19" s="75">
        <f t="shared" si="0"/>
        <v>44</v>
      </c>
      <c r="EL19" s="75">
        <f t="shared" si="55"/>
        <v>38</v>
      </c>
      <c r="EM19" s="75" t="str">
        <f t="shared" si="56"/>
        <v>F</v>
      </c>
      <c r="EN19" s="75" t="str">
        <f t="shared" si="57"/>
        <v>Fail</v>
      </c>
      <c r="EO19" s="3">
        <v>17</v>
      </c>
      <c r="EP19" s="157" t="s">
        <v>131</v>
      </c>
      <c r="EQ19" s="3">
        <v>10</v>
      </c>
      <c r="ER19" s="147">
        <v>6</v>
      </c>
      <c r="ES19" s="147">
        <v>1</v>
      </c>
      <c r="ET19" s="147">
        <v>1</v>
      </c>
      <c r="EU19" s="98">
        <f t="shared" si="58"/>
        <v>18</v>
      </c>
      <c r="EV19" s="147">
        <v>14</v>
      </c>
      <c r="EW19" s="98">
        <f t="shared" si="59"/>
        <v>32</v>
      </c>
      <c r="EX19" s="98">
        <f t="shared" si="60"/>
        <v>42</v>
      </c>
      <c r="EY19" s="98" t="str">
        <f t="shared" si="61"/>
        <v>F</v>
      </c>
      <c r="EZ19" s="98" t="str">
        <f t="shared" si="62"/>
        <v>Fail</v>
      </c>
      <c r="FA19" s="3">
        <v>17</v>
      </c>
      <c r="FB19" s="113"/>
      <c r="FC19" s="145">
        <v>9</v>
      </c>
      <c r="FD19" s="143">
        <v>6</v>
      </c>
      <c r="FE19" s="143">
        <v>9</v>
      </c>
      <c r="FF19" s="143">
        <v>9</v>
      </c>
      <c r="FG19" s="113">
        <f t="shared" si="63"/>
        <v>33</v>
      </c>
      <c r="FH19" s="143">
        <v>29</v>
      </c>
      <c r="FI19" s="113">
        <f t="shared" si="64"/>
        <v>62</v>
      </c>
      <c r="FJ19" s="113">
        <f t="shared" si="65"/>
        <v>41</v>
      </c>
      <c r="FK19" s="113" t="str">
        <f t="shared" si="66"/>
        <v>C</v>
      </c>
      <c r="FL19" s="113" t="str">
        <f t="shared" si="67"/>
        <v>Credit</v>
      </c>
      <c r="FM19" s="3">
        <v>17</v>
      </c>
      <c r="FN19" s="53"/>
      <c r="FO19" s="145">
        <v>9</v>
      </c>
      <c r="FP19" s="143">
        <v>5</v>
      </c>
      <c r="FQ19" s="143">
        <v>10</v>
      </c>
      <c r="FR19" s="143">
        <v>1</v>
      </c>
      <c r="FS19" s="53">
        <f t="shared" si="68"/>
        <v>25</v>
      </c>
      <c r="FT19" s="143">
        <v>30</v>
      </c>
      <c r="FU19" s="53">
        <f t="shared" si="69"/>
        <v>55</v>
      </c>
      <c r="FV19" s="53">
        <f t="shared" si="70"/>
        <v>44</v>
      </c>
      <c r="FW19" s="53" t="str">
        <f t="shared" si="71"/>
        <v>C</v>
      </c>
      <c r="FX19" s="53" t="str">
        <f t="shared" si="72"/>
        <v>Credit</v>
      </c>
      <c r="FY19" s="3">
        <v>17</v>
      </c>
      <c r="FZ19" s="80"/>
      <c r="GA19" s="80"/>
      <c r="GB19" s="80"/>
      <c r="GC19" s="80"/>
      <c r="GD19" s="80"/>
      <c r="GE19" s="80">
        <f t="shared" si="73"/>
        <v>0</v>
      </c>
      <c r="GF19" s="80"/>
      <c r="GG19" s="80">
        <f t="shared" si="74"/>
        <v>0</v>
      </c>
      <c r="GH19" s="80" t="str">
        <f t="shared" si="75"/>
        <v/>
      </c>
      <c r="GI19" s="80" t="str">
        <f t="shared" si="76"/>
        <v/>
      </c>
      <c r="GJ19" s="80" t="str">
        <f t="shared" si="77"/>
        <v/>
      </c>
      <c r="GK19" s="3">
        <v>17</v>
      </c>
      <c r="GL19" s="157" t="s">
        <v>131</v>
      </c>
      <c r="GM19" s="145">
        <v>9</v>
      </c>
      <c r="GN19" s="143">
        <v>0</v>
      </c>
      <c r="GO19" s="143">
        <v>5</v>
      </c>
      <c r="GP19" s="143">
        <v>7</v>
      </c>
      <c r="GQ19" s="113">
        <f t="shared" si="78"/>
        <v>21</v>
      </c>
      <c r="GR19" s="143">
        <v>22</v>
      </c>
      <c r="GS19" s="113">
        <f t="shared" si="79"/>
        <v>43</v>
      </c>
      <c r="GT19" s="113">
        <f t="shared" si="80"/>
        <v>40</v>
      </c>
      <c r="GU19" s="113" t="str">
        <f t="shared" si="81"/>
        <v>F</v>
      </c>
      <c r="GV19" s="113" t="str">
        <f t="shared" si="82"/>
        <v>Fail</v>
      </c>
      <c r="GW19" s="3">
        <v>17</v>
      </c>
      <c r="GX19" s="107"/>
      <c r="GY19" s="145">
        <v>10</v>
      </c>
      <c r="GZ19" s="143">
        <v>4</v>
      </c>
      <c r="HA19" s="143">
        <v>5</v>
      </c>
      <c r="HB19" s="143">
        <v>5</v>
      </c>
      <c r="HC19" s="107">
        <f t="shared" si="83"/>
        <v>24</v>
      </c>
      <c r="HD19" s="143">
        <v>44</v>
      </c>
      <c r="HE19" s="107">
        <f t="shared" si="84"/>
        <v>68</v>
      </c>
      <c r="HF19" s="107">
        <f t="shared" si="85"/>
        <v>20</v>
      </c>
      <c r="HG19" s="107" t="str">
        <f t="shared" si="86"/>
        <v>C</v>
      </c>
      <c r="HH19" s="107" t="str">
        <f t="shared" si="87"/>
        <v>Credit</v>
      </c>
    </row>
    <row r="20" spans="1:216" ht="18.75">
      <c r="A20" s="185">
        <v>18</v>
      </c>
      <c r="B20" s="157" t="s">
        <v>132</v>
      </c>
      <c r="C20" s="130">
        <v>7</v>
      </c>
      <c r="D20" s="131">
        <v>8</v>
      </c>
      <c r="E20" s="131">
        <v>7</v>
      </c>
      <c r="F20" s="131">
        <v>10</v>
      </c>
      <c r="G20" s="53">
        <f t="shared" si="1"/>
        <v>32</v>
      </c>
      <c r="H20" s="131">
        <v>39</v>
      </c>
      <c r="I20" s="53">
        <f t="shared" si="2"/>
        <v>71</v>
      </c>
      <c r="J20" s="53">
        <f t="shared" si="3"/>
        <v>9</v>
      </c>
      <c r="K20" s="53" t="str">
        <f t="shared" si="4"/>
        <v>A</v>
      </c>
      <c r="L20" s="53" t="str">
        <f t="shared" si="5"/>
        <v>Excellent</v>
      </c>
      <c r="M20" s="44">
        <v>18</v>
      </c>
      <c r="N20" s="59"/>
      <c r="O20" s="135">
        <v>4</v>
      </c>
      <c r="P20" s="136">
        <v>3</v>
      </c>
      <c r="Q20" s="136">
        <v>5</v>
      </c>
      <c r="R20" s="136">
        <v>10</v>
      </c>
      <c r="S20" s="59">
        <f t="shared" si="6"/>
        <v>22</v>
      </c>
      <c r="T20" s="136">
        <v>19</v>
      </c>
      <c r="U20" s="59">
        <f t="shared" si="7"/>
        <v>41</v>
      </c>
      <c r="V20" s="59">
        <f t="shared" si="8"/>
        <v>28</v>
      </c>
      <c r="W20" s="59" t="str">
        <f t="shared" si="9"/>
        <v>F</v>
      </c>
      <c r="X20" s="59" t="str">
        <f t="shared" si="10"/>
        <v>Fail</v>
      </c>
      <c r="Y20" s="3">
        <v>18</v>
      </c>
      <c r="Z20" s="80"/>
      <c r="AA20" s="135">
        <v>7</v>
      </c>
      <c r="AB20" s="136">
        <v>6</v>
      </c>
      <c r="AC20" s="136">
        <v>3</v>
      </c>
      <c r="AD20" s="136">
        <v>8</v>
      </c>
      <c r="AE20" s="80">
        <f t="shared" si="88"/>
        <v>24</v>
      </c>
      <c r="AF20" s="136">
        <v>38</v>
      </c>
      <c r="AG20" s="80">
        <f t="shared" si="11"/>
        <v>62</v>
      </c>
      <c r="AH20" s="80">
        <f t="shared" si="12"/>
        <v>24</v>
      </c>
      <c r="AI20" s="80" t="str">
        <f t="shared" si="13"/>
        <v>C</v>
      </c>
      <c r="AJ20" s="80" t="str">
        <f t="shared" si="14"/>
        <v>Credit</v>
      </c>
      <c r="AK20" s="3">
        <v>18</v>
      </c>
      <c r="AL20" s="157" t="s">
        <v>132</v>
      </c>
      <c r="AM20" s="135">
        <v>9</v>
      </c>
      <c r="AN20" s="136">
        <v>8</v>
      </c>
      <c r="AO20" s="136">
        <v>10</v>
      </c>
      <c r="AP20" s="136">
        <v>10</v>
      </c>
      <c r="AQ20" s="47">
        <f t="shared" si="15"/>
        <v>37</v>
      </c>
      <c r="AR20" s="136">
        <v>35</v>
      </c>
      <c r="AS20" s="47">
        <f t="shared" si="16"/>
        <v>72</v>
      </c>
      <c r="AT20" s="47">
        <f t="shared" si="17"/>
        <v>4</v>
      </c>
      <c r="AU20" s="47" t="str">
        <f t="shared" si="18"/>
        <v>A</v>
      </c>
      <c r="AV20" s="47" t="str">
        <f t="shared" si="19"/>
        <v>Excellent</v>
      </c>
      <c r="AW20" s="3">
        <v>18</v>
      </c>
      <c r="AX20" s="157" t="s">
        <v>132</v>
      </c>
      <c r="AY20" s="130">
        <v>10</v>
      </c>
      <c r="AZ20" s="131">
        <v>10</v>
      </c>
      <c r="BA20" s="131">
        <v>8</v>
      </c>
      <c r="BB20" s="131">
        <v>8</v>
      </c>
      <c r="BC20" s="85">
        <f t="shared" si="20"/>
        <v>36</v>
      </c>
      <c r="BD20" s="131">
        <v>44</v>
      </c>
      <c r="BE20" s="85">
        <f t="shared" si="21"/>
        <v>80</v>
      </c>
      <c r="BF20" s="85">
        <f t="shared" si="22"/>
        <v>7</v>
      </c>
      <c r="BG20" s="85" t="str">
        <f t="shared" si="23"/>
        <v>A</v>
      </c>
      <c r="BH20" s="85" t="str">
        <f t="shared" si="24"/>
        <v>Excellent</v>
      </c>
      <c r="BI20" s="3">
        <v>18</v>
      </c>
      <c r="BJ20" s="90"/>
      <c r="BK20" s="167">
        <v>5</v>
      </c>
      <c r="BL20" s="168">
        <v>8</v>
      </c>
      <c r="BM20" s="168">
        <v>2</v>
      </c>
      <c r="BN20" s="168">
        <v>5</v>
      </c>
      <c r="BO20" s="90">
        <f t="shared" si="25"/>
        <v>20</v>
      </c>
      <c r="BP20" s="173">
        <v>28</v>
      </c>
      <c r="BQ20" s="90">
        <f t="shared" si="26"/>
        <v>48</v>
      </c>
      <c r="BR20" s="90">
        <f t="shared" si="27"/>
        <v>23</v>
      </c>
      <c r="BS20" s="90" t="str">
        <f t="shared" si="28"/>
        <v>P</v>
      </c>
      <c r="BT20" s="90" t="str">
        <f t="shared" si="29"/>
        <v>Pass</v>
      </c>
      <c r="BU20" s="3">
        <v>18</v>
      </c>
      <c r="BV20" s="157" t="s">
        <v>132</v>
      </c>
      <c r="BW20" s="145">
        <v>9</v>
      </c>
      <c r="BX20" s="143">
        <v>5</v>
      </c>
      <c r="BY20" s="143">
        <v>9</v>
      </c>
      <c r="BZ20" s="143">
        <v>9</v>
      </c>
      <c r="CA20" s="94">
        <f t="shared" si="30"/>
        <v>32</v>
      </c>
      <c r="CB20" s="143">
        <v>26</v>
      </c>
      <c r="CC20" s="94">
        <f t="shared" si="31"/>
        <v>58</v>
      </c>
      <c r="CD20" s="94">
        <f t="shared" si="32"/>
        <v>27</v>
      </c>
      <c r="CE20" s="94" t="str">
        <f t="shared" si="33"/>
        <v>C</v>
      </c>
      <c r="CF20" s="94" t="str">
        <f t="shared" si="34"/>
        <v>Credit</v>
      </c>
      <c r="CG20" s="3">
        <v>18</v>
      </c>
      <c r="CH20" s="157" t="s">
        <v>132</v>
      </c>
      <c r="CI20" s="145">
        <v>8</v>
      </c>
      <c r="CJ20" s="143">
        <v>10</v>
      </c>
      <c r="CK20" s="143">
        <v>8</v>
      </c>
      <c r="CL20" s="143">
        <v>8</v>
      </c>
      <c r="CM20" s="66">
        <f t="shared" si="35"/>
        <v>34</v>
      </c>
      <c r="CN20" s="143">
        <v>37</v>
      </c>
      <c r="CO20" s="66">
        <f t="shared" si="89"/>
        <v>71</v>
      </c>
      <c r="CP20" s="66">
        <f t="shared" si="36"/>
        <v>13</v>
      </c>
      <c r="CQ20" s="66" t="str">
        <f t="shared" si="37"/>
        <v>A</v>
      </c>
      <c r="CR20" s="66" t="str">
        <f t="shared" si="38"/>
        <v>Excellent</v>
      </c>
      <c r="CS20" s="3">
        <v>18</v>
      </c>
      <c r="CT20" s="157" t="s">
        <v>132</v>
      </c>
      <c r="CU20" s="148">
        <v>4</v>
      </c>
      <c r="CV20" s="149">
        <v>9</v>
      </c>
      <c r="CW20" s="149">
        <v>8</v>
      </c>
      <c r="CX20" s="149">
        <v>10</v>
      </c>
      <c r="CY20" s="70">
        <f t="shared" si="39"/>
        <v>31</v>
      </c>
      <c r="CZ20" s="149">
        <v>37</v>
      </c>
      <c r="DA20" s="70">
        <f t="shared" si="40"/>
        <v>68</v>
      </c>
      <c r="DB20" s="70">
        <f t="shared" si="41"/>
        <v>15</v>
      </c>
      <c r="DC20" s="70" t="str">
        <f t="shared" si="42"/>
        <v>C</v>
      </c>
      <c r="DD20" s="70" t="str">
        <f t="shared" si="43"/>
        <v>Credit</v>
      </c>
      <c r="DE20" s="3">
        <v>18</v>
      </c>
      <c r="DF20" s="59"/>
      <c r="DG20" s="145">
        <v>10</v>
      </c>
      <c r="DH20" s="143">
        <v>8</v>
      </c>
      <c r="DI20" s="143">
        <v>1</v>
      </c>
      <c r="DJ20" s="143">
        <v>9</v>
      </c>
      <c r="DK20" s="59">
        <f t="shared" si="44"/>
        <v>28</v>
      </c>
      <c r="DL20" s="143">
        <v>45</v>
      </c>
      <c r="DM20" s="59">
        <f t="shared" si="45"/>
        <v>73</v>
      </c>
      <c r="DN20" s="59">
        <f t="shared" si="46"/>
        <v>15</v>
      </c>
      <c r="DO20" s="59" t="str">
        <f t="shared" si="47"/>
        <v>A</v>
      </c>
      <c r="DP20" s="59" t="str">
        <f t="shared" si="48"/>
        <v>Excellent</v>
      </c>
      <c r="DQ20" s="3">
        <v>18</v>
      </c>
      <c r="DR20" s="157" t="s">
        <v>132</v>
      </c>
      <c r="DS20" s="145">
        <v>8</v>
      </c>
      <c r="DT20" s="143">
        <v>8</v>
      </c>
      <c r="DU20" s="143">
        <v>9</v>
      </c>
      <c r="DV20" s="143">
        <v>8</v>
      </c>
      <c r="DW20" s="102">
        <f t="shared" si="49"/>
        <v>33</v>
      </c>
      <c r="DX20" s="143">
        <v>37</v>
      </c>
      <c r="DY20" s="102">
        <f t="shared" si="50"/>
        <v>70</v>
      </c>
      <c r="DZ20" s="102">
        <f t="shared" si="51"/>
        <v>9</v>
      </c>
      <c r="EA20" s="102" t="str">
        <f t="shared" si="52"/>
        <v>A</v>
      </c>
      <c r="EB20" s="102" t="str">
        <f t="shared" si="53"/>
        <v>Excellent</v>
      </c>
      <c r="EC20" s="3">
        <v>18</v>
      </c>
      <c r="ED20" s="75"/>
      <c r="EE20" s="145">
        <v>9</v>
      </c>
      <c r="EF20" s="143">
        <v>5</v>
      </c>
      <c r="EG20" s="143">
        <v>9</v>
      </c>
      <c r="EH20" s="143">
        <v>2</v>
      </c>
      <c r="EI20" s="75">
        <f t="shared" si="54"/>
        <v>25</v>
      </c>
      <c r="EJ20" s="143">
        <v>22</v>
      </c>
      <c r="EK20" s="75">
        <f t="shared" si="0"/>
        <v>47</v>
      </c>
      <c r="EL20" s="75">
        <f t="shared" si="55"/>
        <v>30</v>
      </c>
      <c r="EM20" s="75" t="str">
        <f t="shared" si="56"/>
        <v>P</v>
      </c>
      <c r="EN20" s="75" t="str">
        <f t="shared" si="57"/>
        <v>Pass</v>
      </c>
      <c r="EO20" s="3">
        <v>18</v>
      </c>
      <c r="EP20" s="157" t="s">
        <v>132</v>
      </c>
      <c r="EQ20" s="3">
        <v>5</v>
      </c>
      <c r="ER20" s="147">
        <v>4</v>
      </c>
      <c r="ES20" s="147">
        <v>10</v>
      </c>
      <c r="ET20" s="147">
        <v>10</v>
      </c>
      <c r="EU20" s="98">
        <f t="shared" si="58"/>
        <v>29</v>
      </c>
      <c r="EV20" s="147">
        <v>16</v>
      </c>
      <c r="EW20" s="98">
        <f t="shared" si="59"/>
        <v>45</v>
      </c>
      <c r="EX20" s="98">
        <f t="shared" si="60"/>
        <v>25</v>
      </c>
      <c r="EY20" s="98" t="str">
        <f t="shared" si="61"/>
        <v>P</v>
      </c>
      <c r="EZ20" s="98" t="str">
        <f t="shared" si="62"/>
        <v>Pass</v>
      </c>
      <c r="FA20" s="3">
        <v>18</v>
      </c>
      <c r="FB20" s="113"/>
      <c r="FC20" s="145">
        <v>10</v>
      </c>
      <c r="FD20" s="143">
        <v>10</v>
      </c>
      <c r="FE20" s="143">
        <v>8</v>
      </c>
      <c r="FF20" s="143">
        <v>9</v>
      </c>
      <c r="FG20" s="113">
        <f t="shared" si="63"/>
        <v>37</v>
      </c>
      <c r="FH20" s="143">
        <v>40</v>
      </c>
      <c r="FI20" s="113">
        <f t="shared" si="64"/>
        <v>77</v>
      </c>
      <c r="FJ20" s="113">
        <f t="shared" si="65"/>
        <v>12</v>
      </c>
      <c r="FK20" s="113" t="str">
        <f t="shared" si="66"/>
        <v>A</v>
      </c>
      <c r="FL20" s="113" t="str">
        <f t="shared" si="67"/>
        <v>Excellent</v>
      </c>
      <c r="FM20" s="3">
        <v>18</v>
      </c>
      <c r="FN20" s="53"/>
      <c r="FO20" s="145">
        <v>10</v>
      </c>
      <c r="FP20" s="143">
        <v>10</v>
      </c>
      <c r="FQ20" s="143">
        <v>10</v>
      </c>
      <c r="FR20" s="143">
        <v>1</v>
      </c>
      <c r="FS20" s="53">
        <f t="shared" si="68"/>
        <v>31</v>
      </c>
      <c r="FT20" s="143">
        <v>46</v>
      </c>
      <c r="FU20" s="53">
        <f t="shared" si="69"/>
        <v>77</v>
      </c>
      <c r="FV20" s="53">
        <f t="shared" si="70"/>
        <v>9</v>
      </c>
      <c r="FW20" s="53" t="str">
        <f t="shared" si="71"/>
        <v>A</v>
      </c>
      <c r="FX20" s="53" t="str">
        <f t="shared" si="72"/>
        <v>Excellent</v>
      </c>
      <c r="FY20" s="3">
        <v>18</v>
      </c>
      <c r="FZ20" s="80"/>
      <c r="GA20" s="80"/>
      <c r="GB20" s="80"/>
      <c r="GC20" s="80"/>
      <c r="GD20" s="80"/>
      <c r="GE20" s="80">
        <f t="shared" si="73"/>
        <v>0</v>
      </c>
      <c r="GF20" s="80"/>
      <c r="GG20" s="80">
        <f t="shared" si="74"/>
        <v>0</v>
      </c>
      <c r="GH20" s="80" t="str">
        <f t="shared" si="75"/>
        <v/>
      </c>
      <c r="GI20" s="80" t="str">
        <f t="shared" si="76"/>
        <v/>
      </c>
      <c r="GJ20" s="80" t="str">
        <f t="shared" si="77"/>
        <v/>
      </c>
      <c r="GK20" s="3">
        <v>18</v>
      </c>
      <c r="GL20" s="157" t="s">
        <v>132</v>
      </c>
      <c r="GM20" s="145">
        <v>8</v>
      </c>
      <c r="GN20" s="143">
        <v>8</v>
      </c>
      <c r="GO20" s="143">
        <v>6</v>
      </c>
      <c r="GP20" s="143">
        <v>10</v>
      </c>
      <c r="GQ20" s="113">
        <f t="shared" si="78"/>
        <v>32</v>
      </c>
      <c r="GR20" s="143">
        <v>30</v>
      </c>
      <c r="GS20" s="113">
        <f t="shared" si="79"/>
        <v>62</v>
      </c>
      <c r="GT20" s="113">
        <f t="shared" si="80"/>
        <v>14</v>
      </c>
      <c r="GU20" s="113" t="str">
        <f t="shared" si="81"/>
        <v>C</v>
      </c>
      <c r="GV20" s="113" t="str">
        <f t="shared" si="82"/>
        <v>Credit</v>
      </c>
      <c r="GW20" s="3">
        <v>18</v>
      </c>
      <c r="GX20" s="107"/>
      <c r="GY20" s="145"/>
      <c r="GZ20" s="143"/>
      <c r="HA20" s="143"/>
      <c r="HB20" s="143"/>
      <c r="HC20" s="107">
        <f t="shared" si="83"/>
        <v>0</v>
      </c>
      <c r="HD20" s="143"/>
      <c r="HE20" s="107">
        <f t="shared" si="84"/>
        <v>0</v>
      </c>
      <c r="HF20" s="107" t="str">
        <f t="shared" si="85"/>
        <v/>
      </c>
      <c r="HG20" s="107" t="str">
        <f t="shared" si="86"/>
        <v/>
      </c>
      <c r="HH20" s="107" t="str">
        <f t="shared" si="87"/>
        <v/>
      </c>
    </row>
    <row r="21" spans="1:216" ht="18.75">
      <c r="A21" s="186">
        <v>19</v>
      </c>
      <c r="B21" s="157" t="s">
        <v>133</v>
      </c>
      <c r="C21" s="130">
        <v>6</v>
      </c>
      <c r="D21" s="131">
        <v>9</v>
      </c>
      <c r="E21" s="131">
        <v>9</v>
      </c>
      <c r="F21" s="131">
        <v>9</v>
      </c>
      <c r="G21" s="53">
        <f t="shared" si="1"/>
        <v>33</v>
      </c>
      <c r="H21" s="131">
        <v>28</v>
      </c>
      <c r="I21" s="53">
        <f t="shared" si="2"/>
        <v>61</v>
      </c>
      <c r="J21" s="53">
        <f t="shared" si="3"/>
        <v>27</v>
      </c>
      <c r="K21" s="53" t="str">
        <f t="shared" si="4"/>
        <v>C</v>
      </c>
      <c r="L21" s="53" t="str">
        <f t="shared" si="5"/>
        <v>Credit</v>
      </c>
      <c r="M21" s="44">
        <v>19</v>
      </c>
      <c r="N21" s="59"/>
      <c r="O21" s="135">
        <v>2</v>
      </c>
      <c r="P21" s="136">
        <v>0</v>
      </c>
      <c r="Q21" s="136">
        <v>9</v>
      </c>
      <c r="R21" s="136">
        <v>10</v>
      </c>
      <c r="S21" s="59">
        <f t="shared" si="6"/>
        <v>21</v>
      </c>
      <c r="T21" s="136">
        <v>20</v>
      </c>
      <c r="U21" s="59">
        <f t="shared" si="7"/>
        <v>41</v>
      </c>
      <c r="V21" s="59">
        <f t="shared" si="8"/>
        <v>28</v>
      </c>
      <c r="W21" s="59" t="str">
        <f t="shared" si="9"/>
        <v>F</v>
      </c>
      <c r="X21" s="59" t="str">
        <f t="shared" si="10"/>
        <v>Fail</v>
      </c>
      <c r="Y21" s="3">
        <v>19</v>
      </c>
      <c r="Z21" s="80"/>
      <c r="AA21" s="135">
        <v>8</v>
      </c>
      <c r="AB21" s="136">
        <v>9</v>
      </c>
      <c r="AC21" s="136">
        <v>3</v>
      </c>
      <c r="AD21" s="136">
        <v>8</v>
      </c>
      <c r="AE21" s="80">
        <f t="shared" si="88"/>
        <v>28</v>
      </c>
      <c r="AF21" s="136">
        <v>33</v>
      </c>
      <c r="AG21" s="80">
        <f t="shared" si="11"/>
        <v>61</v>
      </c>
      <c r="AH21" s="80">
        <f t="shared" si="12"/>
        <v>25</v>
      </c>
      <c r="AI21" s="80" t="str">
        <f t="shared" si="13"/>
        <v>C</v>
      </c>
      <c r="AJ21" s="80" t="str">
        <f t="shared" si="14"/>
        <v>Credit</v>
      </c>
      <c r="AK21" s="3">
        <v>19</v>
      </c>
      <c r="AL21" s="157" t="s">
        <v>133</v>
      </c>
      <c r="AM21" s="135"/>
      <c r="AN21" s="136"/>
      <c r="AO21" s="136"/>
      <c r="AP21" s="136"/>
      <c r="AQ21" s="47">
        <f t="shared" si="15"/>
        <v>0</v>
      </c>
      <c r="AR21" s="136"/>
      <c r="AS21" s="47">
        <f t="shared" si="16"/>
        <v>0</v>
      </c>
      <c r="AT21" s="47" t="str">
        <f t="shared" si="17"/>
        <v/>
      </c>
      <c r="AU21" s="47" t="str">
        <f t="shared" si="18"/>
        <v/>
      </c>
      <c r="AV21" s="47" t="str">
        <f t="shared" si="19"/>
        <v/>
      </c>
      <c r="AW21" s="3">
        <v>19</v>
      </c>
      <c r="AX21" s="157" t="s">
        <v>133</v>
      </c>
      <c r="AY21" s="130">
        <v>10</v>
      </c>
      <c r="AZ21" s="131">
        <v>9</v>
      </c>
      <c r="BA21" s="131">
        <v>7</v>
      </c>
      <c r="BB21" s="131">
        <v>9</v>
      </c>
      <c r="BC21" s="85">
        <f t="shared" si="20"/>
        <v>35</v>
      </c>
      <c r="BD21" s="131">
        <v>28</v>
      </c>
      <c r="BE21" s="85">
        <f t="shared" si="21"/>
        <v>63</v>
      </c>
      <c r="BF21" s="85">
        <f t="shared" si="22"/>
        <v>33</v>
      </c>
      <c r="BG21" s="85" t="str">
        <f t="shared" si="23"/>
        <v>C</v>
      </c>
      <c r="BH21" s="85" t="str">
        <f t="shared" si="24"/>
        <v>Credit</v>
      </c>
      <c r="BI21" s="3">
        <v>19</v>
      </c>
      <c r="BJ21" s="90"/>
      <c r="BK21" s="167">
        <v>4</v>
      </c>
      <c r="BL21" s="168">
        <v>7</v>
      </c>
      <c r="BM21" s="168">
        <v>10</v>
      </c>
      <c r="BN21" s="168">
        <v>10</v>
      </c>
      <c r="BO21" s="90">
        <f t="shared" si="25"/>
        <v>31</v>
      </c>
      <c r="BP21" s="173">
        <v>18</v>
      </c>
      <c r="BQ21" s="90">
        <f t="shared" si="26"/>
        <v>49</v>
      </c>
      <c r="BR21" s="90">
        <f t="shared" si="27"/>
        <v>22</v>
      </c>
      <c r="BS21" s="90" t="str">
        <f t="shared" si="28"/>
        <v>P</v>
      </c>
      <c r="BT21" s="90" t="str">
        <f t="shared" si="29"/>
        <v>Pass</v>
      </c>
      <c r="BU21" s="3">
        <v>19</v>
      </c>
      <c r="BV21" s="157" t="s">
        <v>133</v>
      </c>
      <c r="BW21" s="145">
        <v>6</v>
      </c>
      <c r="BX21" s="143">
        <v>1</v>
      </c>
      <c r="BY21" s="143">
        <v>9</v>
      </c>
      <c r="BZ21" s="143">
        <v>8</v>
      </c>
      <c r="CA21" s="94">
        <f t="shared" si="30"/>
        <v>24</v>
      </c>
      <c r="CB21" s="143">
        <v>34</v>
      </c>
      <c r="CC21" s="94">
        <f t="shared" si="31"/>
        <v>58</v>
      </c>
      <c r="CD21" s="94">
        <f t="shared" si="32"/>
        <v>27</v>
      </c>
      <c r="CE21" s="94" t="str">
        <f t="shared" si="33"/>
        <v>C</v>
      </c>
      <c r="CF21" s="94" t="str">
        <f t="shared" si="34"/>
        <v>Credit</v>
      </c>
      <c r="CG21" s="3">
        <v>19</v>
      </c>
      <c r="CH21" s="157" t="s">
        <v>133</v>
      </c>
      <c r="CI21" s="145">
        <v>9</v>
      </c>
      <c r="CJ21" s="143">
        <v>9</v>
      </c>
      <c r="CK21" s="143">
        <v>10</v>
      </c>
      <c r="CL21" s="143">
        <v>8</v>
      </c>
      <c r="CM21" s="66">
        <f t="shared" si="35"/>
        <v>36</v>
      </c>
      <c r="CN21" s="143">
        <v>25</v>
      </c>
      <c r="CO21" s="66">
        <f t="shared" si="89"/>
        <v>61</v>
      </c>
      <c r="CP21" s="66">
        <f t="shared" si="36"/>
        <v>23</v>
      </c>
      <c r="CQ21" s="66" t="str">
        <f t="shared" si="37"/>
        <v>C</v>
      </c>
      <c r="CR21" s="66" t="str">
        <f t="shared" si="38"/>
        <v>Credit</v>
      </c>
      <c r="CS21" s="3">
        <v>19</v>
      </c>
      <c r="CT21" s="157" t="s">
        <v>133</v>
      </c>
      <c r="CU21" s="148">
        <v>9</v>
      </c>
      <c r="CV21" s="149">
        <v>7</v>
      </c>
      <c r="CW21" s="149">
        <v>8</v>
      </c>
      <c r="CX21" s="149">
        <v>10</v>
      </c>
      <c r="CY21" s="70">
        <f t="shared" si="39"/>
        <v>34</v>
      </c>
      <c r="CZ21" s="149">
        <v>36</v>
      </c>
      <c r="DA21" s="70">
        <f t="shared" si="40"/>
        <v>70</v>
      </c>
      <c r="DB21" s="70">
        <f t="shared" si="41"/>
        <v>12</v>
      </c>
      <c r="DC21" s="70" t="str">
        <f t="shared" si="42"/>
        <v>A</v>
      </c>
      <c r="DD21" s="70" t="str">
        <f t="shared" si="43"/>
        <v>Excellent</v>
      </c>
      <c r="DE21" s="3">
        <v>19</v>
      </c>
      <c r="DF21" s="59"/>
      <c r="DG21" s="145">
        <v>8</v>
      </c>
      <c r="DH21" s="143">
        <v>10</v>
      </c>
      <c r="DI21" s="143">
        <v>10</v>
      </c>
      <c r="DJ21" s="143">
        <v>10</v>
      </c>
      <c r="DK21" s="59">
        <f t="shared" si="44"/>
        <v>38</v>
      </c>
      <c r="DL21" s="143">
        <v>30</v>
      </c>
      <c r="DM21" s="59">
        <f t="shared" si="45"/>
        <v>68</v>
      </c>
      <c r="DN21" s="59">
        <f t="shared" si="46"/>
        <v>21</v>
      </c>
      <c r="DO21" s="59" t="str">
        <f t="shared" si="47"/>
        <v>C</v>
      </c>
      <c r="DP21" s="59" t="str">
        <f t="shared" si="48"/>
        <v>Credit</v>
      </c>
      <c r="DQ21" s="3">
        <v>19</v>
      </c>
      <c r="DR21" s="157" t="s">
        <v>133</v>
      </c>
      <c r="DS21" s="145">
        <v>10</v>
      </c>
      <c r="DT21" s="143">
        <v>9</v>
      </c>
      <c r="DU21" s="143">
        <v>9</v>
      </c>
      <c r="DV21" s="143">
        <v>9</v>
      </c>
      <c r="DW21" s="102">
        <f t="shared" si="49"/>
        <v>37</v>
      </c>
      <c r="DX21" s="143">
        <v>32</v>
      </c>
      <c r="DY21" s="102">
        <f t="shared" si="50"/>
        <v>69</v>
      </c>
      <c r="DZ21" s="102">
        <f t="shared" si="51"/>
        <v>11</v>
      </c>
      <c r="EA21" s="102" t="str">
        <f t="shared" si="52"/>
        <v>C</v>
      </c>
      <c r="EB21" s="102" t="str">
        <f t="shared" si="53"/>
        <v>Credit</v>
      </c>
      <c r="EC21" s="3">
        <v>19</v>
      </c>
      <c r="ED21" s="75"/>
      <c r="EE21" s="145">
        <v>8</v>
      </c>
      <c r="EF21" s="143">
        <v>8</v>
      </c>
      <c r="EG21" s="143">
        <v>9</v>
      </c>
      <c r="EH21" s="143">
        <v>5</v>
      </c>
      <c r="EI21" s="75">
        <f t="shared" si="54"/>
        <v>30</v>
      </c>
      <c r="EJ21" s="143">
        <v>20</v>
      </c>
      <c r="EK21" s="75">
        <f t="shared" si="0"/>
        <v>50</v>
      </c>
      <c r="EL21" s="75">
        <f t="shared" si="55"/>
        <v>26</v>
      </c>
      <c r="EM21" s="75" t="str">
        <f t="shared" si="56"/>
        <v>C</v>
      </c>
      <c r="EN21" s="75" t="str">
        <f t="shared" si="57"/>
        <v>Credit</v>
      </c>
      <c r="EO21" s="3">
        <v>19</v>
      </c>
      <c r="EP21" s="157" t="s">
        <v>133</v>
      </c>
      <c r="EQ21" s="3">
        <v>7</v>
      </c>
      <c r="ER21" s="147">
        <v>1</v>
      </c>
      <c r="ES21" s="147">
        <v>1</v>
      </c>
      <c r="ET21" s="147">
        <v>1</v>
      </c>
      <c r="EU21" s="98">
        <f t="shared" si="58"/>
        <v>10</v>
      </c>
      <c r="EV21" s="147">
        <v>13</v>
      </c>
      <c r="EW21" s="98">
        <f t="shared" si="59"/>
        <v>23</v>
      </c>
      <c r="EX21" s="98">
        <f t="shared" si="60"/>
        <v>47</v>
      </c>
      <c r="EY21" s="98" t="str">
        <f t="shared" si="61"/>
        <v>F</v>
      </c>
      <c r="EZ21" s="98" t="str">
        <f t="shared" si="62"/>
        <v>Fail</v>
      </c>
      <c r="FA21" s="3">
        <v>19</v>
      </c>
      <c r="FB21" s="113"/>
      <c r="FC21" s="145">
        <v>9</v>
      </c>
      <c r="FD21" s="143">
        <v>9</v>
      </c>
      <c r="FE21" s="143">
        <v>7</v>
      </c>
      <c r="FF21" s="143">
        <v>10</v>
      </c>
      <c r="FG21" s="113">
        <f t="shared" si="63"/>
        <v>35</v>
      </c>
      <c r="FH21" s="143">
        <v>33</v>
      </c>
      <c r="FI21" s="113">
        <f t="shared" si="64"/>
        <v>68</v>
      </c>
      <c r="FJ21" s="113">
        <f t="shared" si="65"/>
        <v>28</v>
      </c>
      <c r="FK21" s="113" t="str">
        <f t="shared" si="66"/>
        <v>C</v>
      </c>
      <c r="FL21" s="113" t="str">
        <f t="shared" si="67"/>
        <v>Credit</v>
      </c>
      <c r="FM21" s="3">
        <v>19</v>
      </c>
      <c r="FN21" s="53"/>
      <c r="FO21" s="145">
        <v>10</v>
      </c>
      <c r="FP21" s="143">
        <v>9</v>
      </c>
      <c r="FQ21" s="143">
        <v>10</v>
      </c>
      <c r="FR21" s="143">
        <v>4</v>
      </c>
      <c r="FS21" s="53">
        <f t="shared" si="68"/>
        <v>33</v>
      </c>
      <c r="FT21" s="143">
        <v>37</v>
      </c>
      <c r="FU21" s="53">
        <f t="shared" si="69"/>
        <v>70</v>
      </c>
      <c r="FV21" s="53">
        <f t="shared" si="70"/>
        <v>21</v>
      </c>
      <c r="FW21" s="53" t="str">
        <f t="shared" si="71"/>
        <v>A</v>
      </c>
      <c r="FX21" s="53" t="str">
        <f t="shared" si="72"/>
        <v>Excellent</v>
      </c>
      <c r="FY21" s="3">
        <v>19</v>
      </c>
      <c r="FZ21" s="80"/>
      <c r="GA21" s="80"/>
      <c r="GB21" s="80"/>
      <c r="GC21" s="80"/>
      <c r="GD21" s="80"/>
      <c r="GE21" s="80">
        <f t="shared" si="73"/>
        <v>0</v>
      </c>
      <c r="GF21" s="80"/>
      <c r="GG21" s="80">
        <f t="shared" si="74"/>
        <v>0</v>
      </c>
      <c r="GH21" s="80" t="str">
        <f t="shared" si="75"/>
        <v/>
      </c>
      <c r="GI21" s="80" t="str">
        <f t="shared" si="76"/>
        <v/>
      </c>
      <c r="GJ21" s="80" t="str">
        <f t="shared" si="77"/>
        <v/>
      </c>
      <c r="GK21" s="3">
        <v>19</v>
      </c>
      <c r="GL21" s="157" t="s">
        <v>133</v>
      </c>
      <c r="GM21" s="145">
        <v>2</v>
      </c>
      <c r="GN21" s="143">
        <v>7</v>
      </c>
      <c r="GO21" s="143">
        <v>7</v>
      </c>
      <c r="GP21" s="143">
        <v>8</v>
      </c>
      <c r="GQ21" s="113">
        <f t="shared" si="78"/>
        <v>24</v>
      </c>
      <c r="GR21" s="143">
        <v>28</v>
      </c>
      <c r="GS21" s="113">
        <f t="shared" si="79"/>
        <v>52</v>
      </c>
      <c r="GT21" s="113">
        <f t="shared" si="80"/>
        <v>26</v>
      </c>
      <c r="GU21" s="113" t="str">
        <f t="shared" si="81"/>
        <v>C</v>
      </c>
      <c r="GV21" s="113" t="str">
        <f t="shared" si="82"/>
        <v>Credit</v>
      </c>
      <c r="GW21" s="3">
        <v>19</v>
      </c>
      <c r="GX21" s="107"/>
      <c r="GY21" s="145">
        <v>7</v>
      </c>
      <c r="GZ21" s="143">
        <v>9</v>
      </c>
      <c r="HA21" s="143">
        <v>7</v>
      </c>
      <c r="HB21" s="143">
        <v>8</v>
      </c>
      <c r="HC21" s="107">
        <f t="shared" si="83"/>
        <v>31</v>
      </c>
      <c r="HD21" s="143">
        <v>32</v>
      </c>
      <c r="HE21" s="107">
        <f t="shared" si="84"/>
        <v>63</v>
      </c>
      <c r="HF21" s="107">
        <f t="shared" si="85"/>
        <v>27</v>
      </c>
      <c r="HG21" s="107" t="str">
        <f t="shared" si="86"/>
        <v>C</v>
      </c>
      <c r="HH21" s="107" t="str">
        <f t="shared" si="87"/>
        <v>Credit</v>
      </c>
    </row>
    <row r="22" spans="1:216" ht="18.75">
      <c r="A22" s="185">
        <v>20</v>
      </c>
      <c r="B22" s="157" t="s">
        <v>134</v>
      </c>
      <c r="C22" s="130">
        <v>9</v>
      </c>
      <c r="D22" s="131">
        <v>3</v>
      </c>
      <c r="E22" s="131">
        <v>8</v>
      </c>
      <c r="F22" s="131">
        <v>8</v>
      </c>
      <c r="G22" s="53">
        <f t="shared" si="1"/>
        <v>28</v>
      </c>
      <c r="H22" s="131">
        <v>37</v>
      </c>
      <c r="I22" s="53">
        <f t="shared" si="2"/>
        <v>65</v>
      </c>
      <c r="J22" s="53">
        <f t="shared" si="3"/>
        <v>15</v>
      </c>
      <c r="K22" s="53" t="str">
        <f t="shared" si="4"/>
        <v>C</v>
      </c>
      <c r="L22" s="53" t="str">
        <f t="shared" si="5"/>
        <v>Credit</v>
      </c>
      <c r="M22" s="44">
        <v>20</v>
      </c>
      <c r="N22" s="59"/>
      <c r="O22" s="135">
        <v>1</v>
      </c>
      <c r="P22" s="136">
        <v>3</v>
      </c>
      <c r="Q22" s="136">
        <v>9</v>
      </c>
      <c r="R22" s="136">
        <v>10</v>
      </c>
      <c r="S22" s="59">
        <f t="shared" si="6"/>
        <v>23</v>
      </c>
      <c r="T22" s="136">
        <v>26</v>
      </c>
      <c r="U22" s="59">
        <f t="shared" si="7"/>
        <v>49</v>
      </c>
      <c r="V22" s="59">
        <f t="shared" si="8"/>
        <v>16</v>
      </c>
      <c r="W22" s="59" t="str">
        <f t="shared" si="9"/>
        <v>P</v>
      </c>
      <c r="X22" s="59" t="str">
        <f t="shared" si="10"/>
        <v>Pass</v>
      </c>
      <c r="Y22" s="3">
        <v>20</v>
      </c>
      <c r="Z22" s="80"/>
      <c r="AA22" s="135">
        <v>5</v>
      </c>
      <c r="AB22" s="136">
        <v>8</v>
      </c>
      <c r="AC22" s="136">
        <v>3</v>
      </c>
      <c r="AD22" s="136">
        <v>8</v>
      </c>
      <c r="AE22" s="80">
        <f t="shared" si="88"/>
        <v>24</v>
      </c>
      <c r="AF22" s="136">
        <v>31</v>
      </c>
      <c r="AG22" s="80">
        <f t="shared" si="11"/>
        <v>55</v>
      </c>
      <c r="AH22" s="80">
        <f t="shared" si="12"/>
        <v>35</v>
      </c>
      <c r="AI22" s="80" t="str">
        <f t="shared" si="13"/>
        <v>C</v>
      </c>
      <c r="AJ22" s="80" t="str">
        <f t="shared" si="14"/>
        <v>Credit</v>
      </c>
      <c r="AK22" s="3">
        <v>20</v>
      </c>
      <c r="AL22" s="157" t="s">
        <v>134</v>
      </c>
      <c r="AM22" s="135"/>
      <c r="AN22" s="136"/>
      <c r="AO22" s="136"/>
      <c r="AP22" s="136"/>
      <c r="AQ22" s="47">
        <f t="shared" si="15"/>
        <v>0</v>
      </c>
      <c r="AR22" s="136"/>
      <c r="AS22" s="47">
        <f t="shared" si="16"/>
        <v>0</v>
      </c>
      <c r="AT22" s="47" t="str">
        <f t="shared" si="17"/>
        <v/>
      </c>
      <c r="AU22" s="47" t="str">
        <f t="shared" si="18"/>
        <v/>
      </c>
      <c r="AV22" s="47" t="str">
        <f t="shared" si="19"/>
        <v/>
      </c>
      <c r="AW22" s="3">
        <v>20</v>
      </c>
      <c r="AX22" s="157" t="s">
        <v>134</v>
      </c>
      <c r="AY22" s="130">
        <v>8</v>
      </c>
      <c r="AZ22" s="131">
        <v>7</v>
      </c>
      <c r="BA22" s="131">
        <v>7</v>
      </c>
      <c r="BB22" s="131">
        <v>8</v>
      </c>
      <c r="BC22" s="85">
        <f t="shared" si="20"/>
        <v>30</v>
      </c>
      <c r="BD22" s="131">
        <v>40</v>
      </c>
      <c r="BE22" s="85">
        <f t="shared" si="21"/>
        <v>70</v>
      </c>
      <c r="BF22" s="85">
        <f t="shared" si="22"/>
        <v>21</v>
      </c>
      <c r="BG22" s="85" t="str">
        <f t="shared" si="23"/>
        <v>A</v>
      </c>
      <c r="BH22" s="85" t="str">
        <f t="shared" si="24"/>
        <v>Excellent</v>
      </c>
      <c r="BI22" s="3">
        <v>20</v>
      </c>
      <c r="BJ22" s="90"/>
      <c r="BK22" s="167">
        <v>2</v>
      </c>
      <c r="BL22" s="168">
        <v>3</v>
      </c>
      <c r="BM22" s="168">
        <v>2</v>
      </c>
      <c r="BN22" s="168">
        <v>9</v>
      </c>
      <c r="BO22" s="90">
        <f t="shared" si="25"/>
        <v>16</v>
      </c>
      <c r="BP22" s="173">
        <v>21</v>
      </c>
      <c r="BQ22" s="90">
        <f t="shared" si="26"/>
        <v>37</v>
      </c>
      <c r="BR22" s="90">
        <f t="shared" si="27"/>
        <v>39</v>
      </c>
      <c r="BS22" s="90" t="str">
        <f t="shared" si="28"/>
        <v>F</v>
      </c>
      <c r="BT22" s="90" t="str">
        <f t="shared" si="29"/>
        <v>Fail</v>
      </c>
      <c r="BU22" s="3">
        <v>20</v>
      </c>
      <c r="BV22" s="157" t="s">
        <v>134</v>
      </c>
      <c r="BW22" s="145">
        <v>6</v>
      </c>
      <c r="BX22" s="143">
        <v>3</v>
      </c>
      <c r="BY22" s="143">
        <v>1</v>
      </c>
      <c r="BZ22" s="143">
        <v>8</v>
      </c>
      <c r="CA22" s="94">
        <f t="shared" si="30"/>
        <v>18</v>
      </c>
      <c r="CB22" s="143">
        <v>32</v>
      </c>
      <c r="CC22" s="94">
        <f t="shared" si="31"/>
        <v>50</v>
      </c>
      <c r="CD22" s="94">
        <f t="shared" si="32"/>
        <v>36</v>
      </c>
      <c r="CE22" s="94" t="str">
        <f t="shared" si="33"/>
        <v>C</v>
      </c>
      <c r="CF22" s="94" t="str">
        <f t="shared" si="34"/>
        <v>Credit</v>
      </c>
      <c r="CG22" s="3">
        <v>20</v>
      </c>
      <c r="CH22" s="157" t="s">
        <v>134</v>
      </c>
      <c r="CI22" s="145">
        <v>5</v>
      </c>
      <c r="CJ22" s="143">
        <v>6</v>
      </c>
      <c r="CK22" s="143">
        <v>10</v>
      </c>
      <c r="CL22" s="143">
        <v>8</v>
      </c>
      <c r="CM22" s="66">
        <f t="shared" si="35"/>
        <v>29</v>
      </c>
      <c r="CN22" s="143">
        <v>30</v>
      </c>
      <c r="CO22" s="66">
        <f t="shared" si="89"/>
        <v>59</v>
      </c>
      <c r="CP22" s="66">
        <f t="shared" si="36"/>
        <v>29</v>
      </c>
      <c r="CQ22" s="66" t="str">
        <f t="shared" si="37"/>
        <v>C</v>
      </c>
      <c r="CR22" s="66" t="str">
        <f t="shared" si="38"/>
        <v>Credit</v>
      </c>
      <c r="CS22" s="3">
        <v>20</v>
      </c>
      <c r="CT22" s="157" t="s">
        <v>134</v>
      </c>
      <c r="CU22" s="148">
        <v>4</v>
      </c>
      <c r="CV22" s="149">
        <v>6</v>
      </c>
      <c r="CW22" s="149">
        <v>8</v>
      </c>
      <c r="CX22" s="149">
        <v>10</v>
      </c>
      <c r="CY22" s="70">
        <f t="shared" si="39"/>
        <v>28</v>
      </c>
      <c r="CZ22" s="149">
        <v>32</v>
      </c>
      <c r="DA22" s="70">
        <f t="shared" si="40"/>
        <v>60</v>
      </c>
      <c r="DB22" s="70">
        <f t="shared" si="41"/>
        <v>29</v>
      </c>
      <c r="DC22" s="70" t="str">
        <f t="shared" si="42"/>
        <v>C</v>
      </c>
      <c r="DD22" s="70" t="str">
        <f t="shared" si="43"/>
        <v>Credit</v>
      </c>
      <c r="DE22" s="3">
        <v>20</v>
      </c>
      <c r="DF22" s="59"/>
      <c r="DG22" s="145">
        <v>7</v>
      </c>
      <c r="DH22" s="143">
        <v>10</v>
      </c>
      <c r="DI22" s="143">
        <v>1</v>
      </c>
      <c r="DJ22" s="143">
        <v>8</v>
      </c>
      <c r="DK22" s="59">
        <f t="shared" si="44"/>
        <v>26</v>
      </c>
      <c r="DL22" s="143">
        <v>44</v>
      </c>
      <c r="DM22" s="59">
        <f t="shared" si="45"/>
        <v>70</v>
      </c>
      <c r="DN22" s="59">
        <f t="shared" si="46"/>
        <v>18</v>
      </c>
      <c r="DO22" s="59" t="str">
        <f t="shared" si="47"/>
        <v>A</v>
      </c>
      <c r="DP22" s="59" t="str">
        <f t="shared" si="48"/>
        <v>Excellent</v>
      </c>
      <c r="DQ22" s="3">
        <v>20</v>
      </c>
      <c r="DR22" s="157" t="s">
        <v>134</v>
      </c>
      <c r="DS22" s="145">
        <v>7</v>
      </c>
      <c r="DT22" s="143">
        <v>1</v>
      </c>
      <c r="DU22" s="143">
        <v>8</v>
      </c>
      <c r="DV22" s="143">
        <v>10</v>
      </c>
      <c r="DW22" s="102">
        <f t="shared" si="49"/>
        <v>26</v>
      </c>
      <c r="DX22" s="143">
        <v>28</v>
      </c>
      <c r="DY22" s="102">
        <f t="shared" si="50"/>
        <v>54</v>
      </c>
      <c r="DZ22" s="102">
        <f t="shared" si="51"/>
        <v>37</v>
      </c>
      <c r="EA22" s="102" t="str">
        <f t="shared" si="52"/>
        <v>C</v>
      </c>
      <c r="EB22" s="102" t="str">
        <f t="shared" si="53"/>
        <v>Credit</v>
      </c>
      <c r="EC22" s="3">
        <v>20</v>
      </c>
      <c r="ED22" s="75"/>
      <c r="EE22" s="145">
        <v>4</v>
      </c>
      <c r="EF22" s="143">
        <v>9</v>
      </c>
      <c r="EG22" s="143">
        <v>9</v>
      </c>
      <c r="EH22" s="143">
        <v>2</v>
      </c>
      <c r="EI22" s="75">
        <f t="shared" si="54"/>
        <v>24</v>
      </c>
      <c r="EJ22" s="143">
        <v>34</v>
      </c>
      <c r="EK22" s="75">
        <f t="shared" si="0"/>
        <v>58</v>
      </c>
      <c r="EL22" s="75">
        <f t="shared" si="55"/>
        <v>8</v>
      </c>
      <c r="EM22" s="75" t="str">
        <f t="shared" si="56"/>
        <v>C</v>
      </c>
      <c r="EN22" s="75" t="str">
        <f t="shared" si="57"/>
        <v>Credit</v>
      </c>
      <c r="EO22" s="3">
        <v>20</v>
      </c>
      <c r="EP22" s="157" t="s">
        <v>134</v>
      </c>
      <c r="EQ22" s="3">
        <v>7</v>
      </c>
      <c r="ER22" s="147">
        <v>3</v>
      </c>
      <c r="ES22" s="147">
        <v>1</v>
      </c>
      <c r="ET22" s="147">
        <v>1</v>
      </c>
      <c r="EU22" s="98">
        <f t="shared" si="58"/>
        <v>12</v>
      </c>
      <c r="EV22" s="147">
        <v>18</v>
      </c>
      <c r="EW22" s="98">
        <f t="shared" si="59"/>
        <v>30</v>
      </c>
      <c r="EX22" s="98">
        <f t="shared" si="60"/>
        <v>44</v>
      </c>
      <c r="EY22" s="98" t="str">
        <f t="shared" si="61"/>
        <v>F</v>
      </c>
      <c r="EZ22" s="98" t="str">
        <f t="shared" si="62"/>
        <v>Fail</v>
      </c>
      <c r="FA22" s="3">
        <v>20</v>
      </c>
      <c r="FB22" s="113"/>
      <c r="FC22" s="145">
        <v>9</v>
      </c>
      <c r="FD22" s="143">
        <v>7</v>
      </c>
      <c r="FE22" s="143">
        <v>5</v>
      </c>
      <c r="FF22" s="143">
        <v>10</v>
      </c>
      <c r="FG22" s="113">
        <f t="shared" si="63"/>
        <v>31</v>
      </c>
      <c r="FH22" s="143">
        <v>36</v>
      </c>
      <c r="FI22" s="113">
        <f t="shared" si="64"/>
        <v>67</v>
      </c>
      <c r="FJ22" s="113">
        <f t="shared" si="65"/>
        <v>33</v>
      </c>
      <c r="FK22" s="113" t="str">
        <f t="shared" si="66"/>
        <v>C</v>
      </c>
      <c r="FL22" s="113" t="str">
        <f t="shared" si="67"/>
        <v>Credit</v>
      </c>
      <c r="FM22" s="3">
        <v>20</v>
      </c>
      <c r="FN22" s="53"/>
      <c r="FO22" s="145">
        <v>8</v>
      </c>
      <c r="FP22" s="143">
        <v>10</v>
      </c>
      <c r="FQ22" s="143">
        <v>10</v>
      </c>
      <c r="FR22" s="143">
        <v>1</v>
      </c>
      <c r="FS22" s="53">
        <f t="shared" si="68"/>
        <v>29</v>
      </c>
      <c r="FT22" s="143">
        <v>27</v>
      </c>
      <c r="FU22" s="53">
        <f t="shared" si="69"/>
        <v>56</v>
      </c>
      <c r="FV22" s="53">
        <f t="shared" si="70"/>
        <v>42</v>
      </c>
      <c r="FW22" s="53" t="str">
        <f t="shared" si="71"/>
        <v>C</v>
      </c>
      <c r="FX22" s="53" t="str">
        <f t="shared" si="72"/>
        <v>Credit</v>
      </c>
      <c r="FY22" s="3">
        <v>20</v>
      </c>
      <c r="FZ22" s="80"/>
      <c r="GA22" s="80"/>
      <c r="GB22" s="80"/>
      <c r="GC22" s="80"/>
      <c r="GD22" s="80"/>
      <c r="GE22" s="80">
        <f t="shared" si="73"/>
        <v>0</v>
      </c>
      <c r="GF22" s="80"/>
      <c r="GG22" s="80">
        <f t="shared" si="74"/>
        <v>0</v>
      </c>
      <c r="GH22" s="80" t="str">
        <f t="shared" si="75"/>
        <v/>
      </c>
      <c r="GI22" s="80" t="str">
        <f t="shared" si="76"/>
        <v/>
      </c>
      <c r="GJ22" s="80" t="str">
        <f t="shared" si="77"/>
        <v/>
      </c>
      <c r="GK22" s="3">
        <v>20</v>
      </c>
      <c r="GL22" s="157" t="s">
        <v>134</v>
      </c>
      <c r="GM22" s="145">
        <v>10</v>
      </c>
      <c r="GN22" s="143">
        <v>0</v>
      </c>
      <c r="GO22" s="143">
        <v>6</v>
      </c>
      <c r="GP22" s="143">
        <v>7</v>
      </c>
      <c r="GQ22" s="113">
        <f t="shared" si="78"/>
        <v>23</v>
      </c>
      <c r="GR22" s="143">
        <v>23</v>
      </c>
      <c r="GS22" s="113">
        <f t="shared" si="79"/>
        <v>46</v>
      </c>
      <c r="GT22" s="113">
        <f t="shared" si="80"/>
        <v>36</v>
      </c>
      <c r="GU22" s="113" t="str">
        <f t="shared" si="81"/>
        <v>P</v>
      </c>
      <c r="GV22" s="113" t="str">
        <f t="shared" si="82"/>
        <v>Pass</v>
      </c>
      <c r="GW22" s="3">
        <v>20</v>
      </c>
      <c r="GX22" s="107"/>
      <c r="GY22" s="145">
        <v>5</v>
      </c>
      <c r="GZ22" s="143">
        <v>6</v>
      </c>
      <c r="HA22" s="143">
        <v>10</v>
      </c>
      <c r="HB22" s="143">
        <v>10</v>
      </c>
      <c r="HC22" s="107">
        <f t="shared" si="83"/>
        <v>31</v>
      </c>
      <c r="HD22" s="143">
        <v>37</v>
      </c>
      <c r="HE22" s="107">
        <f t="shared" si="84"/>
        <v>68</v>
      </c>
      <c r="HF22" s="107">
        <f t="shared" si="85"/>
        <v>20</v>
      </c>
      <c r="HG22" s="107" t="str">
        <f t="shared" si="86"/>
        <v>C</v>
      </c>
      <c r="HH22" s="107" t="str">
        <f t="shared" si="87"/>
        <v>Credit</v>
      </c>
    </row>
    <row r="23" spans="1:216" ht="25.5">
      <c r="A23" s="186">
        <v>21</v>
      </c>
      <c r="B23" s="157" t="s">
        <v>135</v>
      </c>
      <c r="C23" s="130">
        <v>6</v>
      </c>
      <c r="D23" s="131">
        <v>7</v>
      </c>
      <c r="E23" s="131">
        <v>8</v>
      </c>
      <c r="F23" s="131">
        <v>10</v>
      </c>
      <c r="G23" s="53">
        <f t="shared" si="1"/>
        <v>31</v>
      </c>
      <c r="H23" s="131">
        <v>32</v>
      </c>
      <c r="I23" s="53">
        <f t="shared" si="2"/>
        <v>63</v>
      </c>
      <c r="J23" s="53">
        <f t="shared" si="3"/>
        <v>20</v>
      </c>
      <c r="K23" s="53" t="str">
        <f t="shared" si="4"/>
        <v>C</v>
      </c>
      <c r="L23" s="53" t="str">
        <f t="shared" si="5"/>
        <v>Credit</v>
      </c>
      <c r="M23" s="44">
        <v>21</v>
      </c>
      <c r="N23" s="59"/>
      <c r="O23" s="135">
        <v>7</v>
      </c>
      <c r="P23" s="136">
        <v>2</v>
      </c>
      <c r="Q23" s="136">
        <v>9</v>
      </c>
      <c r="R23" s="136">
        <v>10</v>
      </c>
      <c r="S23" s="59">
        <f t="shared" ref="S23:S52" si="90">SUM(O23:R23)</f>
        <v>28</v>
      </c>
      <c r="T23" s="136">
        <v>30</v>
      </c>
      <c r="U23" s="59">
        <f t="shared" si="7"/>
        <v>58</v>
      </c>
      <c r="V23" s="59">
        <f t="shared" si="8"/>
        <v>2</v>
      </c>
      <c r="W23" s="59" t="str">
        <f t="shared" si="9"/>
        <v>C</v>
      </c>
      <c r="X23" s="59" t="str">
        <f t="shared" si="10"/>
        <v>Credit</v>
      </c>
      <c r="Y23" s="3">
        <v>21</v>
      </c>
      <c r="Z23" s="80"/>
      <c r="AA23" s="135">
        <v>8</v>
      </c>
      <c r="AB23" s="136">
        <v>7</v>
      </c>
      <c r="AC23" s="136">
        <v>7</v>
      </c>
      <c r="AD23" s="136">
        <v>10</v>
      </c>
      <c r="AE23" s="80">
        <f t="shared" ref="AE23:AE52" si="91">SUM(AA23:AD23)</f>
        <v>32</v>
      </c>
      <c r="AF23" s="136">
        <v>38</v>
      </c>
      <c r="AG23" s="80">
        <f t="shared" si="11"/>
        <v>70</v>
      </c>
      <c r="AH23" s="80">
        <f t="shared" si="12"/>
        <v>12</v>
      </c>
      <c r="AI23" s="80" t="str">
        <f t="shared" si="13"/>
        <v>A</v>
      </c>
      <c r="AJ23" s="80" t="str">
        <f t="shared" si="14"/>
        <v>Excellent</v>
      </c>
      <c r="AK23" s="3">
        <v>21</v>
      </c>
      <c r="AL23" s="157" t="s">
        <v>135</v>
      </c>
      <c r="AM23" s="135"/>
      <c r="AN23" s="136"/>
      <c r="AO23" s="136"/>
      <c r="AP23" s="136"/>
      <c r="AQ23" s="47">
        <f t="shared" si="15"/>
        <v>0</v>
      </c>
      <c r="AR23" s="136"/>
      <c r="AS23" s="47">
        <f t="shared" si="16"/>
        <v>0</v>
      </c>
      <c r="AT23" s="47" t="str">
        <f t="shared" si="17"/>
        <v/>
      </c>
      <c r="AU23" s="47" t="str">
        <f t="shared" si="18"/>
        <v/>
      </c>
      <c r="AV23" s="47" t="str">
        <f t="shared" si="19"/>
        <v/>
      </c>
      <c r="AW23" s="3">
        <v>21</v>
      </c>
      <c r="AX23" s="157" t="s">
        <v>135</v>
      </c>
      <c r="AY23" s="130">
        <v>10</v>
      </c>
      <c r="AZ23" s="131">
        <v>6</v>
      </c>
      <c r="BA23" s="131">
        <v>9</v>
      </c>
      <c r="BB23" s="131">
        <v>10</v>
      </c>
      <c r="BC23" s="85">
        <f t="shared" si="20"/>
        <v>35</v>
      </c>
      <c r="BD23" s="131">
        <v>34</v>
      </c>
      <c r="BE23" s="85">
        <f t="shared" si="21"/>
        <v>69</v>
      </c>
      <c r="BF23" s="85">
        <f t="shared" si="22"/>
        <v>24</v>
      </c>
      <c r="BG23" s="85" t="str">
        <f t="shared" si="23"/>
        <v>C</v>
      </c>
      <c r="BH23" s="85" t="str">
        <f t="shared" si="24"/>
        <v>Credit</v>
      </c>
      <c r="BI23" s="3">
        <v>21</v>
      </c>
      <c r="BJ23" s="90"/>
      <c r="BK23" s="167">
        <v>7</v>
      </c>
      <c r="BL23" s="168">
        <v>8</v>
      </c>
      <c r="BM23" s="168">
        <v>10</v>
      </c>
      <c r="BN23" s="168">
        <v>10</v>
      </c>
      <c r="BO23" s="90">
        <f t="shared" si="25"/>
        <v>35</v>
      </c>
      <c r="BP23" s="173">
        <v>20</v>
      </c>
      <c r="BQ23" s="90">
        <f t="shared" si="26"/>
        <v>55</v>
      </c>
      <c r="BR23" s="90">
        <f t="shared" si="27"/>
        <v>16</v>
      </c>
      <c r="BS23" s="90" t="str">
        <f t="shared" si="28"/>
        <v>C</v>
      </c>
      <c r="BT23" s="90" t="str">
        <f t="shared" si="29"/>
        <v>Credit</v>
      </c>
      <c r="BU23" s="3">
        <v>21</v>
      </c>
      <c r="BV23" s="157" t="s">
        <v>135</v>
      </c>
      <c r="BW23" s="145">
        <v>9</v>
      </c>
      <c r="BX23" s="143">
        <v>4</v>
      </c>
      <c r="BY23" s="143">
        <v>9</v>
      </c>
      <c r="BZ23" s="143">
        <v>9</v>
      </c>
      <c r="CA23" s="94">
        <f t="shared" si="30"/>
        <v>31</v>
      </c>
      <c r="CB23" s="143">
        <v>26</v>
      </c>
      <c r="CC23" s="94">
        <f t="shared" si="31"/>
        <v>57</v>
      </c>
      <c r="CD23" s="94">
        <f t="shared" si="32"/>
        <v>29</v>
      </c>
      <c r="CE23" s="94" t="str">
        <f t="shared" si="33"/>
        <v>C</v>
      </c>
      <c r="CF23" s="94" t="str">
        <f t="shared" si="34"/>
        <v>Credit</v>
      </c>
      <c r="CG23" s="3">
        <v>21</v>
      </c>
      <c r="CH23" s="157" t="s">
        <v>135</v>
      </c>
      <c r="CI23" s="145">
        <v>8</v>
      </c>
      <c r="CJ23" s="143">
        <v>8</v>
      </c>
      <c r="CK23" s="143">
        <v>8</v>
      </c>
      <c r="CL23" s="143">
        <v>10</v>
      </c>
      <c r="CM23" s="66">
        <f t="shared" si="35"/>
        <v>34</v>
      </c>
      <c r="CN23" s="143">
        <v>30</v>
      </c>
      <c r="CO23" s="66">
        <f t="shared" si="89"/>
        <v>64</v>
      </c>
      <c r="CP23" s="66">
        <f t="shared" si="36"/>
        <v>21</v>
      </c>
      <c r="CQ23" s="66" t="str">
        <f t="shared" si="37"/>
        <v>C</v>
      </c>
      <c r="CR23" s="66" t="str">
        <f t="shared" si="38"/>
        <v>Credit</v>
      </c>
      <c r="CS23" s="3">
        <v>21</v>
      </c>
      <c r="CT23" s="157" t="s">
        <v>135</v>
      </c>
      <c r="CU23" s="148">
        <v>2</v>
      </c>
      <c r="CV23" s="149">
        <v>6</v>
      </c>
      <c r="CW23" s="149">
        <v>8</v>
      </c>
      <c r="CX23" s="149">
        <v>10</v>
      </c>
      <c r="CY23" s="70">
        <f t="shared" si="39"/>
        <v>26</v>
      </c>
      <c r="CZ23" s="149">
        <v>33</v>
      </c>
      <c r="DA23" s="70">
        <f t="shared" si="40"/>
        <v>59</v>
      </c>
      <c r="DB23" s="70">
        <f t="shared" si="41"/>
        <v>33</v>
      </c>
      <c r="DC23" s="70" t="str">
        <f t="shared" si="42"/>
        <v>C</v>
      </c>
      <c r="DD23" s="70" t="str">
        <f t="shared" si="43"/>
        <v>Credit</v>
      </c>
      <c r="DE23" s="3">
        <v>21</v>
      </c>
      <c r="DF23" s="59"/>
      <c r="DG23" s="145">
        <v>10</v>
      </c>
      <c r="DH23" s="143">
        <v>10</v>
      </c>
      <c r="DI23" s="143">
        <v>7</v>
      </c>
      <c r="DJ23" s="143">
        <v>10</v>
      </c>
      <c r="DK23" s="59">
        <f t="shared" si="44"/>
        <v>37</v>
      </c>
      <c r="DL23" s="143">
        <v>29</v>
      </c>
      <c r="DM23" s="59">
        <f t="shared" si="45"/>
        <v>66</v>
      </c>
      <c r="DN23" s="59">
        <f t="shared" si="46"/>
        <v>25</v>
      </c>
      <c r="DO23" s="59" t="str">
        <f t="shared" si="47"/>
        <v>C</v>
      </c>
      <c r="DP23" s="59" t="str">
        <f t="shared" si="48"/>
        <v>Credit</v>
      </c>
      <c r="DQ23" s="3">
        <v>21</v>
      </c>
      <c r="DR23" s="157" t="s">
        <v>135</v>
      </c>
      <c r="DS23" s="145">
        <v>10</v>
      </c>
      <c r="DT23" s="143">
        <v>8</v>
      </c>
      <c r="DU23" s="143">
        <v>8</v>
      </c>
      <c r="DV23" s="143">
        <v>9</v>
      </c>
      <c r="DW23" s="102">
        <f t="shared" si="49"/>
        <v>35</v>
      </c>
      <c r="DX23" s="143">
        <v>29</v>
      </c>
      <c r="DY23" s="102">
        <f t="shared" si="50"/>
        <v>64</v>
      </c>
      <c r="DZ23" s="102">
        <f t="shared" si="51"/>
        <v>20</v>
      </c>
      <c r="EA23" s="102" t="str">
        <f t="shared" si="52"/>
        <v>C</v>
      </c>
      <c r="EB23" s="102" t="str">
        <f t="shared" si="53"/>
        <v>Credit</v>
      </c>
      <c r="EC23" s="3">
        <v>21</v>
      </c>
      <c r="ED23" s="75"/>
      <c r="EE23" s="145">
        <v>9</v>
      </c>
      <c r="EF23" s="143">
        <v>8</v>
      </c>
      <c r="EG23" s="143">
        <v>9</v>
      </c>
      <c r="EH23" s="143">
        <v>5</v>
      </c>
      <c r="EI23" s="75">
        <f t="shared" si="54"/>
        <v>31</v>
      </c>
      <c r="EJ23" s="143">
        <v>19</v>
      </c>
      <c r="EK23" s="75">
        <f t="shared" si="0"/>
        <v>50</v>
      </c>
      <c r="EL23" s="75">
        <f t="shared" si="55"/>
        <v>26</v>
      </c>
      <c r="EM23" s="75" t="str">
        <f t="shared" si="56"/>
        <v>C</v>
      </c>
      <c r="EN23" s="75" t="str">
        <f t="shared" si="57"/>
        <v>Credit</v>
      </c>
      <c r="EO23" s="3">
        <v>21</v>
      </c>
      <c r="EP23" s="157" t="s">
        <v>135</v>
      </c>
      <c r="EQ23" s="3">
        <v>7</v>
      </c>
      <c r="ER23" s="147">
        <v>3</v>
      </c>
      <c r="ES23" s="147">
        <v>10</v>
      </c>
      <c r="ET23" s="147">
        <v>10</v>
      </c>
      <c r="EU23" s="98">
        <f t="shared" si="58"/>
        <v>30</v>
      </c>
      <c r="EV23" s="147">
        <v>15</v>
      </c>
      <c r="EW23" s="98">
        <f t="shared" si="59"/>
        <v>45</v>
      </c>
      <c r="EX23" s="98">
        <f t="shared" si="60"/>
        <v>25</v>
      </c>
      <c r="EY23" s="98" t="str">
        <f t="shared" si="61"/>
        <v>P</v>
      </c>
      <c r="EZ23" s="98" t="str">
        <f t="shared" si="62"/>
        <v>Pass</v>
      </c>
      <c r="FA23" s="3">
        <v>21</v>
      </c>
      <c r="FB23" s="113"/>
      <c r="FC23" s="145">
        <v>10</v>
      </c>
      <c r="FD23" s="143">
        <v>10</v>
      </c>
      <c r="FE23" s="143">
        <v>7</v>
      </c>
      <c r="FF23" s="143">
        <v>10</v>
      </c>
      <c r="FG23" s="113">
        <f t="shared" si="63"/>
        <v>37</v>
      </c>
      <c r="FH23" s="143">
        <v>46</v>
      </c>
      <c r="FI23" s="113">
        <f t="shared" si="64"/>
        <v>83</v>
      </c>
      <c r="FJ23" s="113">
        <f t="shared" si="65"/>
        <v>7</v>
      </c>
      <c r="FK23" s="113" t="str">
        <f t="shared" si="66"/>
        <v>A</v>
      </c>
      <c r="FL23" s="113" t="str">
        <f t="shared" si="67"/>
        <v>Excellent</v>
      </c>
      <c r="FM23" s="3">
        <v>21</v>
      </c>
      <c r="FN23" s="53"/>
      <c r="FO23" s="145">
        <v>10</v>
      </c>
      <c r="FP23" s="143">
        <v>10</v>
      </c>
      <c r="FQ23" s="143">
        <v>10</v>
      </c>
      <c r="FR23" s="143">
        <v>7</v>
      </c>
      <c r="FS23" s="53">
        <f t="shared" si="68"/>
        <v>37</v>
      </c>
      <c r="FT23" s="143">
        <v>35</v>
      </c>
      <c r="FU23" s="53">
        <f t="shared" si="69"/>
        <v>72</v>
      </c>
      <c r="FV23" s="53">
        <f t="shared" si="70"/>
        <v>14</v>
      </c>
      <c r="FW23" s="53" t="str">
        <f t="shared" si="71"/>
        <v>A</v>
      </c>
      <c r="FX23" s="53" t="str">
        <f t="shared" si="72"/>
        <v>Excellent</v>
      </c>
      <c r="FY23" s="3">
        <v>21</v>
      </c>
      <c r="FZ23" s="80"/>
      <c r="GA23" s="80"/>
      <c r="GB23" s="80"/>
      <c r="GC23" s="80"/>
      <c r="GD23" s="80"/>
      <c r="GE23" s="80">
        <f t="shared" si="73"/>
        <v>0</v>
      </c>
      <c r="GF23" s="80"/>
      <c r="GG23" s="80">
        <f t="shared" si="74"/>
        <v>0</v>
      </c>
      <c r="GH23" s="80" t="str">
        <f t="shared" si="75"/>
        <v/>
      </c>
      <c r="GI23" s="80" t="str">
        <f t="shared" si="76"/>
        <v/>
      </c>
      <c r="GJ23" s="80" t="str">
        <f t="shared" si="77"/>
        <v/>
      </c>
      <c r="GK23" s="3">
        <v>21</v>
      </c>
      <c r="GL23" s="157" t="s">
        <v>135</v>
      </c>
      <c r="GM23" s="145">
        <v>7</v>
      </c>
      <c r="GN23" s="143">
        <v>2</v>
      </c>
      <c r="GO23" s="143">
        <v>10</v>
      </c>
      <c r="GP23" s="143">
        <v>8</v>
      </c>
      <c r="GQ23" s="113">
        <f t="shared" si="78"/>
        <v>27</v>
      </c>
      <c r="GR23" s="143">
        <v>26</v>
      </c>
      <c r="GS23" s="113">
        <f t="shared" si="79"/>
        <v>53</v>
      </c>
      <c r="GT23" s="113">
        <f t="shared" si="80"/>
        <v>25</v>
      </c>
      <c r="GU23" s="113" t="str">
        <f t="shared" si="81"/>
        <v>C</v>
      </c>
      <c r="GV23" s="113" t="str">
        <f t="shared" si="82"/>
        <v>Credit</v>
      </c>
      <c r="GW23" s="3">
        <v>21</v>
      </c>
      <c r="GX23" s="107"/>
      <c r="GY23" s="145">
        <v>9</v>
      </c>
      <c r="GZ23" s="143">
        <v>7</v>
      </c>
      <c r="HA23" s="143">
        <v>10</v>
      </c>
      <c r="HB23" s="143">
        <v>10</v>
      </c>
      <c r="HC23" s="107">
        <f t="shared" si="83"/>
        <v>36</v>
      </c>
      <c r="HD23" s="143">
        <v>42</v>
      </c>
      <c r="HE23" s="107">
        <f t="shared" si="84"/>
        <v>78</v>
      </c>
      <c r="HF23" s="107">
        <f t="shared" si="85"/>
        <v>9</v>
      </c>
      <c r="HG23" s="107" t="str">
        <f t="shared" si="86"/>
        <v>A</v>
      </c>
      <c r="HH23" s="107" t="str">
        <f t="shared" si="87"/>
        <v>Excellent</v>
      </c>
    </row>
    <row r="24" spans="1:216" ht="18.75">
      <c r="A24" s="185">
        <v>22</v>
      </c>
      <c r="B24" s="160" t="s">
        <v>136</v>
      </c>
      <c r="C24" s="130">
        <v>0</v>
      </c>
      <c r="D24" s="131">
        <v>6</v>
      </c>
      <c r="E24" s="131">
        <v>9</v>
      </c>
      <c r="F24" s="131">
        <v>9</v>
      </c>
      <c r="G24" s="53">
        <f t="shared" si="1"/>
        <v>24</v>
      </c>
      <c r="H24" s="131">
        <v>23</v>
      </c>
      <c r="I24" s="53">
        <f t="shared" si="2"/>
        <v>47</v>
      </c>
      <c r="J24" s="53">
        <f t="shared" si="3"/>
        <v>44</v>
      </c>
      <c r="K24" s="53" t="str">
        <f t="shared" si="4"/>
        <v>P</v>
      </c>
      <c r="L24" s="53" t="str">
        <f t="shared" si="5"/>
        <v>Pass</v>
      </c>
      <c r="M24" s="44">
        <v>22</v>
      </c>
      <c r="N24" s="59"/>
      <c r="O24" s="135">
        <v>2</v>
      </c>
      <c r="P24" s="136">
        <v>3</v>
      </c>
      <c r="Q24" s="136">
        <v>5</v>
      </c>
      <c r="R24" s="136">
        <v>10</v>
      </c>
      <c r="S24" s="59">
        <f t="shared" si="90"/>
        <v>20</v>
      </c>
      <c r="T24" s="136">
        <v>17</v>
      </c>
      <c r="U24" s="59">
        <f t="shared" si="7"/>
        <v>37</v>
      </c>
      <c r="V24" s="59">
        <f t="shared" si="8"/>
        <v>37</v>
      </c>
      <c r="W24" s="59" t="str">
        <f t="shared" si="9"/>
        <v>F</v>
      </c>
      <c r="X24" s="59" t="str">
        <f t="shared" si="10"/>
        <v>Fail</v>
      </c>
      <c r="Y24" s="3">
        <v>22</v>
      </c>
      <c r="Z24" s="80"/>
      <c r="AA24" s="135"/>
      <c r="AB24" s="136">
        <v>7</v>
      </c>
      <c r="AC24" s="136">
        <v>3</v>
      </c>
      <c r="AD24" s="136">
        <v>6</v>
      </c>
      <c r="AE24" s="80">
        <f t="shared" si="91"/>
        <v>16</v>
      </c>
      <c r="AF24" s="136">
        <v>33</v>
      </c>
      <c r="AG24" s="80">
        <f t="shared" si="11"/>
        <v>49</v>
      </c>
      <c r="AH24" s="80">
        <f t="shared" si="12"/>
        <v>42</v>
      </c>
      <c r="AI24" s="80" t="str">
        <f t="shared" si="13"/>
        <v>P</v>
      </c>
      <c r="AJ24" s="80" t="str">
        <f t="shared" si="14"/>
        <v>Pass</v>
      </c>
      <c r="AK24" s="3">
        <v>22</v>
      </c>
      <c r="AL24" s="160" t="s">
        <v>136</v>
      </c>
      <c r="AM24" s="135"/>
      <c r="AN24" s="136"/>
      <c r="AO24" s="136"/>
      <c r="AP24" s="136"/>
      <c r="AQ24" s="47">
        <f t="shared" si="15"/>
        <v>0</v>
      </c>
      <c r="AR24" s="136"/>
      <c r="AS24" s="47">
        <f t="shared" si="16"/>
        <v>0</v>
      </c>
      <c r="AT24" s="47" t="str">
        <f t="shared" si="17"/>
        <v/>
      </c>
      <c r="AU24" s="47" t="str">
        <f t="shared" si="18"/>
        <v/>
      </c>
      <c r="AV24" s="47" t="str">
        <f t="shared" si="19"/>
        <v/>
      </c>
      <c r="AW24" s="3">
        <v>22</v>
      </c>
      <c r="AX24" s="160" t="s">
        <v>136</v>
      </c>
      <c r="AY24" s="130">
        <v>4</v>
      </c>
      <c r="AZ24" s="131">
        <v>4</v>
      </c>
      <c r="BA24" s="131">
        <v>5</v>
      </c>
      <c r="BB24" s="131">
        <v>8</v>
      </c>
      <c r="BC24" s="85">
        <f t="shared" si="20"/>
        <v>21</v>
      </c>
      <c r="BD24" s="131">
        <v>38</v>
      </c>
      <c r="BE24" s="85">
        <f t="shared" si="21"/>
        <v>59</v>
      </c>
      <c r="BF24" s="85">
        <f t="shared" si="22"/>
        <v>37</v>
      </c>
      <c r="BG24" s="85" t="str">
        <f t="shared" si="23"/>
        <v>C</v>
      </c>
      <c r="BH24" s="85" t="str">
        <f t="shared" si="24"/>
        <v>Credit</v>
      </c>
      <c r="BI24" s="3">
        <v>22</v>
      </c>
      <c r="BJ24" s="90"/>
      <c r="BK24" s="167">
        <v>5</v>
      </c>
      <c r="BL24" s="168">
        <v>8</v>
      </c>
      <c r="BM24" s="168">
        <v>2</v>
      </c>
      <c r="BN24" s="168">
        <v>5</v>
      </c>
      <c r="BO24" s="90">
        <f t="shared" si="25"/>
        <v>20</v>
      </c>
      <c r="BP24" s="173">
        <v>17</v>
      </c>
      <c r="BQ24" s="90">
        <f t="shared" si="26"/>
        <v>37</v>
      </c>
      <c r="BR24" s="90">
        <f t="shared" si="27"/>
        <v>39</v>
      </c>
      <c r="BS24" s="90" t="str">
        <f t="shared" si="28"/>
        <v>F</v>
      </c>
      <c r="BT24" s="90" t="str">
        <f t="shared" si="29"/>
        <v>Fail</v>
      </c>
      <c r="BU24" s="3">
        <v>22</v>
      </c>
      <c r="BV24" s="160" t="s">
        <v>136</v>
      </c>
      <c r="BW24" s="145">
        <v>4</v>
      </c>
      <c r="BX24" s="143">
        <v>2</v>
      </c>
      <c r="BY24" s="143">
        <v>9</v>
      </c>
      <c r="BZ24" s="143">
        <v>9</v>
      </c>
      <c r="CA24" s="94">
        <f t="shared" si="30"/>
        <v>24</v>
      </c>
      <c r="CB24" s="143">
        <v>43</v>
      </c>
      <c r="CC24" s="94">
        <f t="shared" si="31"/>
        <v>67</v>
      </c>
      <c r="CD24" s="94">
        <f t="shared" si="32"/>
        <v>10</v>
      </c>
      <c r="CE24" s="94" t="str">
        <f t="shared" si="33"/>
        <v>C</v>
      </c>
      <c r="CF24" s="94" t="str">
        <f t="shared" si="34"/>
        <v>Credit</v>
      </c>
      <c r="CG24" s="3">
        <v>22</v>
      </c>
      <c r="CH24" s="160" t="s">
        <v>136</v>
      </c>
      <c r="CI24" s="145">
        <v>6</v>
      </c>
      <c r="CJ24" s="143">
        <v>6</v>
      </c>
      <c r="CK24" s="143">
        <v>8</v>
      </c>
      <c r="CL24" s="143">
        <v>9</v>
      </c>
      <c r="CM24" s="66">
        <f t="shared" si="35"/>
        <v>29</v>
      </c>
      <c r="CN24" s="143">
        <v>24</v>
      </c>
      <c r="CO24" s="66">
        <f t="shared" si="89"/>
        <v>53</v>
      </c>
      <c r="CP24" s="66">
        <f t="shared" si="36"/>
        <v>36</v>
      </c>
      <c r="CQ24" s="66" t="str">
        <f t="shared" si="37"/>
        <v>C</v>
      </c>
      <c r="CR24" s="66" t="str">
        <f t="shared" si="38"/>
        <v>Credit</v>
      </c>
      <c r="CS24" s="3">
        <v>22</v>
      </c>
      <c r="CT24" s="160" t="s">
        <v>136</v>
      </c>
      <c r="CU24" s="148"/>
      <c r="CV24" s="149">
        <v>6</v>
      </c>
      <c r="CW24" s="149">
        <v>8</v>
      </c>
      <c r="CX24" s="149">
        <v>10</v>
      </c>
      <c r="CY24" s="70">
        <f t="shared" si="39"/>
        <v>24</v>
      </c>
      <c r="CZ24" s="149">
        <v>35</v>
      </c>
      <c r="DA24" s="70">
        <f t="shared" si="40"/>
        <v>59</v>
      </c>
      <c r="DB24" s="70">
        <f t="shared" si="41"/>
        <v>33</v>
      </c>
      <c r="DC24" s="70" t="str">
        <f t="shared" si="42"/>
        <v>C</v>
      </c>
      <c r="DD24" s="70" t="str">
        <f t="shared" si="43"/>
        <v>Credit</v>
      </c>
      <c r="DE24" s="3">
        <v>22</v>
      </c>
      <c r="DF24" s="59"/>
      <c r="DG24" s="145">
        <v>7</v>
      </c>
      <c r="DH24" s="143">
        <v>9</v>
      </c>
      <c r="DI24" s="143">
        <v>10</v>
      </c>
      <c r="DJ24" s="143">
        <v>10</v>
      </c>
      <c r="DK24" s="59">
        <f t="shared" si="44"/>
        <v>36</v>
      </c>
      <c r="DL24" s="143">
        <v>34</v>
      </c>
      <c r="DM24" s="59">
        <f t="shared" si="45"/>
        <v>70</v>
      </c>
      <c r="DN24" s="59">
        <f t="shared" si="46"/>
        <v>18</v>
      </c>
      <c r="DO24" s="59" t="str">
        <f t="shared" si="47"/>
        <v>A</v>
      </c>
      <c r="DP24" s="59" t="str">
        <f t="shared" si="48"/>
        <v>Excellent</v>
      </c>
      <c r="DQ24" s="3">
        <v>22</v>
      </c>
      <c r="DR24" s="160" t="s">
        <v>136</v>
      </c>
      <c r="DS24" s="145"/>
      <c r="DT24" s="143">
        <v>4</v>
      </c>
      <c r="DU24" s="143">
        <v>7</v>
      </c>
      <c r="DV24" s="143">
        <v>10</v>
      </c>
      <c r="DW24" s="102">
        <f t="shared" si="49"/>
        <v>21</v>
      </c>
      <c r="DX24" s="143">
        <v>28</v>
      </c>
      <c r="DY24" s="102">
        <f t="shared" si="50"/>
        <v>49</v>
      </c>
      <c r="DZ24" s="102">
        <f t="shared" si="51"/>
        <v>43</v>
      </c>
      <c r="EA24" s="102" t="str">
        <f t="shared" si="52"/>
        <v>P</v>
      </c>
      <c r="EB24" s="102" t="str">
        <f t="shared" si="53"/>
        <v>Pass</v>
      </c>
      <c r="EC24" s="3">
        <v>22</v>
      </c>
      <c r="ED24" s="75"/>
      <c r="EE24" s="145">
        <v>3</v>
      </c>
      <c r="EF24" s="143">
        <v>5</v>
      </c>
      <c r="EG24" s="143">
        <v>9</v>
      </c>
      <c r="EH24" s="143">
        <v>2</v>
      </c>
      <c r="EI24" s="75">
        <f t="shared" si="54"/>
        <v>19</v>
      </c>
      <c r="EJ24" s="143">
        <v>20</v>
      </c>
      <c r="EK24" s="75">
        <f t="shared" si="0"/>
        <v>39</v>
      </c>
      <c r="EL24" s="75">
        <f t="shared" si="55"/>
        <v>45</v>
      </c>
      <c r="EM24" s="75" t="str">
        <f t="shared" si="56"/>
        <v>F</v>
      </c>
      <c r="EN24" s="75" t="str">
        <f t="shared" si="57"/>
        <v>Fail</v>
      </c>
      <c r="EO24" s="3">
        <v>22</v>
      </c>
      <c r="EP24" s="160" t="s">
        <v>136</v>
      </c>
      <c r="EQ24" s="3">
        <v>7</v>
      </c>
      <c r="ER24" s="147">
        <v>5</v>
      </c>
      <c r="ES24" s="147">
        <v>10</v>
      </c>
      <c r="ET24" s="147">
        <v>10</v>
      </c>
      <c r="EU24" s="98">
        <f t="shared" si="58"/>
        <v>32</v>
      </c>
      <c r="EV24" s="147">
        <v>14</v>
      </c>
      <c r="EW24" s="98">
        <f t="shared" si="59"/>
        <v>46</v>
      </c>
      <c r="EX24" s="98">
        <f t="shared" si="60"/>
        <v>22</v>
      </c>
      <c r="EY24" s="98" t="str">
        <f t="shared" si="61"/>
        <v>P</v>
      </c>
      <c r="EZ24" s="98" t="str">
        <f t="shared" si="62"/>
        <v>Pass</v>
      </c>
      <c r="FA24" s="3">
        <v>22</v>
      </c>
      <c r="FB24" s="113"/>
      <c r="FC24" s="145">
        <v>7</v>
      </c>
      <c r="FD24" s="143">
        <v>10</v>
      </c>
      <c r="FE24" s="143">
        <v>3</v>
      </c>
      <c r="FF24" s="143">
        <v>8</v>
      </c>
      <c r="FG24" s="113">
        <f t="shared" si="63"/>
        <v>28</v>
      </c>
      <c r="FH24" s="143">
        <v>41</v>
      </c>
      <c r="FI24" s="113">
        <f t="shared" si="64"/>
        <v>69</v>
      </c>
      <c r="FJ24" s="113">
        <f t="shared" si="65"/>
        <v>24</v>
      </c>
      <c r="FK24" s="113" t="str">
        <f t="shared" si="66"/>
        <v>C</v>
      </c>
      <c r="FL24" s="113" t="str">
        <f t="shared" si="67"/>
        <v>Credit</v>
      </c>
      <c r="FM24" s="3">
        <v>22</v>
      </c>
      <c r="FN24" s="53"/>
      <c r="FO24" s="145">
        <v>8</v>
      </c>
      <c r="FP24" s="143">
        <v>9</v>
      </c>
      <c r="FQ24" s="143">
        <v>10</v>
      </c>
      <c r="FR24" s="143">
        <v>5</v>
      </c>
      <c r="FS24" s="53">
        <f t="shared" si="68"/>
        <v>32</v>
      </c>
      <c r="FT24" s="143">
        <v>31</v>
      </c>
      <c r="FU24" s="53">
        <f t="shared" si="69"/>
        <v>63</v>
      </c>
      <c r="FV24" s="53">
        <f t="shared" si="70"/>
        <v>31</v>
      </c>
      <c r="FW24" s="53" t="str">
        <f t="shared" si="71"/>
        <v>C</v>
      </c>
      <c r="FX24" s="53" t="str">
        <f t="shared" si="72"/>
        <v>Credit</v>
      </c>
      <c r="FY24" s="3">
        <v>22</v>
      </c>
      <c r="FZ24" s="80"/>
      <c r="GA24" s="80"/>
      <c r="GB24" s="80"/>
      <c r="GC24" s="80"/>
      <c r="GD24" s="80"/>
      <c r="GE24" s="80">
        <f t="shared" si="73"/>
        <v>0</v>
      </c>
      <c r="GF24" s="80"/>
      <c r="GG24" s="80">
        <f t="shared" si="74"/>
        <v>0</v>
      </c>
      <c r="GH24" s="80" t="str">
        <f t="shared" si="75"/>
        <v/>
      </c>
      <c r="GI24" s="80" t="str">
        <f t="shared" si="76"/>
        <v/>
      </c>
      <c r="GJ24" s="80" t="str">
        <f t="shared" si="77"/>
        <v/>
      </c>
      <c r="GK24" s="3">
        <v>22</v>
      </c>
      <c r="GL24" s="160" t="s">
        <v>136</v>
      </c>
      <c r="GM24" s="145">
        <v>9</v>
      </c>
      <c r="GN24" s="143">
        <v>6</v>
      </c>
      <c r="GO24" s="143">
        <v>6</v>
      </c>
      <c r="GP24" s="143">
        <v>7</v>
      </c>
      <c r="GQ24" s="113">
        <f t="shared" si="78"/>
        <v>28</v>
      </c>
      <c r="GR24" s="143">
        <v>24</v>
      </c>
      <c r="GS24" s="113">
        <f t="shared" si="79"/>
        <v>52</v>
      </c>
      <c r="GT24" s="113">
        <f t="shared" si="80"/>
        <v>26</v>
      </c>
      <c r="GU24" s="113" t="str">
        <f t="shared" si="81"/>
        <v>C</v>
      </c>
      <c r="GV24" s="113" t="str">
        <f t="shared" si="82"/>
        <v>Credit</v>
      </c>
      <c r="GW24" s="3">
        <v>22</v>
      </c>
      <c r="GX24" s="107"/>
      <c r="GY24" s="145">
        <v>6</v>
      </c>
      <c r="GZ24" s="143">
        <v>5</v>
      </c>
      <c r="HA24" s="143">
        <v>10</v>
      </c>
      <c r="HB24" s="143">
        <v>10</v>
      </c>
      <c r="HC24" s="107">
        <f t="shared" si="83"/>
        <v>31</v>
      </c>
      <c r="HD24" s="143">
        <v>33</v>
      </c>
      <c r="HE24" s="107">
        <f t="shared" si="84"/>
        <v>64</v>
      </c>
      <c r="HF24" s="107">
        <f t="shared" si="85"/>
        <v>25</v>
      </c>
      <c r="HG24" s="107" t="str">
        <f t="shared" si="86"/>
        <v>C</v>
      </c>
      <c r="HH24" s="107" t="str">
        <f t="shared" si="87"/>
        <v>Credit</v>
      </c>
    </row>
    <row r="25" spans="1:216" ht="18.75">
      <c r="A25" s="186">
        <v>23</v>
      </c>
      <c r="B25" s="161" t="s">
        <v>137</v>
      </c>
      <c r="C25" s="130">
        <v>3</v>
      </c>
      <c r="D25" s="131">
        <v>8</v>
      </c>
      <c r="E25" s="131">
        <v>9</v>
      </c>
      <c r="F25" s="131">
        <v>10</v>
      </c>
      <c r="G25" s="53">
        <f t="shared" si="1"/>
        <v>30</v>
      </c>
      <c r="H25" s="131">
        <v>33</v>
      </c>
      <c r="I25" s="53">
        <f t="shared" si="2"/>
        <v>63</v>
      </c>
      <c r="J25" s="53">
        <f t="shared" si="3"/>
        <v>20</v>
      </c>
      <c r="K25" s="53" t="str">
        <f t="shared" si="4"/>
        <v>C</v>
      </c>
      <c r="L25" s="53" t="str">
        <f t="shared" si="5"/>
        <v>Credit</v>
      </c>
      <c r="M25" s="44">
        <v>23</v>
      </c>
      <c r="N25" s="59"/>
      <c r="O25" s="135">
        <v>4</v>
      </c>
      <c r="P25" s="136">
        <v>3</v>
      </c>
      <c r="Q25" s="136">
        <v>5</v>
      </c>
      <c r="R25" s="136">
        <v>10</v>
      </c>
      <c r="S25" s="59">
        <f t="shared" si="90"/>
        <v>22</v>
      </c>
      <c r="T25" s="136">
        <v>26</v>
      </c>
      <c r="U25" s="59">
        <f t="shared" si="7"/>
        <v>48</v>
      </c>
      <c r="V25" s="59">
        <f t="shared" si="8"/>
        <v>18</v>
      </c>
      <c r="W25" s="59" t="str">
        <f t="shared" si="9"/>
        <v>P</v>
      </c>
      <c r="X25" s="59" t="str">
        <f t="shared" si="10"/>
        <v>Pass</v>
      </c>
      <c r="Y25" s="3">
        <v>23</v>
      </c>
      <c r="Z25" s="80"/>
      <c r="AA25" s="135">
        <v>7</v>
      </c>
      <c r="AB25" s="136">
        <v>7</v>
      </c>
      <c r="AC25" s="136">
        <v>9</v>
      </c>
      <c r="AD25" s="136">
        <v>5</v>
      </c>
      <c r="AE25" s="80">
        <f t="shared" si="91"/>
        <v>28</v>
      </c>
      <c r="AF25" s="136">
        <v>35</v>
      </c>
      <c r="AG25" s="80">
        <f t="shared" si="11"/>
        <v>63</v>
      </c>
      <c r="AH25" s="80">
        <f t="shared" si="12"/>
        <v>21</v>
      </c>
      <c r="AI25" s="80" t="str">
        <f t="shared" si="13"/>
        <v>C</v>
      </c>
      <c r="AJ25" s="80" t="str">
        <f t="shared" si="14"/>
        <v>Credit</v>
      </c>
      <c r="AK25" s="3">
        <v>23</v>
      </c>
      <c r="AL25" s="161" t="s">
        <v>137</v>
      </c>
      <c r="AM25" s="135">
        <v>4</v>
      </c>
      <c r="AN25" s="136">
        <v>7</v>
      </c>
      <c r="AO25" s="136">
        <v>10</v>
      </c>
      <c r="AP25" s="136">
        <v>10</v>
      </c>
      <c r="AQ25" s="47">
        <f t="shared" si="15"/>
        <v>31</v>
      </c>
      <c r="AR25" s="136">
        <v>30</v>
      </c>
      <c r="AS25" s="47">
        <f t="shared" si="16"/>
        <v>61</v>
      </c>
      <c r="AT25" s="47">
        <f t="shared" si="17"/>
        <v>10</v>
      </c>
      <c r="AU25" s="47" t="str">
        <f t="shared" si="18"/>
        <v>C</v>
      </c>
      <c r="AV25" s="47" t="str">
        <f t="shared" si="19"/>
        <v>Credit</v>
      </c>
      <c r="AW25" s="3">
        <v>23</v>
      </c>
      <c r="AX25" s="161" t="s">
        <v>137</v>
      </c>
      <c r="AY25" s="130">
        <v>8</v>
      </c>
      <c r="AZ25" s="131">
        <v>8</v>
      </c>
      <c r="BA25" s="131">
        <v>5</v>
      </c>
      <c r="BB25" s="131">
        <v>8</v>
      </c>
      <c r="BC25" s="85">
        <f t="shared" si="20"/>
        <v>29</v>
      </c>
      <c r="BD25" s="131">
        <v>35</v>
      </c>
      <c r="BE25" s="85">
        <f t="shared" si="21"/>
        <v>64</v>
      </c>
      <c r="BF25" s="85">
        <f t="shared" si="22"/>
        <v>31</v>
      </c>
      <c r="BG25" s="85" t="str">
        <f t="shared" si="23"/>
        <v>C</v>
      </c>
      <c r="BH25" s="85" t="str">
        <f t="shared" si="24"/>
        <v>Credit</v>
      </c>
      <c r="BI25" s="3">
        <v>23</v>
      </c>
      <c r="BJ25" s="90"/>
      <c r="BK25" s="167">
        <v>2</v>
      </c>
      <c r="BL25" s="168">
        <v>8</v>
      </c>
      <c r="BM25" s="168">
        <v>10</v>
      </c>
      <c r="BN25" s="168">
        <v>10</v>
      </c>
      <c r="BO25" s="90">
        <f t="shared" si="25"/>
        <v>30</v>
      </c>
      <c r="BP25" s="173">
        <v>38</v>
      </c>
      <c r="BQ25" s="90">
        <f t="shared" si="26"/>
        <v>68</v>
      </c>
      <c r="BR25" s="90">
        <f t="shared" si="27"/>
        <v>4</v>
      </c>
      <c r="BS25" s="90" t="str">
        <f t="shared" si="28"/>
        <v>C</v>
      </c>
      <c r="BT25" s="90" t="str">
        <f t="shared" si="29"/>
        <v>Credit</v>
      </c>
      <c r="BU25" s="3">
        <v>23</v>
      </c>
      <c r="BV25" s="161" t="s">
        <v>137</v>
      </c>
      <c r="BW25" s="145">
        <v>6</v>
      </c>
      <c r="BX25" s="143">
        <v>4</v>
      </c>
      <c r="BY25" s="143">
        <v>9</v>
      </c>
      <c r="BZ25" s="143">
        <v>7</v>
      </c>
      <c r="CA25" s="94">
        <f t="shared" si="30"/>
        <v>26</v>
      </c>
      <c r="CB25" s="143">
        <v>23</v>
      </c>
      <c r="CC25" s="94">
        <f t="shared" si="31"/>
        <v>49</v>
      </c>
      <c r="CD25" s="94">
        <f t="shared" si="32"/>
        <v>40</v>
      </c>
      <c r="CE25" s="94" t="str">
        <f t="shared" si="33"/>
        <v>P</v>
      </c>
      <c r="CF25" s="94" t="str">
        <f t="shared" si="34"/>
        <v>Pass</v>
      </c>
      <c r="CG25" s="3">
        <v>23</v>
      </c>
      <c r="CH25" s="161" t="s">
        <v>137</v>
      </c>
      <c r="CI25" s="145">
        <v>10</v>
      </c>
      <c r="CJ25" s="143">
        <v>9</v>
      </c>
      <c r="CK25" s="143">
        <v>10</v>
      </c>
      <c r="CL25" s="143">
        <v>9</v>
      </c>
      <c r="CM25" s="66">
        <v>49</v>
      </c>
      <c r="CN25" s="143">
        <v>49</v>
      </c>
      <c r="CO25" s="66">
        <f t="shared" si="89"/>
        <v>98</v>
      </c>
      <c r="CP25" s="66">
        <f t="shared" si="36"/>
        <v>1</v>
      </c>
      <c r="CQ25" s="66" t="str">
        <f t="shared" si="37"/>
        <v>A</v>
      </c>
      <c r="CR25" s="66" t="str">
        <f t="shared" si="38"/>
        <v>Excellent</v>
      </c>
      <c r="CS25" s="3">
        <v>23</v>
      </c>
      <c r="CT25" s="161" t="s">
        <v>137</v>
      </c>
      <c r="CU25" s="148">
        <v>9</v>
      </c>
      <c r="CV25" s="149">
        <v>10</v>
      </c>
      <c r="CW25" s="149">
        <v>8</v>
      </c>
      <c r="CX25" s="149">
        <v>10</v>
      </c>
      <c r="CY25" s="70">
        <f t="shared" si="39"/>
        <v>37</v>
      </c>
      <c r="CZ25" s="149">
        <v>35</v>
      </c>
      <c r="DA25" s="70">
        <f>CY25+CZ25</f>
        <v>72</v>
      </c>
      <c r="DB25" s="70">
        <f t="shared" si="41"/>
        <v>9</v>
      </c>
      <c r="DC25" s="70" t="str">
        <f t="shared" si="42"/>
        <v>A</v>
      </c>
      <c r="DD25" s="70" t="str">
        <f t="shared" si="43"/>
        <v>Excellent</v>
      </c>
      <c r="DE25" s="3">
        <v>23</v>
      </c>
      <c r="DF25" s="59"/>
      <c r="DG25" s="145">
        <v>9</v>
      </c>
      <c r="DH25" s="143">
        <v>9</v>
      </c>
      <c r="DI25" s="143">
        <v>1</v>
      </c>
      <c r="DJ25" s="143">
        <v>8</v>
      </c>
      <c r="DK25" s="59">
        <f t="shared" si="44"/>
        <v>27</v>
      </c>
      <c r="DL25" s="143">
        <v>26</v>
      </c>
      <c r="DM25" s="59">
        <f t="shared" si="45"/>
        <v>53</v>
      </c>
      <c r="DN25" s="59">
        <f t="shared" si="46"/>
        <v>41</v>
      </c>
      <c r="DO25" s="59" t="str">
        <f t="shared" si="47"/>
        <v>C</v>
      </c>
      <c r="DP25" s="59" t="str">
        <f t="shared" si="48"/>
        <v>Credit</v>
      </c>
      <c r="DQ25" s="3">
        <v>23</v>
      </c>
      <c r="DR25" s="161" t="s">
        <v>137</v>
      </c>
      <c r="DS25" s="145">
        <v>8</v>
      </c>
      <c r="DT25" s="143">
        <v>8</v>
      </c>
      <c r="DU25" s="143">
        <v>9</v>
      </c>
      <c r="DV25" s="143">
        <v>9</v>
      </c>
      <c r="DW25" s="102">
        <f t="shared" si="49"/>
        <v>34</v>
      </c>
      <c r="DX25" s="143">
        <v>35</v>
      </c>
      <c r="DY25" s="102">
        <f t="shared" si="50"/>
        <v>69</v>
      </c>
      <c r="DZ25" s="102">
        <f t="shared" si="51"/>
        <v>11</v>
      </c>
      <c r="EA25" s="102" t="str">
        <f t="shared" si="52"/>
        <v>C</v>
      </c>
      <c r="EB25" s="102" t="str">
        <f t="shared" si="53"/>
        <v>Credit</v>
      </c>
      <c r="EC25" s="3">
        <v>23</v>
      </c>
      <c r="ED25" s="75"/>
      <c r="EE25" s="145">
        <v>7</v>
      </c>
      <c r="EF25" s="143">
        <v>7</v>
      </c>
      <c r="EG25" s="143">
        <v>10</v>
      </c>
      <c r="EH25" s="143">
        <v>4</v>
      </c>
      <c r="EI25" s="75">
        <f t="shared" si="54"/>
        <v>28</v>
      </c>
      <c r="EJ25" s="143">
        <v>29</v>
      </c>
      <c r="EK25" s="75">
        <f t="shared" si="0"/>
        <v>57</v>
      </c>
      <c r="EL25" s="75">
        <f t="shared" si="55"/>
        <v>11</v>
      </c>
      <c r="EM25" s="75" t="str">
        <f t="shared" si="56"/>
        <v>C</v>
      </c>
      <c r="EN25" s="75" t="str">
        <f t="shared" si="57"/>
        <v>Credit</v>
      </c>
      <c r="EO25" s="3">
        <v>23</v>
      </c>
      <c r="EP25" s="161" t="s">
        <v>137</v>
      </c>
      <c r="EQ25" s="3">
        <v>5</v>
      </c>
      <c r="ER25" s="147">
        <v>6</v>
      </c>
      <c r="ES25" s="147">
        <v>1</v>
      </c>
      <c r="ET25" s="147">
        <v>10</v>
      </c>
      <c r="EU25" s="98">
        <f t="shared" si="58"/>
        <v>22</v>
      </c>
      <c r="EV25" s="147">
        <v>18</v>
      </c>
      <c r="EW25" s="98">
        <f t="shared" si="59"/>
        <v>40</v>
      </c>
      <c r="EX25" s="98">
        <f t="shared" si="60"/>
        <v>37</v>
      </c>
      <c r="EY25" s="98" t="str">
        <f t="shared" si="61"/>
        <v>F</v>
      </c>
      <c r="EZ25" s="98" t="str">
        <f t="shared" si="62"/>
        <v>Fail</v>
      </c>
      <c r="FA25" s="3">
        <v>23</v>
      </c>
      <c r="FB25" s="113"/>
      <c r="FC25" s="145">
        <v>8</v>
      </c>
      <c r="FD25" s="143">
        <v>10</v>
      </c>
      <c r="FE25" s="143">
        <v>10</v>
      </c>
      <c r="FF25" s="143">
        <v>8</v>
      </c>
      <c r="FG25" s="113">
        <f t="shared" si="63"/>
        <v>36</v>
      </c>
      <c r="FH25" s="143">
        <v>33</v>
      </c>
      <c r="FI25" s="113">
        <f t="shared" si="64"/>
        <v>69</v>
      </c>
      <c r="FJ25" s="113">
        <f t="shared" si="65"/>
        <v>24</v>
      </c>
      <c r="FK25" s="113" t="str">
        <f t="shared" si="66"/>
        <v>C</v>
      </c>
      <c r="FL25" s="113" t="str">
        <f t="shared" si="67"/>
        <v>Credit</v>
      </c>
      <c r="FM25" s="3">
        <v>23</v>
      </c>
      <c r="FN25" s="53"/>
      <c r="FO25" s="145">
        <v>9</v>
      </c>
      <c r="FP25" s="143">
        <v>9</v>
      </c>
      <c r="FQ25" s="143">
        <v>10</v>
      </c>
      <c r="FR25" s="143">
        <v>5</v>
      </c>
      <c r="FS25" s="53">
        <f t="shared" si="68"/>
        <v>33</v>
      </c>
      <c r="FT25" s="143">
        <v>37</v>
      </c>
      <c r="FU25" s="53">
        <f t="shared" si="69"/>
        <v>70</v>
      </c>
      <c r="FV25" s="53">
        <f t="shared" si="70"/>
        <v>21</v>
      </c>
      <c r="FW25" s="53" t="str">
        <f t="shared" si="71"/>
        <v>A</v>
      </c>
      <c r="FX25" s="53" t="str">
        <f t="shared" si="72"/>
        <v>Excellent</v>
      </c>
      <c r="FY25" s="3">
        <v>23</v>
      </c>
      <c r="FZ25" s="80"/>
      <c r="GA25" s="80"/>
      <c r="GB25" s="80"/>
      <c r="GC25" s="80"/>
      <c r="GD25" s="80"/>
      <c r="GE25" s="80">
        <f t="shared" si="73"/>
        <v>0</v>
      </c>
      <c r="GF25" s="80"/>
      <c r="GG25" s="80">
        <f t="shared" si="74"/>
        <v>0</v>
      </c>
      <c r="GH25" s="80" t="str">
        <f t="shared" si="75"/>
        <v/>
      </c>
      <c r="GI25" s="80" t="str">
        <f t="shared" si="76"/>
        <v/>
      </c>
      <c r="GJ25" s="80" t="str">
        <f t="shared" si="77"/>
        <v/>
      </c>
      <c r="GK25" s="3">
        <v>23</v>
      </c>
      <c r="GL25" s="161" t="s">
        <v>137</v>
      </c>
      <c r="GM25" s="145">
        <v>9</v>
      </c>
      <c r="GN25" s="143">
        <v>5</v>
      </c>
      <c r="GO25" s="143">
        <v>5</v>
      </c>
      <c r="GP25" s="143">
        <v>7</v>
      </c>
      <c r="GQ25" s="113">
        <f t="shared" si="78"/>
        <v>26</v>
      </c>
      <c r="GR25" s="143">
        <v>19</v>
      </c>
      <c r="GS25" s="113">
        <f t="shared" si="79"/>
        <v>45</v>
      </c>
      <c r="GT25" s="113">
        <f t="shared" si="80"/>
        <v>39</v>
      </c>
      <c r="GU25" s="113" t="str">
        <f t="shared" si="81"/>
        <v>P</v>
      </c>
      <c r="GV25" s="113" t="str">
        <f t="shared" si="82"/>
        <v>Pass</v>
      </c>
      <c r="GW25" s="3">
        <v>23</v>
      </c>
      <c r="GX25" s="107"/>
      <c r="GY25" s="145"/>
      <c r="GZ25" s="143"/>
      <c r="HA25" s="143"/>
      <c r="HB25" s="143"/>
      <c r="HC25" s="107">
        <f t="shared" si="83"/>
        <v>0</v>
      </c>
      <c r="HD25" s="143"/>
      <c r="HE25" s="107">
        <f t="shared" si="84"/>
        <v>0</v>
      </c>
      <c r="HF25" s="107" t="str">
        <f t="shared" si="85"/>
        <v/>
      </c>
      <c r="HG25" s="107" t="str">
        <f t="shared" si="86"/>
        <v/>
      </c>
      <c r="HH25" s="107" t="str">
        <f t="shared" si="87"/>
        <v/>
      </c>
    </row>
    <row r="26" spans="1:216" ht="25.5">
      <c r="A26" s="185">
        <v>24</v>
      </c>
      <c r="B26" s="161" t="s">
        <v>138</v>
      </c>
      <c r="C26" s="130">
        <v>4</v>
      </c>
      <c r="D26" s="131">
        <v>8</v>
      </c>
      <c r="E26" s="131">
        <v>9</v>
      </c>
      <c r="F26" s="131">
        <v>9</v>
      </c>
      <c r="G26" s="53">
        <f t="shared" si="1"/>
        <v>30</v>
      </c>
      <c r="H26" s="131">
        <v>45</v>
      </c>
      <c r="I26" s="53">
        <f t="shared" si="2"/>
        <v>75</v>
      </c>
      <c r="J26" s="53">
        <f t="shared" si="3"/>
        <v>4</v>
      </c>
      <c r="K26" s="53" t="str">
        <f t="shared" si="4"/>
        <v>A</v>
      </c>
      <c r="L26" s="53" t="str">
        <f t="shared" si="5"/>
        <v>Excellent</v>
      </c>
      <c r="M26" s="44">
        <v>24</v>
      </c>
      <c r="N26" s="59"/>
      <c r="O26" s="135">
        <v>4</v>
      </c>
      <c r="P26" s="136">
        <v>4</v>
      </c>
      <c r="Q26" s="136">
        <v>9</v>
      </c>
      <c r="R26" s="136">
        <v>10</v>
      </c>
      <c r="S26" s="59">
        <f t="shared" si="90"/>
        <v>27</v>
      </c>
      <c r="T26" s="136">
        <v>26</v>
      </c>
      <c r="U26" s="59">
        <f t="shared" si="7"/>
        <v>53</v>
      </c>
      <c r="V26" s="59">
        <f t="shared" si="8"/>
        <v>6</v>
      </c>
      <c r="W26" s="59" t="str">
        <f t="shared" si="9"/>
        <v>C</v>
      </c>
      <c r="X26" s="59" t="str">
        <f t="shared" si="10"/>
        <v>Credit</v>
      </c>
      <c r="Y26" s="3">
        <v>24</v>
      </c>
      <c r="Z26" s="80"/>
      <c r="AA26" s="135">
        <v>10</v>
      </c>
      <c r="AB26" s="136">
        <v>10</v>
      </c>
      <c r="AC26" s="136">
        <v>8</v>
      </c>
      <c r="AD26" s="136">
        <v>9</v>
      </c>
      <c r="AE26" s="80">
        <f t="shared" si="91"/>
        <v>37</v>
      </c>
      <c r="AF26" s="136">
        <v>46</v>
      </c>
      <c r="AG26" s="80">
        <f t="shared" si="11"/>
        <v>83</v>
      </c>
      <c r="AH26" s="80">
        <f t="shared" si="12"/>
        <v>1</v>
      </c>
      <c r="AI26" s="80" t="str">
        <f t="shared" si="13"/>
        <v>A</v>
      </c>
      <c r="AJ26" s="80" t="str">
        <f t="shared" si="14"/>
        <v>Excellent</v>
      </c>
      <c r="AK26" s="3">
        <v>24</v>
      </c>
      <c r="AL26" s="161" t="s">
        <v>138</v>
      </c>
      <c r="AM26" s="135"/>
      <c r="AN26" s="136"/>
      <c r="AO26" s="136"/>
      <c r="AP26" s="136"/>
      <c r="AQ26" s="47">
        <f t="shared" si="15"/>
        <v>0</v>
      </c>
      <c r="AR26" s="136"/>
      <c r="AS26" s="47">
        <f t="shared" si="16"/>
        <v>0</v>
      </c>
      <c r="AT26" s="47" t="str">
        <f t="shared" si="17"/>
        <v/>
      </c>
      <c r="AU26" s="47" t="str">
        <f t="shared" si="18"/>
        <v/>
      </c>
      <c r="AV26" s="47" t="str">
        <f t="shared" si="19"/>
        <v/>
      </c>
      <c r="AW26" s="3">
        <v>24</v>
      </c>
      <c r="AX26" s="161" t="s">
        <v>138</v>
      </c>
      <c r="AY26" s="130">
        <v>10</v>
      </c>
      <c r="AZ26" s="131">
        <v>10</v>
      </c>
      <c r="BA26" s="131">
        <v>9</v>
      </c>
      <c r="BB26" s="131">
        <v>10</v>
      </c>
      <c r="BC26" s="85">
        <f t="shared" si="20"/>
        <v>39</v>
      </c>
      <c r="BD26" s="131">
        <v>49</v>
      </c>
      <c r="BE26" s="85">
        <f t="shared" si="21"/>
        <v>88</v>
      </c>
      <c r="BF26" s="85">
        <f t="shared" si="22"/>
        <v>2</v>
      </c>
      <c r="BG26" s="85" t="str">
        <f t="shared" si="23"/>
        <v>A</v>
      </c>
      <c r="BH26" s="85" t="str">
        <f t="shared" si="24"/>
        <v>Excellent</v>
      </c>
      <c r="BI26" s="3">
        <v>24</v>
      </c>
      <c r="BJ26" s="90"/>
      <c r="BK26" s="167">
        <v>8</v>
      </c>
      <c r="BL26" s="168">
        <v>8</v>
      </c>
      <c r="BM26" s="168">
        <v>10</v>
      </c>
      <c r="BN26" s="168">
        <v>10</v>
      </c>
      <c r="BO26" s="90">
        <f t="shared" si="25"/>
        <v>36</v>
      </c>
      <c r="BP26" s="173">
        <v>37</v>
      </c>
      <c r="BQ26" s="90">
        <f t="shared" si="26"/>
        <v>73</v>
      </c>
      <c r="BR26" s="90">
        <f t="shared" si="27"/>
        <v>1</v>
      </c>
      <c r="BS26" s="90" t="str">
        <f t="shared" si="28"/>
        <v>A</v>
      </c>
      <c r="BT26" s="90" t="str">
        <f t="shared" si="29"/>
        <v>Excellent</v>
      </c>
      <c r="BU26" s="3">
        <v>24</v>
      </c>
      <c r="BV26" s="161" t="s">
        <v>138</v>
      </c>
      <c r="BW26" s="145">
        <v>7</v>
      </c>
      <c r="BX26" s="143">
        <v>8</v>
      </c>
      <c r="BY26" s="143">
        <v>9</v>
      </c>
      <c r="BZ26" s="143">
        <v>8</v>
      </c>
      <c r="CA26" s="94">
        <f t="shared" si="30"/>
        <v>32</v>
      </c>
      <c r="CB26" s="143">
        <v>42</v>
      </c>
      <c r="CC26" s="94">
        <f t="shared" si="31"/>
        <v>74</v>
      </c>
      <c r="CD26" s="94">
        <f t="shared" si="32"/>
        <v>1</v>
      </c>
      <c r="CE26" s="94" t="str">
        <f t="shared" si="33"/>
        <v>A</v>
      </c>
      <c r="CF26" s="94" t="str">
        <f t="shared" si="34"/>
        <v>Excellent</v>
      </c>
      <c r="CG26" s="3">
        <v>24</v>
      </c>
      <c r="CH26" s="161" t="s">
        <v>138</v>
      </c>
      <c r="CI26" s="145">
        <v>10</v>
      </c>
      <c r="CJ26" s="143">
        <v>10</v>
      </c>
      <c r="CK26" s="143">
        <v>10</v>
      </c>
      <c r="CL26" s="143">
        <v>10</v>
      </c>
      <c r="CM26" s="66">
        <f t="shared" si="35"/>
        <v>40</v>
      </c>
      <c r="CN26" s="143">
        <v>46</v>
      </c>
      <c r="CO26" s="66">
        <f t="shared" si="89"/>
        <v>86</v>
      </c>
      <c r="CP26" s="66">
        <f t="shared" si="36"/>
        <v>2</v>
      </c>
      <c r="CQ26" s="66" t="str">
        <f t="shared" si="37"/>
        <v>A</v>
      </c>
      <c r="CR26" s="66" t="str">
        <f t="shared" si="38"/>
        <v>Excellent</v>
      </c>
      <c r="CS26" s="3">
        <v>24</v>
      </c>
      <c r="CT26" s="161" t="s">
        <v>138</v>
      </c>
      <c r="CU26" s="148">
        <v>8</v>
      </c>
      <c r="CV26" s="149">
        <v>10</v>
      </c>
      <c r="CW26" s="149">
        <v>8</v>
      </c>
      <c r="CX26" s="149">
        <v>10</v>
      </c>
      <c r="CY26" s="70">
        <f t="shared" si="39"/>
        <v>36</v>
      </c>
      <c r="CZ26" s="149">
        <v>47</v>
      </c>
      <c r="DA26" s="70">
        <f t="shared" si="40"/>
        <v>83</v>
      </c>
      <c r="DB26" s="70">
        <f t="shared" si="41"/>
        <v>1</v>
      </c>
      <c r="DC26" s="70" t="str">
        <f t="shared" si="42"/>
        <v>A</v>
      </c>
      <c r="DD26" s="70" t="str">
        <f t="shared" si="43"/>
        <v>Excellent</v>
      </c>
      <c r="DE26" s="3">
        <v>24</v>
      </c>
      <c r="DF26" s="59"/>
      <c r="DG26" s="145">
        <v>10</v>
      </c>
      <c r="DH26" s="143">
        <v>10</v>
      </c>
      <c r="DI26" s="143">
        <v>8</v>
      </c>
      <c r="DJ26" s="143">
        <v>10</v>
      </c>
      <c r="DK26" s="59">
        <f t="shared" si="44"/>
        <v>38</v>
      </c>
      <c r="DL26" s="143">
        <v>48</v>
      </c>
      <c r="DM26" s="59">
        <f t="shared" si="45"/>
        <v>86</v>
      </c>
      <c r="DN26" s="59">
        <f t="shared" si="46"/>
        <v>2</v>
      </c>
      <c r="DO26" s="59" t="str">
        <f t="shared" si="47"/>
        <v>A</v>
      </c>
      <c r="DP26" s="59" t="str">
        <f t="shared" si="48"/>
        <v>Excellent</v>
      </c>
      <c r="DQ26" s="3">
        <v>24</v>
      </c>
      <c r="DR26" s="161" t="s">
        <v>138</v>
      </c>
      <c r="DS26" s="145">
        <v>10</v>
      </c>
      <c r="DT26" s="143">
        <v>9</v>
      </c>
      <c r="DU26" s="143">
        <v>9</v>
      </c>
      <c r="DV26" s="143">
        <v>9</v>
      </c>
      <c r="DW26" s="102">
        <f t="shared" si="49"/>
        <v>37</v>
      </c>
      <c r="DX26" s="143">
        <v>35</v>
      </c>
      <c r="DY26" s="102">
        <f t="shared" si="50"/>
        <v>72</v>
      </c>
      <c r="DZ26" s="102">
        <f t="shared" si="51"/>
        <v>4</v>
      </c>
      <c r="EA26" s="102" t="str">
        <f t="shared" si="52"/>
        <v>A</v>
      </c>
      <c r="EB26" s="102" t="str">
        <f t="shared" si="53"/>
        <v>Excellent</v>
      </c>
      <c r="EC26" s="3">
        <v>24</v>
      </c>
      <c r="ED26" s="75"/>
      <c r="EE26" s="145">
        <v>10</v>
      </c>
      <c r="EF26" s="143">
        <v>9</v>
      </c>
      <c r="EG26" s="143">
        <v>9</v>
      </c>
      <c r="EH26" s="143">
        <v>9</v>
      </c>
      <c r="EI26" s="75">
        <f t="shared" si="54"/>
        <v>37</v>
      </c>
      <c r="EJ26" s="143">
        <v>34</v>
      </c>
      <c r="EK26" s="75">
        <f t="shared" si="0"/>
        <v>71</v>
      </c>
      <c r="EL26" s="75">
        <f t="shared" si="55"/>
        <v>1</v>
      </c>
      <c r="EM26" s="75" t="str">
        <f t="shared" si="56"/>
        <v>A</v>
      </c>
      <c r="EN26" s="75" t="str">
        <f t="shared" si="57"/>
        <v>Excellent</v>
      </c>
      <c r="EO26" s="3">
        <v>24</v>
      </c>
      <c r="EP26" s="161" t="s">
        <v>138</v>
      </c>
      <c r="EQ26" s="3">
        <v>10</v>
      </c>
      <c r="ER26" s="147">
        <v>6</v>
      </c>
      <c r="ES26" s="147">
        <v>10</v>
      </c>
      <c r="ET26" s="147">
        <v>10</v>
      </c>
      <c r="EU26" s="98">
        <f t="shared" si="58"/>
        <v>36</v>
      </c>
      <c r="EV26" s="147">
        <v>34</v>
      </c>
      <c r="EW26" s="98">
        <f t="shared" si="59"/>
        <v>70</v>
      </c>
      <c r="EX26" s="98">
        <f t="shared" si="60"/>
        <v>3</v>
      </c>
      <c r="EY26" s="98" t="str">
        <f t="shared" si="61"/>
        <v>A</v>
      </c>
      <c r="EZ26" s="98" t="str">
        <f t="shared" si="62"/>
        <v>Excellent</v>
      </c>
      <c r="FA26" s="3">
        <v>24</v>
      </c>
      <c r="FB26" s="113"/>
      <c r="FC26" s="145">
        <v>10</v>
      </c>
      <c r="FD26" s="143">
        <v>10</v>
      </c>
      <c r="FE26" s="143">
        <v>5</v>
      </c>
      <c r="FF26" s="143">
        <v>10</v>
      </c>
      <c r="FG26" s="113">
        <f t="shared" si="63"/>
        <v>35</v>
      </c>
      <c r="FH26" s="143">
        <v>39</v>
      </c>
      <c r="FI26" s="113">
        <f t="shared" si="64"/>
        <v>74</v>
      </c>
      <c r="FJ26" s="113">
        <f t="shared" si="65"/>
        <v>16</v>
      </c>
      <c r="FK26" s="113" t="str">
        <f t="shared" si="66"/>
        <v>A</v>
      </c>
      <c r="FL26" s="113" t="str">
        <f t="shared" si="67"/>
        <v>Excellent</v>
      </c>
      <c r="FM26" s="3">
        <v>24</v>
      </c>
      <c r="FN26" s="53"/>
      <c r="FO26" s="145">
        <v>10</v>
      </c>
      <c r="FP26" s="143">
        <v>10</v>
      </c>
      <c r="FQ26" s="143">
        <v>10</v>
      </c>
      <c r="FR26" s="143">
        <v>2</v>
      </c>
      <c r="FS26" s="53">
        <f t="shared" si="68"/>
        <v>32</v>
      </c>
      <c r="FT26" s="143">
        <v>52</v>
      </c>
      <c r="FU26" s="53">
        <f t="shared" si="69"/>
        <v>84</v>
      </c>
      <c r="FV26" s="53">
        <f t="shared" si="70"/>
        <v>1</v>
      </c>
      <c r="FW26" s="53" t="str">
        <f t="shared" si="71"/>
        <v>A</v>
      </c>
      <c r="FX26" s="53" t="str">
        <f t="shared" si="72"/>
        <v>Excellent</v>
      </c>
      <c r="FY26" s="3">
        <v>24</v>
      </c>
      <c r="FZ26" s="80"/>
      <c r="GA26" s="80"/>
      <c r="GB26" s="80"/>
      <c r="GC26" s="80"/>
      <c r="GD26" s="80"/>
      <c r="GE26" s="80">
        <f t="shared" si="73"/>
        <v>0</v>
      </c>
      <c r="GF26" s="80"/>
      <c r="GG26" s="80">
        <f t="shared" si="74"/>
        <v>0</v>
      </c>
      <c r="GH26" s="80" t="str">
        <f t="shared" si="75"/>
        <v/>
      </c>
      <c r="GI26" s="80" t="str">
        <f t="shared" si="76"/>
        <v/>
      </c>
      <c r="GJ26" s="80" t="str">
        <f t="shared" si="77"/>
        <v/>
      </c>
      <c r="GK26" s="3">
        <v>24</v>
      </c>
      <c r="GL26" s="161" t="s">
        <v>138</v>
      </c>
      <c r="GM26" s="145">
        <v>10</v>
      </c>
      <c r="GN26" s="143">
        <v>8</v>
      </c>
      <c r="GO26" s="143">
        <v>7</v>
      </c>
      <c r="GP26" s="143">
        <v>10</v>
      </c>
      <c r="GQ26" s="113">
        <f t="shared" si="78"/>
        <v>35</v>
      </c>
      <c r="GR26" s="143">
        <v>51</v>
      </c>
      <c r="GS26" s="113">
        <f t="shared" si="79"/>
        <v>86</v>
      </c>
      <c r="GT26" s="113">
        <f t="shared" si="80"/>
        <v>2</v>
      </c>
      <c r="GU26" s="113" t="str">
        <f t="shared" si="81"/>
        <v>A</v>
      </c>
      <c r="GV26" s="113" t="str">
        <f t="shared" si="82"/>
        <v>Excellent</v>
      </c>
      <c r="GW26" s="3">
        <v>24</v>
      </c>
      <c r="GX26" s="107"/>
      <c r="GY26" s="145">
        <v>10</v>
      </c>
      <c r="GZ26" s="143">
        <v>10</v>
      </c>
      <c r="HA26" s="143">
        <v>10</v>
      </c>
      <c r="HB26" s="143">
        <v>10</v>
      </c>
      <c r="HC26" s="107">
        <f t="shared" si="83"/>
        <v>40</v>
      </c>
      <c r="HD26" s="143">
        <v>51</v>
      </c>
      <c r="HE26" s="107">
        <f t="shared" si="84"/>
        <v>91</v>
      </c>
      <c r="HF26" s="107">
        <f t="shared" si="85"/>
        <v>1</v>
      </c>
      <c r="HG26" s="107" t="str">
        <f t="shared" si="86"/>
        <v>A</v>
      </c>
      <c r="HH26" s="107" t="str">
        <f t="shared" si="87"/>
        <v>Excellent</v>
      </c>
    </row>
    <row r="27" spans="1:216" ht="18.75">
      <c r="A27" s="186">
        <v>25</v>
      </c>
      <c r="B27" s="161" t="s">
        <v>139</v>
      </c>
      <c r="C27" s="130">
        <v>6</v>
      </c>
      <c r="D27" s="131">
        <v>4</v>
      </c>
      <c r="E27" s="131">
        <v>8</v>
      </c>
      <c r="F27" s="131">
        <v>9</v>
      </c>
      <c r="G27" s="53">
        <f t="shared" si="1"/>
        <v>27</v>
      </c>
      <c r="H27" s="131">
        <v>23</v>
      </c>
      <c r="I27" s="53">
        <f t="shared" si="2"/>
        <v>50</v>
      </c>
      <c r="J27" s="53">
        <f t="shared" si="3"/>
        <v>39</v>
      </c>
      <c r="K27" s="53" t="str">
        <f t="shared" si="4"/>
        <v>C</v>
      </c>
      <c r="L27" s="53" t="str">
        <f t="shared" si="5"/>
        <v>Credit</v>
      </c>
      <c r="M27" s="44">
        <v>25</v>
      </c>
      <c r="N27" s="59"/>
      <c r="O27" s="135">
        <v>4</v>
      </c>
      <c r="P27" s="136">
        <v>1</v>
      </c>
      <c r="Q27" s="136">
        <v>9</v>
      </c>
      <c r="R27" s="136">
        <v>10</v>
      </c>
      <c r="S27" s="59">
        <f t="shared" si="90"/>
        <v>24</v>
      </c>
      <c r="T27" s="136">
        <v>20</v>
      </c>
      <c r="U27" s="59">
        <f t="shared" si="7"/>
        <v>44</v>
      </c>
      <c r="V27" s="59">
        <f t="shared" si="8"/>
        <v>26</v>
      </c>
      <c r="W27" s="59" t="str">
        <f t="shared" si="9"/>
        <v>F</v>
      </c>
      <c r="X27" s="59" t="str">
        <f t="shared" si="10"/>
        <v>Fail</v>
      </c>
      <c r="Y27" s="3">
        <v>25</v>
      </c>
      <c r="Z27" s="80"/>
      <c r="AA27" s="135">
        <v>9</v>
      </c>
      <c r="AB27" s="136">
        <v>8</v>
      </c>
      <c r="AC27" s="136">
        <v>3</v>
      </c>
      <c r="AD27" s="136">
        <v>5</v>
      </c>
      <c r="AE27" s="80">
        <f t="shared" si="91"/>
        <v>25</v>
      </c>
      <c r="AF27" s="136">
        <v>34</v>
      </c>
      <c r="AG27" s="80">
        <f t="shared" si="11"/>
        <v>59</v>
      </c>
      <c r="AH27" s="80">
        <f t="shared" si="12"/>
        <v>29</v>
      </c>
      <c r="AI27" s="80" t="str">
        <f t="shared" si="13"/>
        <v>C</v>
      </c>
      <c r="AJ27" s="80" t="str">
        <f t="shared" si="14"/>
        <v>Credit</v>
      </c>
      <c r="AK27" s="3">
        <v>25</v>
      </c>
      <c r="AL27" s="161" t="s">
        <v>139</v>
      </c>
      <c r="AM27" s="135"/>
      <c r="AN27" s="136"/>
      <c r="AO27" s="136"/>
      <c r="AP27" s="136"/>
      <c r="AQ27" s="47">
        <f t="shared" si="15"/>
        <v>0</v>
      </c>
      <c r="AR27" s="136"/>
      <c r="AS27" s="47">
        <f t="shared" si="16"/>
        <v>0</v>
      </c>
      <c r="AT27" s="47" t="str">
        <f t="shared" si="17"/>
        <v/>
      </c>
      <c r="AU27" s="47" t="str">
        <f t="shared" si="18"/>
        <v/>
      </c>
      <c r="AV27" s="47" t="str">
        <f t="shared" si="19"/>
        <v/>
      </c>
      <c r="AW27" s="3">
        <v>25</v>
      </c>
      <c r="AX27" s="161" t="s">
        <v>139</v>
      </c>
      <c r="AY27" s="130">
        <v>8</v>
      </c>
      <c r="AZ27" s="131">
        <v>8</v>
      </c>
      <c r="BA27" s="131">
        <v>8</v>
      </c>
      <c r="BB27" s="131">
        <v>9</v>
      </c>
      <c r="BC27" s="85">
        <f t="shared" si="20"/>
        <v>33</v>
      </c>
      <c r="BD27" s="131">
        <v>25</v>
      </c>
      <c r="BE27" s="85">
        <f t="shared" si="21"/>
        <v>58</v>
      </c>
      <c r="BF27" s="85">
        <f t="shared" si="22"/>
        <v>41</v>
      </c>
      <c r="BG27" s="85" t="str">
        <f t="shared" si="23"/>
        <v>C</v>
      </c>
      <c r="BH27" s="85" t="str">
        <f t="shared" si="24"/>
        <v>Credit</v>
      </c>
      <c r="BI27" s="3">
        <v>25</v>
      </c>
      <c r="BJ27" s="90"/>
      <c r="BK27" s="167">
        <v>4</v>
      </c>
      <c r="BL27" s="168">
        <v>6</v>
      </c>
      <c r="BM27" s="168">
        <v>2</v>
      </c>
      <c r="BN27" s="168">
        <v>10</v>
      </c>
      <c r="BO27" s="90">
        <f t="shared" si="25"/>
        <v>22</v>
      </c>
      <c r="BP27" s="173">
        <v>18</v>
      </c>
      <c r="BQ27" s="90">
        <f t="shared" si="26"/>
        <v>40</v>
      </c>
      <c r="BR27" s="90">
        <f t="shared" si="27"/>
        <v>34</v>
      </c>
      <c r="BS27" s="90" t="str">
        <f t="shared" si="28"/>
        <v>F</v>
      </c>
      <c r="BT27" s="90" t="str">
        <f t="shared" si="29"/>
        <v>Fail</v>
      </c>
      <c r="BU27" s="3">
        <v>25</v>
      </c>
      <c r="BV27" s="161" t="s">
        <v>139</v>
      </c>
      <c r="BW27" s="145">
        <v>3</v>
      </c>
      <c r="BX27" s="143">
        <v>4</v>
      </c>
      <c r="BY27" s="143">
        <v>7</v>
      </c>
      <c r="BZ27" s="143">
        <v>8</v>
      </c>
      <c r="CA27" s="94">
        <f t="shared" si="30"/>
        <v>22</v>
      </c>
      <c r="CB27" s="143">
        <v>37</v>
      </c>
      <c r="CC27" s="94">
        <f t="shared" si="31"/>
        <v>59</v>
      </c>
      <c r="CD27" s="94">
        <f t="shared" si="32"/>
        <v>23</v>
      </c>
      <c r="CE27" s="94" t="str">
        <f t="shared" si="33"/>
        <v>C</v>
      </c>
      <c r="CF27" s="94" t="str">
        <f t="shared" si="34"/>
        <v>Credit</v>
      </c>
      <c r="CG27" s="3">
        <v>25</v>
      </c>
      <c r="CH27" s="161" t="s">
        <v>139</v>
      </c>
      <c r="CI27" s="145">
        <v>8</v>
      </c>
      <c r="CJ27" s="143">
        <v>9</v>
      </c>
      <c r="CK27" s="143">
        <v>10</v>
      </c>
      <c r="CL27" s="143">
        <v>8</v>
      </c>
      <c r="CM27" s="66">
        <f t="shared" si="35"/>
        <v>35</v>
      </c>
      <c r="CN27" s="143">
        <v>20</v>
      </c>
      <c r="CO27" s="66">
        <f t="shared" si="89"/>
        <v>55</v>
      </c>
      <c r="CP27" s="66">
        <f t="shared" si="36"/>
        <v>34</v>
      </c>
      <c r="CQ27" s="66" t="str">
        <f t="shared" si="37"/>
        <v>C</v>
      </c>
      <c r="CR27" s="66" t="str">
        <f t="shared" si="38"/>
        <v>Credit</v>
      </c>
      <c r="CS27" s="3">
        <v>25</v>
      </c>
      <c r="CT27" s="161" t="s">
        <v>139</v>
      </c>
      <c r="CU27" s="148">
        <v>7</v>
      </c>
      <c r="CV27" s="149">
        <v>10</v>
      </c>
      <c r="CW27" s="149">
        <v>8</v>
      </c>
      <c r="CX27" s="149">
        <v>10</v>
      </c>
      <c r="CY27" s="70">
        <f t="shared" si="39"/>
        <v>35</v>
      </c>
      <c r="CZ27" s="149">
        <v>31</v>
      </c>
      <c r="DA27" s="70">
        <f>CY27+CZ27</f>
        <v>66</v>
      </c>
      <c r="DB27" s="70">
        <f t="shared" si="41"/>
        <v>18</v>
      </c>
      <c r="DC27" s="70" t="str">
        <f t="shared" si="42"/>
        <v>C</v>
      </c>
      <c r="DD27" s="70" t="str">
        <f t="shared" si="43"/>
        <v>Credit</v>
      </c>
      <c r="DE27" s="3">
        <v>25</v>
      </c>
      <c r="DF27" s="59"/>
      <c r="DG27" s="145">
        <v>6</v>
      </c>
      <c r="DH27" s="143">
        <v>10</v>
      </c>
      <c r="DI27" s="143">
        <v>1</v>
      </c>
      <c r="DJ27" s="143">
        <v>10</v>
      </c>
      <c r="DK27" s="59">
        <f t="shared" si="44"/>
        <v>27</v>
      </c>
      <c r="DL27" s="143">
        <v>29</v>
      </c>
      <c r="DM27" s="59">
        <f t="shared" si="45"/>
        <v>56</v>
      </c>
      <c r="DN27" s="59">
        <f t="shared" si="46"/>
        <v>38</v>
      </c>
      <c r="DO27" s="59" t="str">
        <f t="shared" si="47"/>
        <v>C</v>
      </c>
      <c r="DP27" s="59" t="str">
        <f t="shared" si="48"/>
        <v>Credit</v>
      </c>
      <c r="DQ27" s="3">
        <v>25</v>
      </c>
      <c r="DR27" s="161" t="s">
        <v>139</v>
      </c>
      <c r="DS27" s="145">
        <v>10</v>
      </c>
      <c r="DT27" s="143">
        <v>2</v>
      </c>
      <c r="DU27" s="143">
        <v>10</v>
      </c>
      <c r="DV27" s="143">
        <v>10</v>
      </c>
      <c r="DW27" s="102">
        <f t="shared" si="49"/>
        <v>32</v>
      </c>
      <c r="DX27" s="143">
        <v>18</v>
      </c>
      <c r="DY27" s="102">
        <f t="shared" si="50"/>
        <v>50</v>
      </c>
      <c r="DZ27" s="102">
        <f t="shared" si="51"/>
        <v>40</v>
      </c>
      <c r="EA27" s="102" t="str">
        <f t="shared" si="52"/>
        <v>C</v>
      </c>
      <c r="EB27" s="102" t="str">
        <f t="shared" si="53"/>
        <v>Credit</v>
      </c>
      <c r="EC27" s="3">
        <v>25</v>
      </c>
      <c r="ED27" s="75"/>
      <c r="EE27" s="145">
        <v>9</v>
      </c>
      <c r="EF27" s="143">
        <v>7</v>
      </c>
      <c r="EG27" s="143">
        <v>9</v>
      </c>
      <c r="EH27" s="143">
        <v>7</v>
      </c>
      <c r="EI27" s="75">
        <f t="shared" si="54"/>
        <v>32</v>
      </c>
      <c r="EJ27" s="143">
        <v>22</v>
      </c>
      <c r="EK27" s="75">
        <f t="shared" si="0"/>
        <v>54</v>
      </c>
      <c r="EL27" s="75">
        <f t="shared" si="55"/>
        <v>17</v>
      </c>
      <c r="EM27" s="75" t="str">
        <f t="shared" si="56"/>
        <v>C</v>
      </c>
      <c r="EN27" s="75" t="str">
        <f t="shared" si="57"/>
        <v>Credit</v>
      </c>
      <c r="EO27" s="3">
        <v>25</v>
      </c>
      <c r="EP27" s="161" t="s">
        <v>139</v>
      </c>
      <c r="EQ27" s="3">
        <v>6</v>
      </c>
      <c r="ER27" s="147">
        <v>2</v>
      </c>
      <c r="ES27" s="147">
        <v>1</v>
      </c>
      <c r="ET27" s="147">
        <v>1</v>
      </c>
      <c r="EU27" s="98">
        <f t="shared" si="58"/>
        <v>10</v>
      </c>
      <c r="EV27" s="147">
        <v>22</v>
      </c>
      <c r="EW27" s="98">
        <f t="shared" si="59"/>
        <v>32</v>
      </c>
      <c r="EX27" s="98">
        <f t="shared" si="60"/>
        <v>42</v>
      </c>
      <c r="EY27" s="98" t="str">
        <f t="shared" si="61"/>
        <v>F</v>
      </c>
      <c r="EZ27" s="98" t="str">
        <f t="shared" si="62"/>
        <v>Fail</v>
      </c>
      <c r="FA27" s="3">
        <v>25</v>
      </c>
      <c r="FB27" s="113"/>
      <c r="FC27" s="145">
        <v>9</v>
      </c>
      <c r="FD27" s="143">
        <v>10</v>
      </c>
      <c r="FE27" s="143">
        <v>7</v>
      </c>
      <c r="FF27" s="143">
        <v>10</v>
      </c>
      <c r="FG27" s="113">
        <f t="shared" si="63"/>
        <v>36</v>
      </c>
      <c r="FH27" s="143">
        <v>44</v>
      </c>
      <c r="FI27" s="113">
        <f t="shared" si="64"/>
        <v>80</v>
      </c>
      <c r="FJ27" s="113">
        <f t="shared" si="65"/>
        <v>11</v>
      </c>
      <c r="FK27" s="113" t="str">
        <f t="shared" si="66"/>
        <v>A</v>
      </c>
      <c r="FL27" s="113" t="str">
        <f t="shared" si="67"/>
        <v>Excellent</v>
      </c>
      <c r="FM27" s="3">
        <v>25</v>
      </c>
      <c r="FN27" s="53"/>
      <c r="FO27" s="145">
        <v>10</v>
      </c>
      <c r="FP27" s="143">
        <v>10</v>
      </c>
      <c r="FQ27" s="143">
        <v>10</v>
      </c>
      <c r="FR27" s="143">
        <v>1</v>
      </c>
      <c r="FS27" s="53">
        <f t="shared" si="68"/>
        <v>31</v>
      </c>
      <c r="FT27" s="143">
        <v>25</v>
      </c>
      <c r="FU27" s="53">
        <f t="shared" si="69"/>
        <v>56</v>
      </c>
      <c r="FV27" s="53">
        <f t="shared" si="70"/>
        <v>42</v>
      </c>
      <c r="FW27" s="53" t="str">
        <f t="shared" si="71"/>
        <v>C</v>
      </c>
      <c r="FX27" s="53" t="str">
        <f t="shared" si="72"/>
        <v>Credit</v>
      </c>
      <c r="FY27" s="3">
        <v>25</v>
      </c>
      <c r="FZ27" s="80"/>
      <c r="GA27" s="80"/>
      <c r="GB27" s="80"/>
      <c r="GC27" s="80"/>
      <c r="GD27" s="80"/>
      <c r="GE27" s="80">
        <f t="shared" si="73"/>
        <v>0</v>
      </c>
      <c r="GF27" s="80"/>
      <c r="GG27" s="80">
        <f t="shared" si="74"/>
        <v>0</v>
      </c>
      <c r="GH27" s="80" t="str">
        <f t="shared" si="75"/>
        <v/>
      </c>
      <c r="GI27" s="80" t="str">
        <f t="shared" si="76"/>
        <v/>
      </c>
      <c r="GJ27" s="80" t="str">
        <f t="shared" si="77"/>
        <v/>
      </c>
      <c r="GK27" s="3">
        <v>25</v>
      </c>
      <c r="GL27" s="161" t="s">
        <v>139</v>
      </c>
      <c r="GM27" s="145">
        <v>6</v>
      </c>
      <c r="GN27" s="143">
        <v>2</v>
      </c>
      <c r="GO27" s="143">
        <v>8</v>
      </c>
      <c r="GP27" s="143">
        <v>9</v>
      </c>
      <c r="GQ27" s="113">
        <f t="shared" si="78"/>
        <v>25</v>
      </c>
      <c r="GR27" s="143">
        <v>22</v>
      </c>
      <c r="GS27" s="113">
        <f t="shared" si="79"/>
        <v>47</v>
      </c>
      <c r="GT27" s="113">
        <f t="shared" si="80"/>
        <v>34</v>
      </c>
      <c r="GU27" s="113" t="str">
        <f t="shared" si="81"/>
        <v>P</v>
      </c>
      <c r="GV27" s="113" t="str">
        <f t="shared" si="82"/>
        <v>Pass</v>
      </c>
      <c r="GW27" s="3">
        <v>25</v>
      </c>
      <c r="GX27" s="107"/>
      <c r="GY27" s="145">
        <v>9</v>
      </c>
      <c r="GZ27" s="143">
        <v>10</v>
      </c>
      <c r="HA27" s="143">
        <v>5</v>
      </c>
      <c r="HB27" s="143">
        <v>5</v>
      </c>
      <c r="HC27" s="107">
        <f t="shared" si="83"/>
        <v>29</v>
      </c>
      <c r="HD27" s="143">
        <v>30</v>
      </c>
      <c r="HE27" s="107">
        <f t="shared" si="84"/>
        <v>59</v>
      </c>
      <c r="HF27" s="107">
        <f t="shared" si="85"/>
        <v>29</v>
      </c>
      <c r="HG27" s="107" t="str">
        <f t="shared" si="86"/>
        <v>C</v>
      </c>
      <c r="HH27" s="107" t="str">
        <f t="shared" si="87"/>
        <v>Credit</v>
      </c>
    </row>
    <row r="28" spans="1:216" ht="18.75">
      <c r="A28" s="185">
        <v>26</v>
      </c>
      <c r="B28" s="162" t="s">
        <v>140</v>
      </c>
      <c r="C28" s="130">
        <v>8</v>
      </c>
      <c r="D28" s="131">
        <v>8</v>
      </c>
      <c r="E28" s="131">
        <v>8</v>
      </c>
      <c r="F28" s="131">
        <v>10</v>
      </c>
      <c r="G28" s="53">
        <f t="shared" si="1"/>
        <v>34</v>
      </c>
      <c r="H28" s="131">
        <v>42</v>
      </c>
      <c r="I28" s="53">
        <f t="shared" si="2"/>
        <v>76</v>
      </c>
      <c r="J28" s="53">
        <f t="shared" si="3"/>
        <v>2</v>
      </c>
      <c r="K28" s="53" t="str">
        <f t="shared" si="4"/>
        <v>A</v>
      </c>
      <c r="L28" s="53" t="str">
        <f t="shared" si="5"/>
        <v>Excellent</v>
      </c>
      <c r="M28" s="44">
        <v>26</v>
      </c>
      <c r="N28" s="59"/>
      <c r="O28" s="135">
        <v>5</v>
      </c>
      <c r="P28" s="136">
        <v>6</v>
      </c>
      <c r="Q28" s="136">
        <v>10</v>
      </c>
      <c r="R28" s="136">
        <v>10</v>
      </c>
      <c r="S28" s="59">
        <f t="shared" si="90"/>
        <v>31</v>
      </c>
      <c r="T28" s="136">
        <v>15</v>
      </c>
      <c r="U28" s="59">
        <f t="shared" si="7"/>
        <v>46</v>
      </c>
      <c r="V28" s="59">
        <f t="shared" si="8"/>
        <v>21</v>
      </c>
      <c r="W28" s="59" t="str">
        <f t="shared" si="9"/>
        <v>P</v>
      </c>
      <c r="X28" s="59" t="str">
        <f t="shared" si="10"/>
        <v>Pass</v>
      </c>
      <c r="Y28" s="3">
        <v>26</v>
      </c>
      <c r="Z28" s="80"/>
      <c r="AA28" s="135">
        <v>8</v>
      </c>
      <c r="AB28" s="136">
        <v>9</v>
      </c>
      <c r="AC28" s="136">
        <v>7</v>
      </c>
      <c r="AD28" s="136">
        <v>6</v>
      </c>
      <c r="AE28" s="80">
        <f t="shared" si="91"/>
        <v>30</v>
      </c>
      <c r="AF28" s="136">
        <v>43</v>
      </c>
      <c r="AG28" s="80">
        <f t="shared" si="11"/>
        <v>73</v>
      </c>
      <c r="AH28" s="80">
        <f t="shared" si="12"/>
        <v>7</v>
      </c>
      <c r="AI28" s="80" t="str">
        <f t="shared" si="13"/>
        <v>A</v>
      </c>
      <c r="AJ28" s="80" t="str">
        <f t="shared" si="14"/>
        <v>Excellent</v>
      </c>
      <c r="AK28" s="3">
        <v>26</v>
      </c>
      <c r="AL28" s="162" t="s">
        <v>140</v>
      </c>
      <c r="AM28" s="135"/>
      <c r="AN28" s="136"/>
      <c r="AO28" s="136"/>
      <c r="AP28" s="136"/>
      <c r="AQ28" s="47">
        <f t="shared" si="15"/>
        <v>0</v>
      </c>
      <c r="AR28" s="136"/>
      <c r="AS28" s="47">
        <f t="shared" si="16"/>
        <v>0</v>
      </c>
      <c r="AT28" s="47" t="str">
        <f t="shared" si="17"/>
        <v/>
      </c>
      <c r="AU28" s="47" t="str">
        <f t="shared" si="18"/>
        <v/>
      </c>
      <c r="AV28" s="47" t="str">
        <f t="shared" si="19"/>
        <v/>
      </c>
      <c r="AW28" s="3">
        <v>26</v>
      </c>
      <c r="AX28" s="162" t="s">
        <v>140</v>
      </c>
      <c r="AY28" s="130">
        <v>10</v>
      </c>
      <c r="AZ28" s="131">
        <v>10</v>
      </c>
      <c r="BA28" s="131">
        <v>8</v>
      </c>
      <c r="BB28" s="131">
        <v>10</v>
      </c>
      <c r="BC28" s="85">
        <f t="shared" si="20"/>
        <v>38</v>
      </c>
      <c r="BD28" s="131">
        <v>44</v>
      </c>
      <c r="BE28" s="85">
        <f t="shared" si="21"/>
        <v>82</v>
      </c>
      <c r="BF28" s="85">
        <f t="shared" si="22"/>
        <v>5</v>
      </c>
      <c r="BG28" s="85" t="str">
        <f t="shared" si="23"/>
        <v>A</v>
      </c>
      <c r="BH28" s="85" t="str">
        <f t="shared" si="24"/>
        <v>Excellent</v>
      </c>
      <c r="BI28" s="3">
        <v>26</v>
      </c>
      <c r="BJ28" s="90"/>
      <c r="BK28" s="167">
        <v>8</v>
      </c>
      <c r="BL28" s="168">
        <v>8</v>
      </c>
      <c r="BM28" s="168">
        <v>10</v>
      </c>
      <c r="BN28" s="168">
        <v>10</v>
      </c>
      <c r="BO28" s="90">
        <f t="shared" si="25"/>
        <v>36</v>
      </c>
      <c r="BP28" s="173">
        <v>31</v>
      </c>
      <c r="BQ28" s="90">
        <f t="shared" si="26"/>
        <v>67</v>
      </c>
      <c r="BR28" s="90">
        <f t="shared" si="27"/>
        <v>6</v>
      </c>
      <c r="BS28" s="90" t="str">
        <f t="shared" si="28"/>
        <v>C</v>
      </c>
      <c r="BT28" s="90" t="str">
        <f t="shared" si="29"/>
        <v>Credit</v>
      </c>
      <c r="BU28" s="3">
        <v>26</v>
      </c>
      <c r="BV28" s="162" t="s">
        <v>140</v>
      </c>
      <c r="BW28" s="145">
        <v>7</v>
      </c>
      <c r="BX28" s="143">
        <v>5</v>
      </c>
      <c r="BY28" s="143">
        <v>10</v>
      </c>
      <c r="BZ28" s="143">
        <v>9</v>
      </c>
      <c r="CA28" s="94">
        <f t="shared" si="30"/>
        <v>31</v>
      </c>
      <c r="CB28" s="143">
        <v>34</v>
      </c>
      <c r="CC28" s="94">
        <f t="shared" si="31"/>
        <v>65</v>
      </c>
      <c r="CD28" s="94">
        <f t="shared" si="32"/>
        <v>14</v>
      </c>
      <c r="CE28" s="94" t="str">
        <f t="shared" si="33"/>
        <v>C</v>
      </c>
      <c r="CF28" s="94" t="str">
        <f t="shared" si="34"/>
        <v>Credit</v>
      </c>
      <c r="CG28" s="3">
        <v>26</v>
      </c>
      <c r="CH28" s="162" t="s">
        <v>140</v>
      </c>
      <c r="CI28" s="145">
        <v>8</v>
      </c>
      <c r="CJ28" s="143">
        <v>8</v>
      </c>
      <c r="CK28" s="143">
        <v>10</v>
      </c>
      <c r="CL28" s="143">
        <v>9</v>
      </c>
      <c r="CM28" s="66">
        <f t="shared" si="35"/>
        <v>35</v>
      </c>
      <c r="CN28" s="143">
        <v>39</v>
      </c>
      <c r="CO28" s="66">
        <f t="shared" si="89"/>
        <v>74</v>
      </c>
      <c r="CP28" s="66">
        <f t="shared" si="36"/>
        <v>10</v>
      </c>
      <c r="CQ28" s="66" t="str">
        <f t="shared" si="37"/>
        <v>A</v>
      </c>
      <c r="CR28" s="66" t="str">
        <f t="shared" si="38"/>
        <v>Excellent</v>
      </c>
      <c r="CS28" s="3">
        <v>26</v>
      </c>
      <c r="CT28" s="162" t="s">
        <v>140</v>
      </c>
      <c r="CU28" s="148">
        <v>9</v>
      </c>
      <c r="CV28" s="149">
        <v>8</v>
      </c>
      <c r="CW28" s="149">
        <v>8</v>
      </c>
      <c r="CX28" s="149">
        <v>10</v>
      </c>
      <c r="CY28" s="70">
        <f t="shared" si="39"/>
        <v>35</v>
      </c>
      <c r="CZ28" s="149">
        <v>38</v>
      </c>
      <c r="DA28" s="70">
        <f t="shared" si="40"/>
        <v>73</v>
      </c>
      <c r="DB28" s="70">
        <f t="shared" si="41"/>
        <v>7</v>
      </c>
      <c r="DC28" s="70" t="str">
        <f t="shared" si="42"/>
        <v>A</v>
      </c>
      <c r="DD28" s="70" t="str">
        <f t="shared" si="43"/>
        <v>Excellent</v>
      </c>
      <c r="DE28" s="3">
        <v>26</v>
      </c>
      <c r="DF28" s="59"/>
      <c r="DG28" s="145">
        <v>10</v>
      </c>
      <c r="DH28" s="143">
        <v>10</v>
      </c>
      <c r="DI28" s="143">
        <v>7</v>
      </c>
      <c r="DJ28" s="143">
        <v>9</v>
      </c>
      <c r="DK28" s="59">
        <f t="shared" si="44"/>
        <v>36</v>
      </c>
      <c r="DL28" s="143">
        <v>44</v>
      </c>
      <c r="DM28" s="59">
        <f t="shared" si="45"/>
        <v>80</v>
      </c>
      <c r="DN28" s="59">
        <f t="shared" si="46"/>
        <v>5</v>
      </c>
      <c r="DO28" s="59" t="str">
        <f t="shared" si="47"/>
        <v>A</v>
      </c>
      <c r="DP28" s="59" t="str">
        <f t="shared" si="48"/>
        <v>Excellent</v>
      </c>
      <c r="DQ28" s="3">
        <v>26</v>
      </c>
      <c r="DR28" s="162" t="s">
        <v>140</v>
      </c>
      <c r="DS28" s="145">
        <v>10</v>
      </c>
      <c r="DT28" s="143">
        <v>9</v>
      </c>
      <c r="DU28" s="143">
        <v>10</v>
      </c>
      <c r="DV28" s="143">
        <v>8</v>
      </c>
      <c r="DW28" s="102">
        <f t="shared" si="49"/>
        <v>37</v>
      </c>
      <c r="DX28" s="143">
        <v>34</v>
      </c>
      <c r="DY28" s="102">
        <f t="shared" si="50"/>
        <v>71</v>
      </c>
      <c r="DZ28" s="102">
        <f t="shared" si="51"/>
        <v>6</v>
      </c>
      <c r="EA28" s="102" t="str">
        <f t="shared" si="52"/>
        <v>A</v>
      </c>
      <c r="EB28" s="102" t="str">
        <f t="shared" si="53"/>
        <v>Excellent</v>
      </c>
      <c r="EC28" s="3">
        <v>26</v>
      </c>
      <c r="ED28" s="75"/>
      <c r="EE28" s="145">
        <v>10</v>
      </c>
      <c r="EF28" s="143">
        <v>8</v>
      </c>
      <c r="EG28" s="143">
        <v>10</v>
      </c>
      <c r="EH28" s="143">
        <v>5</v>
      </c>
      <c r="EI28" s="75">
        <f t="shared" si="54"/>
        <v>33</v>
      </c>
      <c r="EJ28" s="143">
        <v>25</v>
      </c>
      <c r="EK28" s="75">
        <f t="shared" si="0"/>
        <v>58</v>
      </c>
      <c r="EL28" s="75">
        <f t="shared" si="55"/>
        <v>8</v>
      </c>
      <c r="EM28" s="75" t="str">
        <f t="shared" si="56"/>
        <v>C</v>
      </c>
      <c r="EN28" s="75" t="str">
        <f t="shared" si="57"/>
        <v>Credit</v>
      </c>
      <c r="EO28" s="3">
        <v>26</v>
      </c>
      <c r="EP28" s="162" t="s">
        <v>140</v>
      </c>
      <c r="EQ28" s="3">
        <v>10</v>
      </c>
      <c r="ER28" s="147">
        <v>8</v>
      </c>
      <c r="ES28" s="147">
        <v>10</v>
      </c>
      <c r="ET28" s="147">
        <v>10</v>
      </c>
      <c r="EU28" s="98">
        <f t="shared" si="58"/>
        <v>38</v>
      </c>
      <c r="EV28" s="147">
        <v>30</v>
      </c>
      <c r="EW28" s="98">
        <f t="shared" si="59"/>
        <v>68</v>
      </c>
      <c r="EX28" s="98">
        <f t="shared" si="60"/>
        <v>5</v>
      </c>
      <c r="EY28" s="98" t="str">
        <f t="shared" si="61"/>
        <v>C</v>
      </c>
      <c r="EZ28" s="98" t="str">
        <f t="shared" si="62"/>
        <v>Credit</v>
      </c>
      <c r="FA28" s="3">
        <v>26</v>
      </c>
      <c r="FB28" s="113"/>
      <c r="FC28" s="145">
        <v>10</v>
      </c>
      <c r="FD28" s="143">
        <v>10</v>
      </c>
      <c r="FE28" s="143">
        <v>10</v>
      </c>
      <c r="FF28" s="143">
        <v>10</v>
      </c>
      <c r="FG28" s="113">
        <f t="shared" si="63"/>
        <v>40</v>
      </c>
      <c r="FH28" s="143">
        <v>50</v>
      </c>
      <c r="FI28" s="113">
        <f t="shared" si="64"/>
        <v>90</v>
      </c>
      <c r="FJ28" s="113">
        <f t="shared" si="65"/>
        <v>2</v>
      </c>
      <c r="FK28" s="113" t="str">
        <f t="shared" si="66"/>
        <v>A</v>
      </c>
      <c r="FL28" s="113" t="str">
        <f t="shared" si="67"/>
        <v>Excellent</v>
      </c>
      <c r="FM28" s="3">
        <v>26</v>
      </c>
      <c r="FN28" s="53"/>
      <c r="FO28" s="145">
        <v>10</v>
      </c>
      <c r="FP28" s="143">
        <v>10</v>
      </c>
      <c r="FQ28" s="143">
        <v>10</v>
      </c>
      <c r="FR28" s="143">
        <v>5</v>
      </c>
      <c r="FS28" s="53">
        <f t="shared" si="68"/>
        <v>35</v>
      </c>
      <c r="FT28" s="143">
        <v>48</v>
      </c>
      <c r="FU28" s="53">
        <f t="shared" si="69"/>
        <v>83</v>
      </c>
      <c r="FV28" s="53">
        <f t="shared" si="70"/>
        <v>4</v>
      </c>
      <c r="FW28" s="53" t="str">
        <f t="shared" si="71"/>
        <v>A</v>
      </c>
      <c r="FX28" s="53" t="str">
        <f t="shared" si="72"/>
        <v>Excellent</v>
      </c>
      <c r="FY28" s="3">
        <v>26</v>
      </c>
      <c r="FZ28" s="80"/>
      <c r="GA28" s="80"/>
      <c r="GB28" s="80"/>
      <c r="GC28" s="80"/>
      <c r="GD28" s="80"/>
      <c r="GE28" s="80">
        <f t="shared" si="73"/>
        <v>0</v>
      </c>
      <c r="GF28" s="80"/>
      <c r="GG28" s="80">
        <f t="shared" si="74"/>
        <v>0</v>
      </c>
      <c r="GH28" s="80" t="str">
        <f t="shared" si="75"/>
        <v/>
      </c>
      <c r="GI28" s="80" t="str">
        <f t="shared" si="76"/>
        <v/>
      </c>
      <c r="GJ28" s="80" t="str">
        <f t="shared" si="77"/>
        <v/>
      </c>
      <c r="GK28" s="3">
        <v>26</v>
      </c>
      <c r="GL28" s="162" t="s">
        <v>140</v>
      </c>
      <c r="GM28" s="145">
        <v>9</v>
      </c>
      <c r="GN28" s="143">
        <v>9</v>
      </c>
      <c r="GO28" s="143">
        <v>10</v>
      </c>
      <c r="GP28" s="143">
        <v>8</v>
      </c>
      <c r="GQ28" s="113">
        <f t="shared" si="78"/>
        <v>36</v>
      </c>
      <c r="GR28" s="143">
        <v>31</v>
      </c>
      <c r="GS28" s="113">
        <f t="shared" si="79"/>
        <v>67</v>
      </c>
      <c r="GT28" s="113">
        <f t="shared" si="80"/>
        <v>11</v>
      </c>
      <c r="GU28" s="113" t="str">
        <f t="shared" si="81"/>
        <v>C</v>
      </c>
      <c r="GV28" s="113" t="str">
        <f t="shared" si="82"/>
        <v>Credit</v>
      </c>
      <c r="GW28" s="3">
        <v>26</v>
      </c>
      <c r="GX28" s="107"/>
      <c r="GY28" s="145">
        <v>10</v>
      </c>
      <c r="GZ28" s="143">
        <v>8</v>
      </c>
      <c r="HA28" s="143">
        <v>10</v>
      </c>
      <c r="HB28" s="143">
        <v>10</v>
      </c>
      <c r="HC28" s="107">
        <f t="shared" si="83"/>
        <v>38</v>
      </c>
      <c r="HD28" s="143">
        <v>36</v>
      </c>
      <c r="HE28" s="107">
        <f t="shared" si="84"/>
        <v>74</v>
      </c>
      <c r="HF28" s="107">
        <f t="shared" si="85"/>
        <v>15</v>
      </c>
      <c r="HG28" s="107" t="str">
        <f t="shared" si="86"/>
        <v>A</v>
      </c>
      <c r="HH28" s="107" t="str">
        <f t="shared" si="87"/>
        <v>Excellent</v>
      </c>
    </row>
    <row r="29" spans="1:216" ht="18.75">
      <c r="A29" s="186">
        <v>27</v>
      </c>
      <c r="B29" s="161" t="s">
        <v>141</v>
      </c>
      <c r="C29" s="130">
        <v>9</v>
      </c>
      <c r="D29" s="131">
        <v>8</v>
      </c>
      <c r="E29" s="131">
        <v>9</v>
      </c>
      <c r="F29" s="131">
        <v>8</v>
      </c>
      <c r="G29" s="53">
        <f t="shared" si="1"/>
        <v>34</v>
      </c>
      <c r="H29" s="131">
        <v>41</v>
      </c>
      <c r="I29" s="53">
        <f t="shared" si="2"/>
        <v>75</v>
      </c>
      <c r="J29" s="53">
        <f t="shared" si="3"/>
        <v>4</v>
      </c>
      <c r="K29" s="53" t="str">
        <f t="shared" si="4"/>
        <v>A</v>
      </c>
      <c r="L29" s="53" t="str">
        <f t="shared" si="5"/>
        <v>Excellent</v>
      </c>
      <c r="M29" s="44">
        <v>27</v>
      </c>
      <c r="N29" s="59"/>
      <c r="O29" s="135">
        <v>5</v>
      </c>
      <c r="P29" s="136">
        <v>3</v>
      </c>
      <c r="Q29" s="136">
        <v>7</v>
      </c>
      <c r="R29" s="136">
        <v>10</v>
      </c>
      <c r="S29" s="59">
        <f t="shared" si="90"/>
        <v>25</v>
      </c>
      <c r="T29" s="136">
        <v>27</v>
      </c>
      <c r="U29" s="59">
        <f t="shared" si="7"/>
        <v>52</v>
      </c>
      <c r="V29" s="59">
        <f t="shared" si="8"/>
        <v>10</v>
      </c>
      <c r="W29" s="59" t="str">
        <f t="shared" si="9"/>
        <v>C</v>
      </c>
      <c r="X29" s="59" t="str">
        <f t="shared" si="10"/>
        <v>Credit</v>
      </c>
      <c r="Y29" s="3">
        <v>27</v>
      </c>
      <c r="Z29" s="80"/>
      <c r="AA29" s="135">
        <v>8</v>
      </c>
      <c r="AB29" s="136">
        <v>9</v>
      </c>
      <c r="AC29" s="136">
        <v>6</v>
      </c>
      <c r="AD29" s="136">
        <v>8</v>
      </c>
      <c r="AE29" s="80">
        <f t="shared" si="91"/>
        <v>31</v>
      </c>
      <c r="AF29" s="136">
        <v>39</v>
      </c>
      <c r="AG29" s="80">
        <f t="shared" si="11"/>
        <v>70</v>
      </c>
      <c r="AH29" s="80">
        <f t="shared" si="12"/>
        <v>12</v>
      </c>
      <c r="AI29" s="80" t="str">
        <f t="shared" si="13"/>
        <v>A</v>
      </c>
      <c r="AJ29" s="80" t="str">
        <f t="shared" si="14"/>
        <v>Excellent</v>
      </c>
      <c r="AK29" s="3">
        <v>27</v>
      </c>
      <c r="AL29" s="161" t="s">
        <v>141</v>
      </c>
      <c r="AM29" s="135">
        <v>10</v>
      </c>
      <c r="AN29" s="136">
        <v>8</v>
      </c>
      <c r="AO29" s="136">
        <v>10</v>
      </c>
      <c r="AP29" s="136">
        <v>10</v>
      </c>
      <c r="AQ29" s="47">
        <f t="shared" si="15"/>
        <v>38</v>
      </c>
      <c r="AR29" s="136">
        <v>28</v>
      </c>
      <c r="AS29" s="47">
        <f t="shared" si="16"/>
        <v>66</v>
      </c>
      <c r="AT29" s="47">
        <f t="shared" si="17"/>
        <v>9</v>
      </c>
      <c r="AU29" s="47" t="str">
        <f t="shared" si="18"/>
        <v>C</v>
      </c>
      <c r="AV29" s="47" t="str">
        <f t="shared" si="19"/>
        <v>Credit</v>
      </c>
      <c r="AW29" s="3">
        <v>27</v>
      </c>
      <c r="AX29" s="161" t="s">
        <v>141</v>
      </c>
      <c r="AY29" s="130">
        <v>10</v>
      </c>
      <c r="AZ29" s="131">
        <v>9</v>
      </c>
      <c r="BA29" s="131">
        <v>7</v>
      </c>
      <c r="BB29" s="131">
        <v>10</v>
      </c>
      <c r="BC29" s="85">
        <f t="shared" si="20"/>
        <v>36</v>
      </c>
      <c r="BD29" s="131">
        <v>37</v>
      </c>
      <c r="BE29" s="85">
        <f t="shared" si="21"/>
        <v>73</v>
      </c>
      <c r="BF29" s="85">
        <f t="shared" si="22"/>
        <v>19</v>
      </c>
      <c r="BG29" s="85" t="str">
        <f t="shared" si="23"/>
        <v>A</v>
      </c>
      <c r="BH29" s="85" t="str">
        <f t="shared" si="24"/>
        <v>Excellent</v>
      </c>
      <c r="BI29" s="3">
        <v>27</v>
      </c>
      <c r="BJ29" s="90"/>
      <c r="BK29" s="167">
        <v>8</v>
      </c>
      <c r="BL29" s="168">
        <v>8</v>
      </c>
      <c r="BM29" s="168">
        <v>10</v>
      </c>
      <c r="BN29" s="168">
        <v>10</v>
      </c>
      <c r="BO29" s="90">
        <f t="shared" si="25"/>
        <v>36</v>
      </c>
      <c r="BP29" s="173">
        <v>24</v>
      </c>
      <c r="BQ29" s="90">
        <f t="shared" si="26"/>
        <v>60</v>
      </c>
      <c r="BR29" s="90">
        <f t="shared" si="27"/>
        <v>10</v>
      </c>
      <c r="BS29" s="90" t="str">
        <f t="shared" si="28"/>
        <v>C</v>
      </c>
      <c r="BT29" s="90" t="str">
        <f t="shared" si="29"/>
        <v>Credit</v>
      </c>
      <c r="BU29" s="3">
        <v>27</v>
      </c>
      <c r="BV29" s="161" t="s">
        <v>141</v>
      </c>
      <c r="BW29" s="145">
        <v>9</v>
      </c>
      <c r="BX29" s="143">
        <v>5</v>
      </c>
      <c r="BY29" s="143">
        <v>9</v>
      </c>
      <c r="BZ29" s="143">
        <v>9</v>
      </c>
      <c r="CA29" s="94">
        <f t="shared" si="30"/>
        <v>32</v>
      </c>
      <c r="CB29" s="143">
        <v>39</v>
      </c>
      <c r="CC29" s="94">
        <f t="shared" si="31"/>
        <v>71</v>
      </c>
      <c r="CD29" s="94">
        <f t="shared" si="32"/>
        <v>7</v>
      </c>
      <c r="CE29" s="94" t="str">
        <f t="shared" si="33"/>
        <v>A</v>
      </c>
      <c r="CF29" s="94" t="str">
        <f t="shared" si="34"/>
        <v>Excellent</v>
      </c>
      <c r="CG29" s="3">
        <v>27</v>
      </c>
      <c r="CH29" s="161" t="s">
        <v>141</v>
      </c>
      <c r="CI29" s="145">
        <v>8</v>
      </c>
      <c r="CJ29" s="143">
        <v>9</v>
      </c>
      <c r="CK29" s="143">
        <v>10</v>
      </c>
      <c r="CL29" s="143">
        <v>10</v>
      </c>
      <c r="CM29" s="66">
        <f t="shared" si="35"/>
        <v>37</v>
      </c>
      <c r="CN29" s="143">
        <v>29</v>
      </c>
      <c r="CO29" s="66">
        <f t="shared" si="89"/>
        <v>66</v>
      </c>
      <c r="CP29" s="66">
        <f t="shared" si="36"/>
        <v>16</v>
      </c>
      <c r="CQ29" s="66" t="str">
        <f t="shared" si="37"/>
        <v>C</v>
      </c>
      <c r="CR29" s="66" t="str">
        <f t="shared" si="38"/>
        <v>Credit</v>
      </c>
      <c r="CS29" s="3">
        <v>27</v>
      </c>
      <c r="CT29" s="161" t="s">
        <v>141</v>
      </c>
      <c r="CU29" s="148">
        <v>6</v>
      </c>
      <c r="CV29" s="149">
        <v>10</v>
      </c>
      <c r="CW29" s="149">
        <v>8</v>
      </c>
      <c r="CX29" s="149">
        <v>10</v>
      </c>
      <c r="CY29" s="70">
        <f t="shared" si="39"/>
        <v>34</v>
      </c>
      <c r="CZ29" s="149">
        <v>32</v>
      </c>
      <c r="DA29" s="70">
        <f t="shared" si="40"/>
        <v>66</v>
      </c>
      <c r="DB29" s="70">
        <f t="shared" si="41"/>
        <v>18</v>
      </c>
      <c r="DC29" s="70" t="str">
        <f t="shared" si="42"/>
        <v>C</v>
      </c>
      <c r="DD29" s="70" t="str">
        <f t="shared" si="43"/>
        <v>Credit</v>
      </c>
      <c r="DE29" s="3">
        <v>27</v>
      </c>
      <c r="DF29" s="59"/>
      <c r="DG29" s="145">
        <v>10</v>
      </c>
      <c r="DH29" s="143">
        <v>10</v>
      </c>
      <c r="DI29" s="143">
        <v>8</v>
      </c>
      <c r="DJ29" s="143">
        <v>10</v>
      </c>
      <c r="DK29" s="59">
        <f t="shared" si="44"/>
        <v>38</v>
      </c>
      <c r="DL29" s="143">
        <v>37</v>
      </c>
      <c r="DM29" s="59">
        <f t="shared" si="45"/>
        <v>75</v>
      </c>
      <c r="DN29" s="59">
        <f t="shared" si="46"/>
        <v>12</v>
      </c>
      <c r="DO29" s="59" t="str">
        <f t="shared" si="47"/>
        <v>A</v>
      </c>
      <c r="DP29" s="59" t="str">
        <f t="shared" si="48"/>
        <v>Excellent</v>
      </c>
      <c r="DQ29" s="3">
        <v>27</v>
      </c>
      <c r="DR29" s="161" t="s">
        <v>141</v>
      </c>
      <c r="DS29" s="145">
        <v>10</v>
      </c>
      <c r="DT29" s="143">
        <v>5</v>
      </c>
      <c r="DU29" s="143">
        <v>10</v>
      </c>
      <c r="DV29" s="143">
        <v>9</v>
      </c>
      <c r="DW29" s="102">
        <f t="shared" si="49"/>
        <v>34</v>
      </c>
      <c r="DX29" s="143">
        <v>32</v>
      </c>
      <c r="DY29" s="102">
        <f t="shared" si="50"/>
        <v>66</v>
      </c>
      <c r="DZ29" s="102">
        <f t="shared" si="51"/>
        <v>17</v>
      </c>
      <c r="EA29" s="102" t="str">
        <f t="shared" si="52"/>
        <v>C</v>
      </c>
      <c r="EB29" s="102" t="str">
        <f t="shared" si="53"/>
        <v>Credit</v>
      </c>
      <c r="EC29" s="3">
        <v>27</v>
      </c>
      <c r="ED29" s="75"/>
      <c r="EE29" s="145">
        <v>5</v>
      </c>
      <c r="EF29" s="143">
        <v>8</v>
      </c>
      <c r="EG29" s="143">
        <v>10</v>
      </c>
      <c r="EH29" s="143">
        <v>5</v>
      </c>
      <c r="EI29" s="75">
        <f t="shared" si="54"/>
        <v>28</v>
      </c>
      <c r="EJ29" s="143">
        <v>19</v>
      </c>
      <c r="EK29" s="75">
        <f t="shared" si="0"/>
        <v>47</v>
      </c>
      <c r="EL29" s="75">
        <f t="shared" si="55"/>
        <v>30</v>
      </c>
      <c r="EM29" s="75" t="str">
        <f t="shared" si="56"/>
        <v>P</v>
      </c>
      <c r="EN29" s="75" t="str">
        <f t="shared" si="57"/>
        <v>Pass</v>
      </c>
      <c r="EO29" s="3">
        <v>27</v>
      </c>
      <c r="EP29" s="161" t="s">
        <v>141</v>
      </c>
      <c r="EQ29" s="3">
        <v>10</v>
      </c>
      <c r="ER29" s="147">
        <v>7</v>
      </c>
      <c r="ES29" s="147">
        <v>10</v>
      </c>
      <c r="ET29" s="147">
        <v>10</v>
      </c>
      <c r="EU29" s="98">
        <f t="shared" si="58"/>
        <v>37</v>
      </c>
      <c r="EV29" s="147">
        <v>30</v>
      </c>
      <c r="EW29" s="98">
        <f t="shared" si="59"/>
        <v>67</v>
      </c>
      <c r="EX29" s="98">
        <f t="shared" si="60"/>
        <v>6</v>
      </c>
      <c r="EY29" s="98" t="str">
        <f t="shared" si="61"/>
        <v>C</v>
      </c>
      <c r="EZ29" s="98" t="str">
        <f t="shared" si="62"/>
        <v>Credit</v>
      </c>
      <c r="FA29" s="3">
        <v>27</v>
      </c>
      <c r="FB29" s="113"/>
      <c r="FC29" s="145">
        <v>10</v>
      </c>
      <c r="FD29" s="143">
        <v>10</v>
      </c>
      <c r="FE29" s="143">
        <v>10</v>
      </c>
      <c r="FF29" s="143">
        <v>10</v>
      </c>
      <c r="FG29" s="113">
        <f t="shared" si="63"/>
        <v>40</v>
      </c>
      <c r="FH29" s="143">
        <v>35</v>
      </c>
      <c r="FI29" s="113">
        <f t="shared" si="64"/>
        <v>75</v>
      </c>
      <c r="FJ29" s="113">
        <f t="shared" si="65"/>
        <v>15</v>
      </c>
      <c r="FK29" s="113" t="str">
        <f t="shared" si="66"/>
        <v>A</v>
      </c>
      <c r="FL29" s="113" t="str">
        <f t="shared" si="67"/>
        <v>Excellent</v>
      </c>
      <c r="FM29" s="3">
        <v>27</v>
      </c>
      <c r="FN29" s="53"/>
      <c r="FO29" s="145">
        <v>10</v>
      </c>
      <c r="FP29" s="143">
        <v>9</v>
      </c>
      <c r="FQ29" s="143">
        <v>10</v>
      </c>
      <c r="FR29" s="143">
        <v>6</v>
      </c>
      <c r="FS29" s="53">
        <f t="shared" si="68"/>
        <v>35</v>
      </c>
      <c r="FT29" s="143">
        <v>38</v>
      </c>
      <c r="FU29" s="53">
        <f t="shared" si="69"/>
        <v>73</v>
      </c>
      <c r="FV29" s="53">
        <f t="shared" si="70"/>
        <v>11</v>
      </c>
      <c r="FW29" s="53" t="str">
        <f t="shared" si="71"/>
        <v>A</v>
      </c>
      <c r="FX29" s="53" t="str">
        <f t="shared" si="72"/>
        <v>Excellent</v>
      </c>
      <c r="FY29" s="3">
        <v>27</v>
      </c>
      <c r="FZ29" s="80"/>
      <c r="GA29" s="80"/>
      <c r="GB29" s="80"/>
      <c r="GC29" s="80"/>
      <c r="GD29" s="80"/>
      <c r="GE29" s="80">
        <f t="shared" si="73"/>
        <v>0</v>
      </c>
      <c r="GF29" s="80"/>
      <c r="GG29" s="80">
        <f t="shared" si="74"/>
        <v>0</v>
      </c>
      <c r="GH29" s="80" t="str">
        <f t="shared" si="75"/>
        <v/>
      </c>
      <c r="GI29" s="80" t="str">
        <f t="shared" si="76"/>
        <v/>
      </c>
      <c r="GJ29" s="80" t="str">
        <f t="shared" si="77"/>
        <v/>
      </c>
      <c r="GK29" s="3">
        <v>27</v>
      </c>
      <c r="GL29" s="161" t="s">
        <v>141</v>
      </c>
      <c r="GM29" s="145">
        <v>10</v>
      </c>
      <c r="GN29" s="143">
        <v>8</v>
      </c>
      <c r="GO29" s="143">
        <v>10</v>
      </c>
      <c r="GP29" s="143">
        <v>10</v>
      </c>
      <c r="GQ29" s="113">
        <f t="shared" si="78"/>
        <v>38</v>
      </c>
      <c r="GR29" s="143">
        <v>32</v>
      </c>
      <c r="GS29" s="113">
        <f t="shared" si="79"/>
        <v>70</v>
      </c>
      <c r="GT29" s="113">
        <f t="shared" si="80"/>
        <v>8</v>
      </c>
      <c r="GU29" s="113" t="str">
        <f t="shared" si="81"/>
        <v>A</v>
      </c>
      <c r="GV29" s="113" t="str">
        <f t="shared" si="82"/>
        <v>Excellent</v>
      </c>
      <c r="GW29" s="3">
        <v>27</v>
      </c>
      <c r="GX29" s="107"/>
      <c r="GY29" s="145"/>
      <c r="GZ29" s="143"/>
      <c r="HA29" s="143"/>
      <c r="HB29" s="143"/>
      <c r="HC29" s="107">
        <f t="shared" si="83"/>
        <v>0</v>
      </c>
      <c r="HD29" s="143"/>
      <c r="HE29" s="107">
        <f t="shared" si="84"/>
        <v>0</v>
      </c>
      <c r="HF29" s="107" t="str">
        <f t="shared" si="85"/>
        <v/>
      </c>
      <c r="HG29" s="107" t="str">
        <f t="shared" si="86"/>
        <v/>
      </c>
      <c r="HH29" s="107" t="str">
        <f t="shared" si="87"/>
        <v/>
      </c>
    </row>
    <row r="30" spans="1:216" ht="18.75">
      <c r="A30" s="185">
        <v>28</v>
      </c>
      <c r="B30" s="162" t="s">
        <v>142</v>
      </c>
      <c r="C30" s="130">
        <v>8</v>
      </c>
      <c r="D30" s="131">
        <v>8</v>
      </c>
      <c r="E30" s="131">
        <v>9</v>
      </c>
      <c r="F30" s="131">
        <v>8</v>
      </c>
      <c r="G30" s="53">
        <f t="shared" si="1"/>
        <v>33</v>
      </c>
      <c r="H30" s="131">
        <v>26</v>
      </c>
      <c r="I30" s="53">
        <f t="shared" si="2"/>
        <v>59</v>
      </c>
      <c r="J30" s="53">
        <f t="shared" si="3"/>
        <v>30</v>
      </c>
      <c r="K30" s="53" t="str">
        <f t="shared" si="4"/>
        <v>C</v>
      </c>
      <c r="L30" s="53" t="str">
        <f t="shared" si="5"/>
        <v>Credit</v>
      </c>
      <c r="M30" s="44">
        <v>28</v>
      </c>
      <c r="N30" s="59"/>
      <c r="O30" s="135">
        <v>4</v>
      </c>
      <c r="P30" s="136">
        <v>4</v>
      </c>
      <c r="Q30" s="136">
        <v>10</v>
      </c>
      <c r="R30" s="136">
        <v>10</v>
      </c>
      <c r="S30" s="59">
        <f t="shared" si="90"/>
        <v>28</v>
      </c>
      <c r="T30" s="136">
        <v>22</v>
      </c>
      <c r="U30" s="59">
        <f t="shared" si="7"/>
        <v>50</v>
      </c>
      <c r="V30" s="59">
        <f t="shared" si="8"/>
        <v>12</v>
      </c>
      <c r="W30" s="59" t="str">
        <f t="shared" si="9"/>
        <v>C</v>
      </c>
      <c r="X30" s="59" t="str">
        <f t="shared" si="10"/>
        <v>Credit</v>
      </c>
      <c r="Y30" s="3">
        <v>28</v>
      </c>
      <c r="Z30" s="80"/>
      <c r="AA30" s="135">
        <v>10</v>
      </c>
      <c r="AB30" s="136">
        <v>9</v>
      </c>
      <c r="AC30" s="136">
        <v>7</v>
      </c>
      <c r="AD30" s="136">
        <v>8</v>
      </c>
      <c r="AE30" s="80">
        <f t="shared" si="91"/>
        <v>34</v>
      </c>
      <c r="AF30" s="136">
        <v>35</v>
      </c>
      <c r="AG30" s="80">
        <f t="shared" si="11"/>
        <v>69</v>
      </c>
      <c r="AH30" s="80">
        <f t="shared" si="12"/>
        <v>16</v>
      </c>
      <c r="AI30" s="80" t="str">
        <f t="shared" si="13"/>
        <v>C</v>
      </c>
      <c r="AJ30" s="80" t="str">
        <f t="shared" si="14"/>
        <v>Credit</v>
      </c>
      <c r="AK30" s="3">
        <v>28</v>
      </c>
      <c r="AL30" s="162" t="s">
        <v>142</v>
      </c>
      <c r="AM30" s="135">
        <v>9</v>
      </c>
      <c r="AN30" s="136">
        <v>7</v>
      </c>
      <c r="AO30" s="136">
        <v>10</v>
      </c>
      <c r="AP30" s="136">
        <v>10</v>
      </c>
      <c r="AQ30" s="47">
        <f t="shared" si="15"/>
        <v>36</v>
      </c>
      <c r="AR30" s="136">
        <v>25</v>
      </c>
      <c r="AS30" s="47">
        <f t="shared" si="16"/>
        <v>61</v>
      </c>
      <c r="AT30" s="47">
        <f t="shared" si="17"/>
        <v>10</v>
      </c>
      <c r="AU30" s="47" t="str">
        <f t="shared" si="18"/>
        <v>C</v>
      </c>
      <c r="AV30" s="47" t="str">
        <f t="shared" si="19"/>
        <v>Credit</v>
      </c>
      <c r="AW30" s="3">
        <v>28</v>
      </c>
      <c r="AX30" s="162" t="s">
        <v>142</v>
      </c>
      <c r="AY30" s="130">
        <v>10</v>
      </c>
      <c r="AZ30" s="131">
        <v>7</v>
      </c>
      <c r="BA30" s="131">
        <v>6</v>
      </c>
      <c r="BB30" s="131">
        <v>9</v>
      </c>
      <c r="BC30" s="85">
        <f t="shared" si="20"/>
        <v>32</v>
      </c>
      <c r="BD30" s="131">
        <v>42</v>
      </c>
      <c r="BE30" s="85">
        <f t="shared" si="21"/>
        <v>74</v>
      </c>
      <c r="BF30" s="85">
        <f t="shared" si="22"/>
        <v>17</v>
      </c>
      <c r="BG30" s="85" t="str">
        <f t="shared" si="23"/>
        <v>A</v>
      </c>
      <c r="BH30" s="85" t="str">
        <f t="shared" si="24"/>
        <v>Excellent</v>
      </c>
      <c r="BI30" s="3">
        <v>28</v>
      </c>
      <c r="BJ30" s="90"/>
      <c r="BK30" s="167">
        <v>8</v>
      </c>
      <c r="BL30" s="168">
        <v>8</v>
      </c>
      <c r="BM30" s="168">
        <v>2</v>
      </c>
      <c r="BN30" s="168">
        <v>10</v>
      </c>
      <c r="BO30" s="90">
        <f t="shared" si="25"/>
        <v>28</v>
      </c>
      <c r="BP30" s="173">
        <v>22</v>
      </c>
      <c r="BQ30" s="90">
        <f t="shared" si="26"/>
        <v>50</v>
      </c>
      <c r="BR30" s="90">
        <f t="shared" si="27"/>
        <v>20</v>
      </c>
      <c r="BS30" s="90" t="str">
        <f t="shared" si="28"/>
        <v>C</v>
      </c>
      <c r="BT30" s="90" t="str">
        <f t="shared" si="29"/>
        <v>Credit</v>
      </c>
      <c r="BU30" s="3">
        <v>28</v>
      </c>
      <c r="BV30" s="162" t="s">
        <v>142</v>
      </c>
      <c r="BW30" s="145">
        <v>8</v>
      </c>
      <c r="BX30" s="143">
        <v>4</v>
      </c>
      <c r="BY30" s="143">
        <v>10</v>
      </c>
      <c r="BZ30" s="143">
        <v>9</v>
      </c>
      <c r="CA30" s="94">
        <f t="shared" si="30"/>
        <v>31</v>
      </c>
      <c r="CB30" s="143">
        <v>28</v>
      </c>
      <c r="CC30" s="94">
        <f t="shared" si="31"/>
        <v>59</v>
      </c>
      <c r="CD30" s="94">
        <f t="shared" si="32"/>
        <v>23</v>
      </c>
      <c r="CE30" s="94" t="str">
        <f t="shared" si="33"/>
        <v>C</v>
      </c>
      <c r="CF30" s="94" t="str">
        <f t="shared" si="34"/>
        <v>Credit</v>
      </c>
      <c r="CG30" s="3">
        <v>28</v>
      </c>
      <c r="CH30" s="162" t="s">
        <v>142</v>
      </c>
      <c r="CI30" s="145">
        <v>8</v>
      </c>
      <c r="CJ30" s="143">
        <v>8</v>
      </c>
      <c r="CK30" s="143">
        <v>10</v>
      </c>
      <c r="CL30" s="143">
        <v>10</v>
      </c>
      <c r="CM30" s="66">
        <f t="shared" si="35"/>
        <v>36</v>
      </c>
      <c r="CN30" s="143">
        <v>36</v>
      </c>
      <c r="CO30" s="66">
        <f t="shared" si="89"/>
        <v>72</v>
      </c>
      <c r="CP30" s="66">
        <f t="shared" si="36"/>
        <v>12</v>
      </c>
      <c r="CQ30" s="66" t="str">
        <f t="shared" si="37"/>
        <v>A</v>
      </c>
      <c r="CR30" s="66" t="str">
        <f t="shared" si="38"/>
        <v>Excellent</v>
      </c>
      <c r="CS30" s="3">
        <v>28</v>
      </c>
      <c r="CT30" s="162" t="s">
        <v>142</v>
      </c>
      <c r="CU30" s="148">
        <v>8</v>
      </c>
      <c r="CV30" s="149">
        <v>10</v>
      </c>
      <c r="CW30" s="149">
        <v>8</v>
      </c>
      <c r="CX30" s="149">
        <v>10</v>
      </c>
      <c r="CY30" s="70">
        <f t="shared" si="39"/>
        <v>36</v>
      </c>
      <c r="CZ30" s="149">
        <v>38</v>
      </c>
      <c r="DA30" s="70">
        <f t="shared" si="40"/>
        <v>74</v>
      </c>
      <c r="DB30" s="70">
        <f t="shared" si="41"/>
        <v>6</v>
      </c>
      <c r="DC30" s="70" t="str">
        <f t="shared" si="42"/>
        <v>A</v>
      </c>
      <c r="DD30" s="70" t="str">
        <f t="shared" si="43"/>
        <v>Excellent</v>
      </c>
      <c r="DE30" s="3">
        <v>28</v>
      </c>
      <c r="DF30" s="59"/>
      <c r="DG30" s="145">
        <v>8</v>
      </c>
      <c r="DH30" s="143">
        <v>10</v>
      </c>
      <c r="DI30" s="143">
        <v>7</v>
      </c>
      <c r="DJ30" s="143">
        <v>9</v>
      </c>
      <c r="DK30" s="59">
        <f t="shared" si="44"/>
        <v>34</v>
      </c>
      <c r="DL30" s="143">
        <v>32</v>
      </c>
      <c r="DM30" s="59">
        <f t="shared" si="45"/>
        <v>66</v>
      </c>
      <c r="DN30" s="59">
        <f t="shared" si="46"/>
        <v>25</v>
      </c>
      <c r="DO30" s="59" t="str">
        <f t="shared" si="47"/>
        <v>C</v>
      </c>
      <c r="DP30" s="59" t="str">
        <f t="shared" si="48"/>
        <v>Credit</v>
      </c>
      <c r="DQ30" s="3">
        <v>28</v>
      </c>
      <c r="DR30" s="162" t="s">
        <v>142</v>
      </c>
      <c r="DS30" s="145">
        <v>10</v>
      </c>
      <c r="DT30" s="143">
        <v>6</v>
      </c>
      <c r="DU30" s="143">
        <v>10</v>
      </c>
      <c r="DV30" s="143">
        <v>8</v>
      </c>
      <c r="DW30" s="102">
        <f t="shared" si="49"/>
        <v>34</v>
      </c>
      <c r="DX30" s="143">
        <v>27</v>
      </c>
      <c r="DY30" s="102">
        <f t="shared" si="50"/>
        <v>61</v>
      </c>
      <c r="DZ30" s="102">
        <f t="shared" si="51"/>
        <v>28</v>
      </c>
      <c r="EA30" s="102" t="str">
        <f t="shared" si="52"/>
        <v>C</v>
      </c>
      <c r="EB30" s="102" t="str">
        <f t="shared" si="53"/>
        <v>Credit</v>
      </c>
      <c r="EC30" s="3">
        <v>28</v>
      </c>
      <c r="ED30" s="75"/>
      <c r="EE30" s="145">
        <v>8</v>
      </c>
      <c r="EF30" s="143">
        <v>6</v>
      </c>
      <c r="EG30" s="143">
        <v>10</v>
      </c>
      <c r="EH30" s="143">
        <v>8</v>
      </c>
      <c r="EI30" s="75">
        <f t="shared" si="54"/>
        <v>32</v>
      </c>
      <c r="EJ30" s="143">
        <v>21</v>
      </c>
      <c r="EK30" s="75">
        <f t="shared" si="0"/>
        <v>53</v>
      </c>
      <c r="EL30" s="75">
        <f t="shared" si="55"/>
        <v>19</v>
      </c>
      <c r="EM30" s="75" t="str">
        <f t="shared" si="56"/>
        <v>C</v>
      </c>
      <c r="EN30" s="75" t="str">
        <f t="shared" si="57"/>
        <v>Credit</v>
      </c>
      <c r="EO30" s="3">
        <v>28</v>
      </c>
      <c r="EP30" s="162" t="s">
        <v>142</v>
      </c>
      <c r="EQ30" s="3">
        <v>10</v>
      </c>
      <c r="ER30" s="147">
        <v>9</v>
      </c>
      <c r="ES30" s="147">
        <v>10</v>
      </c>
      <c r="ET30" s="147">
        <v>10</v>
      </c>
      <c r="EU30" s="98">
        <f t="shared" si="58"/>
        <v>39</v>
      </c>
      <c r="EV30" s="147">
        <v>42</v>
      </c>
      <c r="EW30" s="98">
        <f t="shared" si="59"/>
        <v>81</v>
      </c>
      <c r="EX30" s="98">
        <f t="shared" si="60"/>
        <v>1</v>
      </c>
      <c r="EY30" s="98" t="str">
        <f t="shared" si="61"/>
        <v>A</v>
      </c>
      <c r="EZ30" s="98" t="str">
        <f t="shared" si="62"/>
        <v>Excellent</v>
      </c>
      <c r="FA30" s="3">
        <v>28</v>
      </c>
      <c r="FB30" s="113"/>
      <c r="FC30" s="145">
        <v>6</v>
      </c>
      <c r="FD30" s="143">
        <v>10</v>
      </c>
      <c r="FE30" s="143">
        <v>7</v>
      </c>
      <c r="FF30" s="143">
        <v>9</v>
      </c>
      <c r="FG30" s="113">
        <f t="shared" si="63"/>
        <v>32</v>
      </c>
      <c r="FH30" s="143">
        <v>25</v>
      </c>
      <c r="FI30" s="113">
        <f t="shared" si="64"/>
        <v>57</v>
      </c>
      <c r="FJ30" s="113">
        <f t="shared" si="65"/>
        <v>45</v>
      </c>
      <c r="FK30" s="113" t="str">
        <f t="shared" si="66"/>
        <v>C</v>
      </c>
      <c r="FL30" s="113" t="str">
        <f t="shared" si="67"/>
        <v>Credit</v>
      </c>
      <c r="FM30" s="3">
        <v>28</v>
      </c>
      <c r="FN30" s="53"/>
      <c r="FO30" s="145">
        <v>10</v>
      </c>
      <c r="FP30" s="143">
        <v>10</v>
      </c>
      <c r="FQ30" s="143">
        <v>10</v>
      </c>
      <c r="FR30" s="143">
        <v>9</v>
      </c>
      <c r="FS30" s="53">
        <f t="shared" si="68"/>
        <v>39</v>
      </c>
      <c r="FT30" s="143">
        <v>39</v>
      </c>
      <c r="FU30" s="53">
        <f t="shared" si="69"/>
        <v>78</v>
      </c>
      <c r="FV30" s="53">
        <f t="shared" si="70"/>
        <v>8</v>
      </c>
      <c r="FW30" s="53" t="str">
        <f t="shared" si="71"/>
        <v>A</v>
      </c>
      <c r="FX30" s="53" t="str">
        <f t="shared" si="72"/>
        <v>Excellent</v>
      </c>
      <c r="FY30" s="3">
        <v>28</v>
      </c>
      <c r="FZ30" s="80"/>
      <c r="GA30" s="80"/>
      <c r="GB30" s="80"/>
      <c r="GC30" s="80"/>
      <c r="GD30" s="80"/>
      <c r="GE30" s="80">
        <f t="shared" si="73"/>
        <v>0</v>
      </c>
      <c r="GF30" s="80"/>
      <c r="GG30" s="80">
        <f t="shared" si="74"/>
        <v>0</v>
      </c>
      <c r="GH30" s="80" t="str">
        <f t="shared" si="75"/>
        <v/>
      </c>
      <c r="GI30" s="80" t="str">
        <f t="shared" si="76"/>
        <v/>
      </c>
      <c r="GJ30" s="80" t="str">
        <f t="shared" si="77"/>
        <v/>
      </c>
      <c r="GK30" s="3">
        <v>28</v>
      </c>
      <c r="GL30" s="162" t="s">
        <v>142</v>
      </c>
      <c r="GM30" s="145">
        <v>10</v>
      </c>
      <c r="GN30" s="143">
        <v>4</v>
      </c>
      <c r="GO30" s="143">
        <v>10</v>
      </c>
      <c r="GP30" s="143">
        <v>9</v>
      </c>
      <c r="GQ30" s="113">
        <f t="shared" si="78"/>
        <v>33</v>
      </c>
      <c r="GR30" s="143">
        <v>39</v>
      </c>
      <c r="GS30" s="113">
        <f t="shared" si="79"/>
        <v>72</v>
      </c>
      <c r="GT30" s="113">
        <f t="shared" si="80"/>
        <v>7</v>
      </c>
      <c r="GU30" s="113" t="str">
        <f t="shared" si="81"/>
        <v>A</v>
      </c>
      <c r="GV30" s="113" t="str">
        <f t="shared" si="82"/>
        <v>Excellent</v>
      </c>
      <c r="GW30" s="3">
        <v>28</v>
      </c>
      <c r="GX30" s="107"/>
      <c r="GY30" s="145"/>
      <c r="GZ30" s="143"/>
      <c r="HA30" s="143"/>
      <c r="HB30" s="143"/>
      <c r="HC30" s="107">
        <f t="shared" si="83"/>
        <v>0</v>
      </c>
      <c r="HD30" s="143"/>
      <c r="HE30" s="107">
        <f t="shared" si="84"/>
        <v>0</v>
      </c>
      <c r="HF30" s="107" t="str">
        <f t="shared" si="85"/>
        <v/>
      </c>
      <c r="HG30" s="107" t="str">
        <f t="shared" si="86"/>
        <v/>
      </c>
      <c r="HH30" s="107" t="str">
        <f t="shared" si="87"/>
        <v/>
      </c>
    </row>
    <row r="31" spans="1:216" ht="18.75">
      <c r="A31" s="186">
        <v>29</v>
      </c>
      <c r="B31" s="162" t="s">
        <v>143</v>
      </c>
      <c r="C31" s="130">
        <v>9</v>
      </c>
      <c r="D31" s="131">
        <v>7</v>
      </c>
      <c r="E31" s="131">
        <v>8</v>
      </c>
      <c r="F31" s="131">
        <v>10</v>
      </c>
      <c r="G31" s="53">
        <f t="shared" ref="G31:G52" si="92">SUM(C31:F31)</f>
        <v>34</v>
      </c>
      <c r="H31" s="131">
        <v>41</v>
      </c>
      <c r="I31" s="53">
        <f t="shared" ref="I31:I52" si="93">G31+H31</f>
        <v>75</v>
      </c>
      <c r="J31" s="53">
        <f t="shared" si="3"/>
        <v>4</v>
      </c>
      <c r="K31" s="53" t="str">
        <f t="shared" si="4"/>
        <v>A</v>
      </c>
      <c r="L31" s="53" t="str">
        <f t="shared" si="5"/>
        <v>Excellent</v>
      </c>
      <c r="M31" s="44">
        <v>29</v>
      </c>
      <c r="N31" s="59"/>
      <c r="O31" s="135">
        <v>5</v>
      </c>
      <c r="P31" s="136">
        <v>3</v>
      </c>
      <c r="Q31" s="136">
        <v>5</v>
      </c>
      <c r="R31" s="136">
        <v>10</v>
      </c>
      <c r="S31" s="59">
        <f t="shared" si="90"/>
        <v>23</v>
      </c>
      <c r="T31" s="136">
        <v>27</v>
      </c>
      <c r="U31" s="59">
        <f t="shared" si="7"/>
        <v>50</v>
      </c>
      <c r="V31" s="59">
        <f t="shared" si="8"/>
        <v>12</v>
      </c>
      <c r="W31" s="59" t="str">
        <f t="shared" si="9"/>
        <v>C</v>
      </c>
      <c r="X31" s="59" t="str">
        <f t="shared" si="10"/>
        <v>Credit</v>
      </c>
      <c r="Y31" s="3">
        <v>29</v>
      </c>
      <c r="Z31" s="80"/>
      <c r="AA31" s="135">
        <v>7</v>
      </c>
      <c r="AB31" s="136">
        <v>7</v>
      </c>
      <c r="AC31" s="136">
        <v>9</v>
      </c>
      <c r="AD31" s="136">
        <v>9</v>
      </c>
      <c r="AE31" s="80">
        <f t="shared" si="91"/>
        <v>32</v>
      </c>
      <c r="AF31" s="136">
        <v>36</v>
      </c>
      <c r="AG31" s="80">
        <f t="shared" si="11"/>
        <v>68</v>
      </c>
      <c r="AH31" s="80">
        <f t="shared" si="12"/>
        <v>18</v>
      </c>
      <c r="AI31" s="80" t="str">
        <f t="shared" si="13"/>
        <v>C</v>
      </c>
      <c r="AJ31" s="80" t="str">
        <f t="shared" si="14"/>
        <v>Credit</v>
      </c>
      <c r="AK31" s="3">
        <v>29</v>
      </c>
      <c r="AL31" s="162" t="s">
        <v>143</v>
      </c>
      <c r="AM31" s="135">
        <v>10</v>
      </c>
      <c r="AN31" s="136">
        <v>8</v>
      </c>
      <c r="AO31" s="136">
        <v>10</v>
      </c>
      <c r="AP31" s="136">
        <v>10</v>
      </c>
      <c r="AQ31" s="47">
        <f t="shared" si="15"/>
        <v>38</v>
      </c>
      <c r="AR31" s="136">
        <v>35</v>
      </c>
      <c r="AS31" s="47">
        <f t="shared" si="16"/>
        <v>73</v>
      </c>
      <c r="AT31" s="47">
        <f t="shared" si="17"/>
        <v>3</v>
      </c>
      <c r="AU31" s="47" t="str">
        <f t="shared" si="18"/>
        <v>A</v>
      </c>
      <c r="AV31" s="47" t="str">
        <f t="shared" si="19"/>
        <v>Excellent</v>
      </c>
      <c r="AW31" s="3">
        <v>29</v>
      </c>
      <c r="AX31" s="162" t="s">
        <v>143</v>
      </c>
      <c r="AY31" s="130">
        <v>10</v>
      </c>
      <c r="AZ31" s="131">
        <v>9</v>
      </c>
      <c r="BA31" s="131">
        <v>6</v>
      </c>
      <c r="BB31" s="131">
        <v>9</v>
      </c>
      <c r="BC31" s="85">
        <f t="shared" si="20"/>
        <v>34</v>
      </c>
      <c r="BD31" s="131">
        <v>31</v>
      </c>
      <c r="BE31" s="85">
        <f t="shared" si="21"/>
        <v>65</v>
      </c>
      <c r="BF31" s="85">
        <f t="shared" si="22"/>
        <v>28</v>
      </c>
      <c r="BG31" s="85" t="str">
        <f t="shared" si="23"/>
        <v>C</v>
      </c>
      <c r="BH31" s="85" t="str">
        <f t="shared" si="24"/>
        <v>Credit</v>
      </c>
      <c r="BI31" s="3">
        <v>29</v>
      </c>
      <c r="BJ31" s="90"/>
      <c r="BK31" s="167">
        <v>6</v>
      </c>
      <c r="BL31" s="168">
        <v>5</v>
      </c>
      <c r="BM31" s="168">
        <v>2</v>
      </c>
      <c r="BN31" s="168">
        <v>10</v>
      </c>
      <c r="BO31" s="90">
        <f t="shared" si="25"/>
        <v>23</v>
      </c>
      <c r="BP31" s="173">
        <v>23</v>
      </c>
      <c r="BQ31" s="90">
        <f t="shared" si="26"/>
        <v>46</v>
      </c>
      <c r="BR31" s="90">
        <f t="shared" si="27"/>
        <v>26</v>
      </c>
      <c r="BS31" s="90" t="str">
        <f t="shared" si="28"/>
        <v>P</v>
      </c>
      <c r="BT31" s="90" t="str">
        <f t="shared" si="29"/>
        <v>Pass</v>
      </c>
      <c r="BU31" s="3">
        <v>29</v>
      </c>
      <c r="BV31" s="162" t="s">
        <v>143</v>
      </c>
      <c r="BW31" s="145">
        <v>9</v>
      </c>
      <c r="BX31" s="143">
        <v>9</v>
      </c>
      <c r="BY31" s="143">
        <v>10</v>
      </c>
      <c r="BZ31" s="143">
        <v>8</v>
      </c>
      <c r="CA31" s="94">
        <f t="shared" si="30"/>
        <v>36</v>
      </c>
      <c r="CB31" s="143">
        <v>25</v>
      </c>
      <c r="CC31" s="94">
        <f t="shared" si="31"/>
        <v>61</v>
      </c>
      <c r="CD31" s="94">
        <f t="shared" si="32"/>
        <v>18</v>
      </c>
      <c r="CE31" s="94" t="str">
        <f t="shared" si="33"/>
        <v>C</v>
      </c>
      <c r="CF31" s="94" t="str">
        <f t="shared" si="34"/>
        <v>Credit</v>
      </c>
      <c r="CG31" s="3">
        <v>29</v>
      </c>
      <c r="CH31" s="162" t="s">
        <v>143</v>
      </c>
      <c r="CI31" s="145">
        <v>8</v>
      </c>
      <c r="CJ31" s="143">
        <v>5</v>
      </c>
      <c r="CK31" s="143">
        <v>8</v>
      </c>
      <c r="CL31" s="143">
        <v>9</v>
      </c>
      <c r="CM31" s="66">
        <f t="shared" si="35"/>
        <v>30</v>
      </c>
      <c r="CN31" s="143">
        <v>27</v>
      </c>
      <c r="CO31" s="66">
        <f t="shared" si="89"/>
        <v>57</v>
      </c>
      <c r="CP31" s="66">
        <f t="shared" si="36"/>
        <v>31</v>
      </c>
      <c r="CQ31" s="66" t="str">
        <f t="shared" si="37"/>
        <v>C</v>
      </c>
      <c r="CR31" s="66" t="str">
        <f t="shared" si="38"/>
        <v>Credit</v>
      </c>
      <c r="CS31" s="3">
        <v>29</v>
      </c>
      <c r="CT31" s="162" t="s">
        <v>143</v>
      </c>
      <c r="CU31" s="148">
        <v>8</v>
      </c>
      <c r="CV31" s="149">
        <v>9</v>
      </c>
      <c r="CW31" s="149">
        <v>8</v>
      </c>
      <c r="CX31" s="149">
        <v>10</v>
      </c>
      <c r="CY31" s="70">
        <f t="shared" si="39"/>
        <v>35</v>
      </c>
      <c r="CZ31" s="149">
        <v>31</v>
      </c>
      <c r="DA31" s="70">
        <f t="shared" si="40"/>
        <v>66</v>
      </c>
      <c r="DB31" s="70">
        <f t="shared" si="41"/>
        <v>18</v>
      </c>
      <c r="DC31" s="70" t="str">
        <f t="shared" si="42"/>
        <v>C</v>
      </c>
      <c r="DD31" s="70" t="str">
        <f t="shared" si="43"/>
        <v>Credit</v>
      </c>
      <c r="DE31" s="3">
        <v>29</v>
      </c>
      <c r="DF31" s="59"/>
      <c r="DG31" s="145">
        <v>10</v>
      </c>
      <c r="DH31" s="143">
        <v>10</v>
      </c>
      <c r="DI31" s="143">
        <v>10</v>
      </c>
      <c r="DJ31" s="143">
        <v>10</v>
      </c>
      <c r="DK31" s="59">
        <f t="shared" si="44"/>
        <v>40</v>
      </c>
      <c r="DL31" s="143">
        <v>36</v>
      </c>
      <c r="DM31" s="59">
        <f t="shared" si="45"/>
        <v>76</v>
      </c>
      <c r="DN31" s="59">
        <f t="shared" si="46"/>
        <v>10</v>
      </c>
      <c r="DO31" s="59" t="str">
        <f t="shared" si="47"/>
        <v>A</v>
      </c>
      <c r="DP31" s="59" t="str">
        <f t="shared" si="48"/>
        <v>Excellent</v>
      </c>
      <c r="DQ31" s="3">
        <v>29</v>
      </c>
      <c r="DR31" s="162" t="s">
        <v>143</v>
      </c>
      <c r="DS31" s="145">
        <v>9</v>
      </c>
      <c r="DT31" s="143">
        <v>7</v>
      </c>
      <c r="DU31" s="143">
        <v>9</v>
      </c>
      <c r="DV31" s="143">
        <v>9</v>
      </c>
      <c r="DW31" s="102">
        <f t="shared" si="49"/>
        <v>34</v>
      </c>
      <c r="DX31" s="143">
        <v>33</v>
      </c>
      <c r="DY31" s="102">
        <f t="shared" si="50"/>
        <v>67</v>
      </c>
      <c r="DZ31" s="102">
        <f t="shared" si="51"/>
        <v>16</v>
      </c>
      <c r="EA31" s="102" t="str">
        <f t="shared" si="52"/>
        <v>C</v>
      </c>
      <c r="EB31" s="102" t="str">
        <f t="shared" si="53"/>
        <v>Credit</v>
      </c>
      <c r="EC31" s="3">
        <v>29</v>
      </c>
      <c r="ED31" s="75"/>
      <c r="EE31" s="145">
        <v>6</v>
      </c>
      <c r="EF31" s="143">
        <v>8</v>
      </c>
      <c r="EG31" s="143">
        <v>9</v>
      </c>
      <c r="EH31" s="143">
        <v>7</v>
      </c>
      <c r="EI31" s="75">
        <f t="shared" si="54"/>
        <v>30</v>
      </c>
      <c r="EJ31" s="143">
        <v>19</v>
      </c>
      <c r="EK31" s="75">
        <f t="shared" si="0"/>
        <v>49</v>
      </c>
      <c r="EL31" s="75">
        <f t="shared" si="55"/>
        <v>28</v>
      </c>
      <c r="EM31" s="75" t="str">
        <f t="shared" si="56"/>
        <v>P</v>
      </c>
      <c r="EN31" s="75" t="str">
        <f t="shared" si="57"/>
        <v>Pass</v>
      </c>
      <c r="EO31" s="3">
        <v>29</v>
      </c>
      <c r="EP31" s="162" t="s">
        <v>143</v>
      </c>
      <c r="EQ31" s="3">
        <v>10</v>
      </c>
      <c r="ER31" s="147">
        <v>7</v>
      </c>
      <c r="ES31" s="147">
        <v>8</v>
      </c>
      <c r="ET31" s="147">
        <v>10</v>
      </c>
      <c r="EU31" s="98">
        <f t="shared" si="58"/>
        <v>35</v>
      </c>
      <c r="EV31" s="147">
        <v>35</v>
      </c>
      <c r="EW31" s="98">
        <f t="shared" si="59"/>
        <v>70</v>
      </c>
      <c r="EX31" s="98">
        <f t="shared" si="60"/>
        <v>3</v>
      </c>
      <c r="EY31" s="98" t="str">
        <f t="shared" si="61"/>
        <v>A</v>
      </c>
      <c r="EZ31" s="98" t="str">
        <f t="shared" si="62"/>
        <v>Excellent</v>
      </c>
      <c r="FA31" s="3">
        <v>29</v>
      </c>
      <c r="FB31" s="113"/>
      <c r="FC31" s="145">
        <v>8</v>
      </c>
      <c r="FD31" s="143">
        <v>10</v>
      </c>
      <c r="FE31" s="143">
        <v>3</v>
      </c>
      <c r="FF31" s="143">
        <v>9</v>
      </c>
      <c r="FG31" s="113">
        <f t="shared" si="63"/>
        <v>30</v>
      </c>
      <c r="FH31" s="143">
        <v>35</v>
      </c>
      <c r="FI31" s="113">
        <f t="shared" si="64"/>
        <v>65</v>
      </c>
      <c r="FJ31" s="113">
        <f t="shared" si="65"/>
        <v>35</v>
      </c>
      <c r="FK31" s="113" t="str">
        <f t="shared" si="66"/>
        <v>C</v>
      </c>
      <c r="FL31" s="113" t="str">
        <f t="shared" si="67"/>
        <v>Credit</v>
      </c>
      <c r="FM31" s="3">
        <v>29</v>
      </c>
      <c r="FN31" s="53"/>
      <c r="FO31" s="145">
        <v>10</v>
      </c>
      <c r="FP31" s="143">
        <v>10</v>
      </c>
      <c r="FQ31" s="143">
        <v>5</v>
      </c>
      <c r="FR31" s="143">
        <v>5</v>
      </c>
      <c r="FS31" s="53">
        <f t="shared" si="68"/>
        <v>30</v>
      </c>
      <c r="FT31" s="143">
        <v>38</v>
      </c>
      <c r="FU31" s="53">
        <f t="shared" si="69"/>
        <v>68</v>
      </c>
      <c r="FV31" s="53">
        <f t="shared" si="70"/>
        <v>26</v>
      </c>
      <c r="FW31" s="53" t="str">
        <f t="shared" si="71"/>
        <v>C</v>
      </c>
      <c r="FX31" s="53" t="str">
        <f t="shared" si="72"/>
        <v>Credit</v>
      </c>
      <c r="FY31" s="3">
        <v>29</v>
      </c>
      <c r="FZ31" s="80"/>
      <c r="GA31" s="80"/>
      <c r="GB31" s="80"/>
      <c r="GC31" s="80"/>
      <c r="GD31" s="80"/>
      <c r="GE31" s="80">
        <f t="shared" si="73"/>
        <v>0</v>
      </c>
      <c r="GF31" s="80"/>
      <c r="GG31" s="80">
        <f t="shared" si="74"/>
        <v>0</v>
      </c>
      <c r="GH31" s="80" t="str">
        <f t="shared" si="75"/>
        <v/>
      </c>
      <c r="GI31" s="80" t="str">
        <f t="shared" si="76"/>
        <v/>
      </c>
      <c r="GJ31" s="80" t="str">
        <f t="shared" si="77"/>
        <v/>
      </c>
      <c r="GK31" s="3">
        <v>29</v>
      </c>
      <c r="GL31" s="162" t="s">
        <v>143</v>
      </c>
      <c r="GM31" s="145">
        <v>9</v>
      </c>
      <c r="GN31" s="143">
        <v>2</v>
      </c>
      <c r="GO31" s="143">
        <v>10</v>
      </c>
      <c r="GP31" s="143">
        <v>10</v>
      </c>
      <c r="GQ31" s="113">
        <f t="shared" si="78"/>
        <v>31</v>
      </c>
      <c r="GR31" s="143">
        <v>28</v>
      </c>
      <c r="GS31" s="113">
        <f t="shared" si="79"/>
        <v>59</v>
      </c>
      <c r="GT31" s="113">
        <f t="shared" si="80"/>
        <v>17</v>
      </c>
      <c r="GU31" s="113" t="str">
        <f t="shared" si="81"/>
        <v>C</v>
      </c>
      <c r="GV31" s="113" t="str">
        <f t="shared" si="82"/>
        <v>Credit</v>
      </c>
      <c r="GW31" s="3">
        <v>29</v>
      </c>
      <c r="GX31" s="107"/>
      <c r="GY31" s="145"/>
      <c r="GZ31" s="143"/>
      <c r="HA31" s="143"/>
      <c r="HB31" s="143"/>
      <c r="HC31" s="107">
        <f t="shared" si="83"/>
        <v>0</v>
      </c>
      <c r="HD31" s="143"/>
      <c r="HE31" s="107">
        <f t="shared" si="84"/>
        <v>0</v>
      </c>
      <c r="HF31" s="107" t="str">
        <f t="shared" si="85"/>
        <v/>
      </c>
      <c r="HG31" s="107" t="str">
        <f t="shared" si="86"/>
        <v/>
      </c>
      <c r="HH31" s="107" t="str">
        <f t="shared" si="87"/>
        <v/>
      </c>
    </row>
    <row r="32" spans="1:216" ht="18.75">
      <c r="A32" s="185">
        <v>30</v>
      </c>
      <c r="B32" s="162" t="s">
        <v>144</v>
      </c>
      <c r="C32" s="130">
        <v>9</v>
      </c>
      <c r="D32" s="131">
        <v>4</v>
      </c>
      <c r="E32" s="131">
        <v>8</v>
      </c>
      <c r="F32" s="131">
        <v>7</v>
      </c>
      <c r="G32" s="53">
        <f t="shared" si="92"/>
        <v>28</v>
      </c>
      <c r="H32" s="131">
        <v>36</v>
      </c>
      <c r="I32" s="53">
        <f t="shared" si="93"/>
        <v>64</v>
      </c>
      <c r="J32" s="53">
        <f t="shared" si="3"/>
        <v>17</v>
      </c>
      <c r="K32" s="53" t="str">
        <f t="shared" si="4"/>
        <v>C</v>
      </c>
      <c r="L32" s="53" t="str">
        <f t="shared" si="5"/>
        <v>Credit</v>
      </c>
      <c r="M32" s="44">
        <v>30</v>
      </c>
      <c r="N32" s="59"/>
      <c r="O32" s="135">
        <v>4</v>
      </c>
      <c r="P32" s="136">
        <v>2</v>
      </c>
      <c r="Q32" s="136">
        <v>9</v>
      </c>
      <c r="R32" s="136">
        <v>10</v>
      </c>
      <c r="S32" s="59">
        <f t="shared" si="90"/>
        <v>25</v>
      </c>
      <c r="T32" s="136">
        <v>20</v>
      </c>
      <c r="U32" s="59">
        <f t="shared" si="7"/>
        <v>45</v>
      </c>
      <c r="V32" s="59">
        <f t="shared" si="8"/>
        <v>23</v>
      </c>
      <c r="W32" s="59" t="str">
        <f t="shared" si="9"/>
        <v>P</v>
      </c>
      <c r="X32" s="59" t="str">
        <f t="shared" si="10"/>
        <v>Pass</v>
      </c>
      <c r="Y32" s="3">
        <v>30</v>
      </c>
      <c r="Z32" s="80"/>
      <c r="AA32" s="135">
        <v>5</v>
      </c>
      <c r="AB32" s="136">
        <v>5</v>
      </c>
      <c r="AC32" s="136">
        <v>6</v>
      </c>
      <c r="AD32" s="136">
        <v>9</v>
      </c>
      <c r="AE32" s="80">
        <f t="shared" si="91"/>
        <v>25</v>
      </c>
      <c r="AF32" s="136">
        <v>26</v>
      </c>
      <c r="AG32" s="80">
        <f t="shared" si="11"/>
        <v>51</v>
      </c>
      <c r="AH32" s="80">
        <f t="shared" si="12"/>
        <v>41</v>
      </c>
      <c r="AI32" s="80" t="str">
        <f t="shared" si="13"/>
        <v>C</v>
      </c>
      <c r="AJ32" s="80" t="str">
        <f t="shared" si="14"/>
        <v>Credit</v>
      </c>
      <c r="AK32" s="3">
        <v>30</v>
      </c>
      <c r="AL32" s="162" t="s">
        <v>144</v>
      </c>
      <c r="AM32" s="135">
        <v>8</v>
      </c>
      <c r="AN32" s="136">
        <v>6</v>
      </c>
      <c r="AO32" s="136">
        <v>10</v>
      </c>
      <c r="AP32" s="136">
        <v>10</v>
      </c>
      <c r="AQ32" s="47">
        <f t="shared" si="15"/>
        <v>34</v>
      </c>
      <c r="AR32" s="136">
        <v>35</v>
      </c>
      <c r="AS32" s="47">
        <f t="shared" si="16"/>
        <v>69</v>
      </c>
      <c r="AT32" s="47">
        <f t="shared" si="17"/>
        <v>5</v>
      </c>
      <c r="AU32" s="47" t="str">
        <f t="shared" si="18"/>
        <v>C</v>
      </c>
      <c r="AV32" s="47" t="str">
        <f t="shared" si="19"/>
        <v>Credit</v>
      </c>
      <c r="AW32" s="3">
        <v>30</v>
      </c>
      <c r="AX32" s="162" t="s">
        <v>144</v>
      </c>
      <c r="AY32" s="130">
        <v>10</v>
      </c>
      <c r="AZ32" s="131">
        <v>8</v>
      </c>
      <c r="BA32" s="131">
        <v>9</v>
      </c>
      <c r="BB32" s="131">
        <v>10</v>
      </c>
      <c r="BC32" s="85">
        <f t="shared" si="20"/>
        <v>37</v>
      </c>
      <c r="BD32" s="131">
        <v>39</v>
      </c>
      <c r="BE32" s="85">
        <f t="shared" si="21"/>
        <v>76</v>
      </c>
      <c r="BF32" s="85">
        <f t="shared" si="22"/>
        <v>12</v>
      </c>
      <c r="BG32" s="85" t="str">
        <f t="shared" si="23"/>
        <v>A</v>
      </c>
      <c r="BH32" s="85" t="str">
        <f t="shared" si="24"/>
        <v>Excellent</v>
      </c>
      <c r="BI32" s="3">
        <v>30</v>
      </c>
      <c r="BJ32" s="90"/>
      <c r="BK32" s="167">
        <v>2</v>
      </c>
      <c r="BL32" s="168">
        <v>7</v>
      </c>
      <c r="BM32" s="168">
        <v>2</v>
      </c>
      <c r="BN32" s="168">
        <v>10</v>
      </c>
      <c r="BO32" s="90">
        <f t="shared" si="25"/>
        <v>21</v>
      </c>
      <c r="BP32" s="173">
        <v>19</v>
      </c>
      <c r="BQ32" s="90">
        <f t="shared" si="26"/>
        <v>40</v>
      </c>
      <c r="BR32" s="90">
        <f t="shared" si="27"/>
        <v>34</v>
      </c>
      <c r="BS32" s="90" t="str">
        <f t="shared" si="28"/>
        <v>F</v>
      </c>
      <c r="BT32" s="90" t="str">
        <f t="shared" si="29"/>
        <v>Fail</v>
      </c>
      <c r="BU32" s="3">
        <v>30</v>
      </c>
      <c r="BV32" s="162" t="s">
        <v>144</v>
      </c>
      <c r="BW32" s="145">
        <v>6</v>
      </c>
      <c r="BX32" s="143">
        <v>2</v>
      </c>
      <c r="BY32" s="143">
        <v>9</v>
      </c>
      <c r="BZ32" s="143">
        <v>9</v>
      </c>
      <c r="CA32" s="94">
        <f t="shared" si="30"/>
        <v>26</v>
      </c>
      <c r="CB32" s="143">
        <v>36</v>
      </c>
      <c r="CC32" s="94">
        <f t="shared" si="31"/>
        <v>62</v>
      </c>
      <c r="CD32" s="94">
        <f t="shared" si="32"/>
        <v>17</v>
      </c>
      <c r="CE32" s="94" t="str">
        <f t="shared" si="33"/>
        <v>C</v>
      </c>
      <c r="CF32" s="94" t="str">
        <f t="shared" si="34"/>
        <v>Credit</v>
      </c>
      <c r="CG32" s="3">
        <v>30</v>
      </c>
      <c r="CH32" s="162" t="s">
        <v>144</v>
      </c>
      <c r="CI32" s="145">
        <v>8</v>
      </c>
      <c r="CJ32" s="143">
        <v>9</v>
      </c>
      <c r="CK32" s="143">
        <v>8</v>
      </c>
      <c r="CL32" s="143">
        <v>9</v>
      </c>
      <c r="CM32" s="66">
        <f t="shared" si="35"/>
        <v>34</v>
      </c>
      <c r="CN32" s="143">
        <v>26</v>
      </c>
      <c r="CO32" s="66">
        <f t="shared" si="89"/>
        <v>60</v>
      </c>
      <c r="CP32" s="66">
        <f t="shared" si="36"/>
        <v>26</v>
      </c>
      <c r="CQ32" s="66" t="str">
        <f t="shared" si="37"/>
        <v>C</v>
      </c>
      <c r="CR32" s="66" t="str">
        <f t="shared" si="38"/>
        <v>Credit</v>
      </c>
      <c r="CS32" s="3">
        <v>30</v>
      </c>
      <c r="CT32" s="162" t="s">
        <v>144</v>
      </c>
      <c r="CU32" s="148">
        <v>2</v>
      </c>
      <c r="CV32" s="149">
        <v>6</v>
      </c>
      <c r="CW32" s="149">
        <v>8</v>
      </c>
      <c r="CX32" s="149">
        <v>10</v>
      </c>
      <c r="CY32" s="70">
        <f t="shared" si="39"/>
        <v>26</v>
      </c>
      <c r="CZ32" s="149">
        <v>27</v>
      </c>
      <c r="DA32" s="70">
        <f t="shared" si="40"/>
        <v>53</v>
      </c>
      <c r="DB32" s="70">
        <f t="shared" si="41"/>
        <v>41</v>
      </c>
      <c r="DC32" s="70" t="str">
        <f t="shared" si="42"/>
        <v>C</v>
      </c>
      <c r="DD32" s="70" t="str">
        <f t="shared" si="43"/>
        <v>Credit</v>
      </c>
      <c r="DE32" s="3">
        <v>30</v>
      </c>
      <c r="DF32" s="59"/>
      <c r="DG32" s="145">
        <v>10</v>
      </c>
      <c r="DH32" s="143">
        <v>3</v>
      </c>
      <c r="DI32" s="143">
        <v>8</v>
      </c>
      <c r="DJ32" s="143">
        <v>10</v>
      </c>
      <c r="DK32" s="59">
        <f t="shared" si="44"/>
        <v>31</v>
      </c>
      <c r="DL32" s="143">
        <v>35</v>
      </c>
      <c r="DM32" s="59">
        <f t="shared" si="45"/>
        <v>66</v>
      </c>
      <c r="DN32" s="59">
        <f t="shared" si="46"/>
        <v>25</v>
      </c>
      <c r="DO32" s="59" t="str">
        <f t="shared" si="47"/>
        <v>C</v>
      </c>
      <c r="DP32" s="59" t="str">
        <f t="shared" si="48"/>
        <v>Credit</v>
      </c>
      <c r="DQ32" s="3">
        <v>30</v>
      </c>
      <c r="DR32" s="162" t="s">
        <v>144</v>
      </c>
      <c r="DS32" s="145">
        <v>7</v>
      </c>
      <c r="DT32" s="143">
        <v>3</v>
      </c>
      <c r="DU32" s="143">
        <v>8</v>
      </c>
      <c r="DV32" s="143">
        <v>9</v>
      </c>
      <c r="DW32" s="102">
        <f t="shared" si="49"/>
        <v>27</v>
      </c>
      <c r="DX32" s="143">
        <v>21</v>
      </c>
      <c r="DY32" s="102">
        <f t="shared" si="50"/>
        <v>48</v>
      </c>
      <c r="DZ32" s="102">
        <f t="shared" si="51"/>
        <v>44</v>
      </c>
      <c r="EA32" s="102" t="str">
        <f t="shared" si="52"/>
        <v>P</v>
      </c>
      <c r="EB32" s="102" t="str">
        <f t="shared" si="53"/>
        <v>Pass</v>
      </c>
      <c r="EC32" s="3">
        <v>30</v>
      </c>
      <c r="ED32" s="75"/>
      <c r="EE32" s="145">
        <v>5</v>
      </c>
      <c r="EF32" s="143">
        <v>4</v>
      </c>
      <c r="EG32" s="143">
        <v>9</v>
      </c>
      <c r="EH32" s="143">
        <v>6</v>
      </c>
      <c r="EI32" s="75">
        <f t="shared" si="54"/>
        <v>24</v>
      </c>
      <c r="EJ32" s="143">
        <v>14</v>
      </c>
      <c r="EK32" s="75">
        <f t="shared" si="0"/>
        <v>38</v>
      </c>
      <c r="EL32" s="75">
        <f t="shared" si="55"/>
        <v>46</v>
      </c>
      <c r="EM32" s="75" t="str">
        <f t="shared" si="56"/>
        <v>F</v>
      </c>
      <c r="EN32" s="75" t="str">
        <f t="shared" si="57"/>
        <v>Fail</v>
      </c>
      <c r="EO32" s="3">
        <v>30</v>
      </c>
      <c r="EP32" s="162" t="s">
        <v>144</v>
      </c>
      <c r="EQ32" s="3">
        <v>8</v>
      </c>
      <c r="ER32" s="147">
        <v>1</v>
      </c>
      <c r="ES32" s="147">
        <v>8</v>
      </c>
      <c r="ET32" s="147">
        <v>8</v>
      </c>
      <c r="EU32" s="98">
        <f t="shared" si="58"/>
        <v>25</v>
      </c>
      <c r="EV32" s="147">
        <v>20</v>
      </c>
      <c r="EW32" s="98">
        <f t="shared" si="59"/>
        <v>45</v>
      </c>
      <c r="EX32" s="98">
        <f t="shared" si="60"/>
        <v>25</v>
      </c>
      <c r="EY32" s="98" t="str">
        <f t="shared" si="61"/>
        <v>P</v>
      </c>
      <c r="EZ32" s="98" t="str">
        <f t="shared" si="62"/>
        <v>Pass</v>
      </c>
      <c r="FA32" s="3">
        <v>30</v>
      </c>
      <c r="FB32" s="113"/>
      <c r="FC32" s="145">
        <v>6</v>
      </c>
      <c r="FD32" s="143">
        <v>10</v>
      </c>
      <c r="FE32" s="143">
        <v>5</v>
      </c>
      <c r="FF32" s="143">
        <v>7</v>
      </c>
      <c r="FG32" s="113">
        <f t="shared" si="63"/>
        <v>28</v>
      </c>
      <c r="FH32" s="143">
        <v>30</v>
      </c>
      <c r="FI32" s="113">
        <f t="shared" si="64"/>
        <v>58</v>
      </c>
      <c r="FJ32" s="113">
        <f t="shared" si="65"/>
        <v>44</v>
      </c>
      <c r="FK32" s="113" t="str">
        <f t="shared" si="66"/>
        <v>C</v>
      </c>
      <c r="FL32" s="113" t="str">
        <f t="shared" si="67"/>
        <v>Credit</v>
      </c>
      <c r="FM32" s="3">
        <v>30</v>
      </c>
      <c r="FN32" s="53"/>
      <c r="FO32" s="145">
        <v>10</v>
      </c>
      <c r="FP32" s="143">
        <v>7</v>
      </c>
      <c r="FQ32" s="143">
        <v>10</v>
      </c>
      <c r="FR32" s="143">
        <v>4</v>
      </c>
      <c r="FS32" s="53">
        <f t="shared" si="68"/>
        <v>31</v>
      </c>
      <c r="FT32" s="143">
        <v>32</v>
      </c>
      <c r="FU32" s="53">
        <f t="shared" si="69"/>
        <v>63</v>
      </c>
      <c r="FV32" s="53">
        <f t="shared" si="70"/>
        <v>31</v>
      </c>
      <c r="FW32" s="53" t="str">
        <f t="shared" si="71"/>
        <v>C</v>
      </c>
      <c r="FX32" s="53" t="str">
        <f t="shared" si="72"/>
        <v>Credit</v>
      </c>
      <c r="FY32" s="3">
        <v>30</v>
      </c>
      <c r="FZ32" s="80"/>
      <c r="GA32" s="80"/>
      <c r="GB32" s="80"/>
      <c r="GC32" s="80"/>
      <c r="GD32" s="80"/>
      <c r="GE32" s="80">
        <f t="shared" si="73"/>
        <v>0</v>
      </c>
      <c r="GF32" s="80"/>
      <c r="GG32" s="80">
        <f t="shared" si="74"/>
        <v>0</v>
      </c>
      <c r="GH32" s="80" t="str">
        <f t="shared" si="75"/>
        <v/>
      </c>
      <c r="GI32" s="80" t="str">
        <f t="shared" si="76"/>
        <v/>
      </c>
      <c r="GJ32" s="80" t="str">
        <f t="shared" si="77"/>
        <v/>
      </c>
      <c r="GK32" s="3">
        <v>30</v>
      </c>
      <c r="GL32" s="162" t="s">
        <v>144</v>
      </c>
      <c r="GM32" s="145">
        <v>7</v>
      </c>
      <c r="GN32" s="143">
        <v>6</v>
      </c>
      <c r="GO32" s="143">
        <v>10</v>
      </c>
      <c r="GP32" s="143">
        <v>5</v>
      </c>
      <c r="GQ32" s="113">
        <f t="shared" si="78"/>
        <v>28</v>
      </c>
      <c r="GR32" s="143">
        <v>26</v>
      </c>
      <c r="GS32" s="113">
        <f t="shared" si="79"/>
        <v>54</v>
      </c>
      <c r="GT32" s="113">
        <f t="shared" si="80"/>
        <v>23</v>
      </c>
      <c r="GU32" s="113" t="str">
        <f t="shared" si="81"/>
        <v>C</v>
      </c>
      <c r="GV32" s="113" t="str">
        <f t="shared" si="82"/>
        <v>Credit</v>
      </c>
      <c r="GW32" s="3">
        <v>30</v>
      </c>
      <c r="GX32" s="107"/>
      <c r="GY32" s="145"/>
      <c r="GZ32" s="143"/>
      <c r="HA32" s="143"/>
      <c r="HB32" s="143"/>
      <c r="HC32" s="107">
        <f t="shared" si="83"/>
        <v>0</v>
      </c>
      <c r="HD32" s="143"/>
      <c r="HE32" s="107">
        <f t="shared" si="84"/>
        <v>0</v>
      </c>
      <c r="HF32" s="107" t="str">
        <f t="shared" si="85"/>
        <v/>
      </c>
      <c r="HG32" s="107" t="str">
        <f t="shared" si="86"/>
        <v/>
      </c>
      <c r="HH32" s="107" t="str">
        <f t="shared" si="87"/>
        <v/>
      </c>
    </row>
    <row r="33" spans="1:216" ht="18.75">
      <c r="A33" s="186">
        <v>31</v>
      </c>
      <c r="B33" s="161" t="s">
        <v>145</v>
      </c>
      <c r="C33" s="130">
        <v>4</v>
      </c>
      <c r="D33" s="131">
        <v>5</v>
      </c>
      <c r="E33" s="131">
        <v>9</v>
      </c>
      <c r="F33" s="131">
        <v>5</v>
      </c>
      <c r="G33" s="53">
        <f t="shared" si="92"/>
        <v>23</v>
      </c>
      <c r="H33" s="131">
        <v>29</v>
      </c>
      <c r="I33" s="53">
        <f t="shared" si="93"/>
        <v>52</v>
      </c>
      <c r="J33" s="53">
        <f t="shared" si="3"/>
        <v>36</v>
      </c>
      <c r="K33" s="53" t="str">
        <f t="shared" si="4"/>
        <v>C</v>
      </c>
      <c r="L33" s="53" t="str">
        <f t="shared" si="5"/>
        <v>Credit</v>
      </c>
      <c r="M33" s="44">
        <v>31</v>
      </c>
      <c r="N33" s="59"/>
      <c r="O33" s="135">
        <v>2</v>
      </c>
      <c r="P33" s="136">
        <v>1</v>
      </c>
      <c r="Q33" s="136">
        <v>5</v>
      </c>
      <c r="R33" s="136">
        <v>10</v>
      </c>
      <c r="S33" s="59">
        <f t="shared" si="90"/>
        <v>18</v>
      </c>
      <c r="T33" s="136">
        <v>15</v>
      </c>
      <c r="U33" s="59">
        <f t="shared" si="7"/>
        <v>33</v>
      </c>
      <c r="V33" s="59">
        <f t="shared" si="8"/>
        <v>45</v>
      </c>
      <c r="W33" s="59" t="str">
        <f t="shared" si="9"/>
        <v>F</v>
      </c>
      <c r="X33" s="59" t="str">
        <f t="shared" si="10"/>
        <v>Fail</v>
      </c>
      <c r="Y33" s="3">
        <v>31</v>
      </c>
      <c r="Z33" s="80"/>
      <c r="AA33" s="135">
        <v>6</v>
      </c>
      <c r="AB33" s="136">
        <v>7</v>
      </c>
      <c r="AC33" s="136">
        <v>8</v>
      </c>
      <c r="AD33" s="136">
        <v>5</v>
      </c>
      <c r="AE33" s="80">
        <f>SUM(AA33:AD33)</f>
        <v>26</v>
      </c>
      <c r="AF33" s="136">
        <v>19</v>
      </c>
      <c r="AG33" s="80">
        <f t="shared" si="11"/>
        <v>45</v>
      </c>
      <c r="AH33" s="80">
        <f t="shared" si="12"/>
        <v>45</v>
      </c>
      <c r="AI33" s="80" t="str">
        <f t="shared" si="13"/>
        <v>P</v>
      </c>
      <c r="AJ33" s="80" t="str">
        <f t="shared" si="14"/>
        <v>Pass</v>
      </c>
      <c r="AK33" s="3">
        <v>31</v>
      </c>
      <c r="AL33" s="161" t="s">
        <v>145</v>
      </c>
      <c r="AM33" s="135"/>
      <c r="AN33" s="136"/>
      <c r="AO33" s="136"/>
      <c r="AP33" s="136"/>
      <c r="AQ33" s="47">
        <f t="shared" si="15"/>
        <v>0</v>
      </c>
      <c r="AR33" s="136"/>
      <c r="AS33" s="47">
        <f t="shared" si="16"/>
        <v>0</v>
      </c>
      <c r="AT33" s="47" t="str">
        <f t="shared" si="17"/>
        <v/>
      </c>
      <c r="AU33" s="47" t="str">
        <f t="shared" si="18"/>
        <v/>
      </c>
      <c r="AV33" s="47" t="str">
        <f t="shared" si="19"/>
        <v/>
      </c>
      <c r="AW33" s="3">
        <v>31</v>
      </c>
      <c r="AX33" s="161" t="s">
        <v>145</v>
      </c>
      <c r="AY33" s="130">
        <v>8</v>
      </c>
      <c r="AZ33" s="131">
        <v>9</v>
      </c>
      <c r="BA33" s="131">
        <v>7</v>
      </c>
      <c r="BB33" s="131">
        <v>8</v>
      </c>
      <c r="BC33" s="85">
        <f t="shared" si="20"/>
        <v>32</v>
      </c>
      <c r="BD33" s="131">
        <v>27</v>
      </c>
      <c r="BE33" s="85">
        <f t="shared" si="21"/>
        <v>59</v>
      </c>
      <c r="BF33" s="85">
        <f t="shared" si="22"/>
        <v>37</v>
      </c>
      <c r="BG33" s="85" t="str">
        <f t="shared" si="23"/>
        <v>C</v>
      </c>
      <c r="BH33" s="85" t="str">
        <f t="shared" si="24"/>
        <v>Credit</v>
      </c>
      <c r="BI33" s="3">
        <v>31</v>
      </c>
      <c r="BJ33" s="90"/>
      <c r="BK33" s="167">
        <v>3</v>
      </c>
      <c r="BL33" s="168">
        <v>5</v>
      </c>
      <c r="BM33" s="168">
        <v>2</v>
      </c>
      <c r="BN33" s="168">
        <v>5</v>
      </c>
      <c r="BO33" s="90">
        <f t="shared" si="25"/>
        <v>15</v>
      </c>
      <c r="BP33" s="173">
        <v>16</v>
      </c>
      <c r="BQ33" s="90">
        <f t="shared" si="26"/>
        <v>31</v>
      </c>
      <c r="BR33" s="90">
        <f t="shared" si="27"/>
        <v>45</v>
      </c>
      <c r="BS33" s="90" t="str">
        <f t="shared" si="28"/>
        <v>F</v>
      </c>
      <c r="BT33" s="90" t="str">
        <f t="shared" si="29"/>
        <v>Fail</v>
      </c>
      <c r="BU33" s="3">
        <v>31</v>
      </c>
      <c r="BV33" s="161" t="s">
        <v>145</v>
      </c>
      <c r="BW33" s="145">
        <v>6</v>
      </c>
      <c r="BX33" s="143">
        <v>1</v>
      </c>
      <c r="BY33" s="143">
        <v>7</v>
      </c>
      <c r="BZ33" s="143">
        <v>9</v>
      </c>
      <c r="CA33" s="94">
        <f t="shared" si="30"/>
        <v>23</v>
      </c>
      <c r="CB33" s="143">
        <v>29</v>
      </c>
      <c r="CC33" s="94">
        <f t="shared" si="31"/>
        <v>52</v>
      </c>
      <c r="CD33" s="94">
        <f t="shared" si="32"/>
        <v>34</v>
      </c>
      <c r="CE33" s="94" t="str">
        <f t="shared" si="33"/>
        <v>C</v>
      </c>
      <c r="CF33" s="94" t="str">
        <f t="shared" si="34"/>
        <v>Credit</v>
      </c>
      <c r="CG33" s="3">
        <v>31</v>
      </c>
      <c r="CH33" s="161" t="s">
        <v>145</v>
      </c>
      <c r="CI33" s="145">
        <v>5</v>
      </c>
      <c r="CJ33" s="143">
        <v>8</v>
      </c>
      <c r="CK33" s="143">
        <v>10</v>
      </c>
      <c r="CL33" s="143">
        <v>9</v>
      </c>
      <c r="CM33" s="66">
        <f t="shared" si="35"/>
        <v>32</v>
      </c>
      <c r="CN33" s="143">
        <v>26</v>
      </c>
      <c r="CO33" s="66">
        <f t="shared" si="89"/>
        <v>58</v>
      </c>
      <c r="CP33" s="66">
        <f t="shared" si="36"/>
        <v>30</v>
      </c>
      <c r="CQ33" s="66" t="str">
        <f t="shared" si="37"/>
        <v>C</v>
      </c>
      <c r="CR33" s="66" t="str">
        <f t="shared" si="38"/>
        <v>Credit</v>
      </c>
      <c r="CS33" s="3">
        <v>31</v>
      </c>
      <c r="CT33" s="161" t="s">
        <v>145</v>
      </c>
      <c r="CU33" s="148">
        <v>5</v>
      </c>
      <c r="CV33" s="149">
        <v>5</v>
      </c>
      <c r="CW33" s="149">
        <v>10</v>
      </c>
      <c r="CX33" s="149">
        <v>10</v>
      </c>
      <c r="CY33" s="70">
        <f t="shared" si="39"/>
        <v>30</v>
      </c>
      <c r="CZ33" s="149">
        <v>29</v>
      </c>
      <c r="DA33" s="70">
        <f t="shared" si="40"/>
        <v>59</v>
      </c>
      <c r="DB33" s="70">
        <f t="shared" si="41"/>
        <v>33</v>
      </c>
      <c r="DC33" s="70" t="str">
        <f t="shared" si="42"/>
        <v>C</v>
      </c>
      <c r="DD33" s="70" t="str">
        <f t="shared" si="43"/>
        <v>Credit</v>
      </c>
      <c r="DE33" s="3">
        <v>31</v>
      </c>
      <c r="DF33" s="59"/>
      <c r="DG33" s="145">
        <v>7</v>
      </c>
      <c r="DH33" s="143">
        <v>10</v>
      </c>
      <c r="DI33" s="143">
        <v>1</v>
      </c>
      <c r="DJ33" s="143">
        <v>9</v>
      </c>
      <c r="DK33" s="59">
        <f t="shared" si="44"/>
        <v>27</v>
      </c>
      <c r="DL33" s="143">
        <v>30</v>
      </c>
      <c r="DM33" s="59">
        <f t="shared" si="45"/>
        <v>57</v>
      </c>
      <c r="DN33" s="59">
        <f t="shared" si="46"/>
        <v>35</v>
      </c>
      <c r="DO33" s="59" t="str">
        <f t="shared" si="47"/>
        <v>C</v>
      </c>
      <c r="DP33" s="59" t="str">
        <f t="shared" si="48"/>
        <v>Credit</v>
      </c>
      <c r="DQ33" s="3">
        <v>31</v>
      </c>
      <c r="DR33" s="161" t="s">
        <v>145</v>
      </c>
      <c r="DS33" s="145">
        <v>6</v>
      </c>
      <c r="DT33" s="143">
        <v>4</v>
      </c>
      <c r="DU33" s="143">
        <v>9</v>
      </c>
      <c r="DV33" s="143">
        <v>9</v>
      </c>
      <c r="DW33" s="102">
        <f t="shared" si="49"/>
        <v>28</v>
      </c>
      <c r="DX33" s="143">
        <v>22</v>
      </c>
      <c r="DY33" s="102">
        <f t="shared" si="50"/>
        <v>50</v>
      </c>
      <c r="DZ33" s="102">
        <f t="shared" si="51"/>
        <v>40</v>
      </c>
      <c r="EA33" s="102" t="str">
        <f t="shared" si="52"/>
        <v>C</v>
      </c>
      <c r="EB33" s="102" t="str">
        <f t="shared" si="53"/>
        <v>Credit</v>
      </c>
      <c r="EC33" s="3">
        <v>31</v>
      </c>
      <c r="ED33" s="75"/>
      <c r="EE33" s="145">
        <v>6</v>
      </c>
      <c r="EF33" s="143">
        <v>9</v>
      </c>
      <c r="EG33" s="143">
        <v>10</v>
      </c>
      <c r="EH33" s="143">
        <v>2</v>
      </c>
      <c r="EI33" s="75">
        <f t="shared" si="54"/>
        <v>27</v>
      </c>
      <c r="EJ33" s="143">
        <v>22</v>
      </c>
      <c r="EK33" s="75">
        <f t="shared" si="0"/>
        <v>49</v>
      </c>
      <c r="EL33" s="75">
        <f t="shared" si="55"/>
        <v>28</v>
      </c>
      <c r="EM33" s="75" t="str">
        <f t="shared" si="56"/>
        <v>P</v>
      </c>
      <c r="EN33" s="75" t="str">
        <f t="shared" si="57"/>
        <v>Pass</v>
      </c>
      <c r="EO33" s="3">
        <v>31</v>
      </c>
      <c r="EP33" s="161" t="s">
        <v>145</v>
      </c>
      <c r="EQ33" s="3">
        <v>9</v>
      </c>
      <c r="ER33" s="147">
        <v>4</v>
      </c>
      <c r="ES33" s="147">
        <v>1</v>
      </c>
      <c r="ET33" s="147">
        <v>1</v>
      </c>
      <c r="EU33" s="98">
        <f t="shared" si="58"/>
        <v>15</v>
      </c>
      <c r="EV33" s="147">
        <v>18</v>
      </c>
      <c r="EW33" s="98">
        <f t="shared" si="59"/>
        <v>33</v>
      </c>
      <c r="EX33" s="98">
        <f t="shared" si="60"/>
        <v>41</v>
      </c>
      <c r="EY33" s="98" t="str">
        <f t="shared" si="61"/>
        <v>F</v>
      </c>
      <c r="EZ33" s="98" t="str">
        <f t="shared" si="62"/>
        <v>Fail</v>
      </c>
      <c r="FA33" s="3">
        <v>31</v>
      </c>
      <c r="FB33" s="113"/>
      <c r="FC33" s="145">
        <v>9</v>
      </c>
      <c r="FD33" s="143">
        <v>8</v>
      </c>
      <c r="FE33" s="143">
        <v>3</v>
      </c>
      <c r="FF33" s="143">
        <v>7</v>
      </c>
      <c r="FG33" s="113">
        <f t="shared" si="63"/>
        <v>27</v>
      </c>
      <c r="FH33" s="143">
        <v>39</v>
      </c>
      <c r="FI33" s="113">
        <f t="shared" si="64"/>
        <v>66</v>
      </c>
      <c r="FJ33" s="113">
        <f t="shared" si="65"/>
        <v>34</v>
      </c>
      <c r="FK33" s="113" t="str">
        <f t="shared" si="66"/>
        <v>C</v>
      </c>
      <c r="FL33" s="113" t="str">
        <f t="shared" si="67"/>
        <v>Credit</v>
      </c>
      <c r="FM33" s="3">
        <v>31</v>
      </c>
      <c r="FN33" s="53"/>
      <c r="FO33" s="145">
        <v>8</v>
      </c>
      <c r="FP33" s="143">
        <v>8</v>
      </c>
      <c r="FQ33" s="143">
        <v>8</v>
      </c>
      <c r="FR33" s="143">
        <v>6</v>
      </c>
      <c r="FS33" s="53">
        <f t="shared" si="68"/>
        <v>30</v>
      </c>
      <c r="FT33" s="143">
        <v>52</v>
      </c>
      <c r="FU33" s="53">
        <f t="shared" si="69"/>
        <v>82</v>
      </c>
      <c r="FV33" s="53">
        <f t="shared" si="70"/>
        <v>6</v>
      </c>
      <c r="FW33" s="53" t="str">
        <f t="shared" si="71"/>
        <v>A</v>
      </c>
      <c r="FX33" s="53" t="str">
        <f t="shared" si="72"/>
        <v>Excellent</v>
      </c>
      <c r="FY33" s="3">
        <v>31</v>
      </c>
      <c r="FZ33" s="80"/>
      <c r="GA33" s="80"/>
      <c r="GB33" s="80"/>
      <c r="GC33" s="80"/>
      <c r="GD33" s="80"/>
      <c r="GE33" s="80">
        <f t="shared" si="73"/>
        <v>0</v>
      </c>
      <c r="GF33" s="80"/>
      <c r="GG33" s="80">
        <f t="shared" si="74"/>
        <v>0</v>
      </c>
      <c r="GH33" s="80" t="str">
        <f t="shared" si="75"/>
        <v/>
      </c>
      <c r="GI33" s="80" t="str">
        <f t="shared" si="76"/>
        <v/>
      </c>
      <c r="GJ33" s="80" t="str">
        <f t="shared" si="77"/>
        <v/>
      </c>
      <c r="GK33" s="3">
        <v>31</v>
      </c>
      <c r="GL33" s="161" t="s">
        <v>145</v>
      </c>
      <c r="GM33" s="145">
        <v>3</v>
      </c>
      <c r="GN33" s="143">
        <v>2</v>
      </c>
      <c r="GO33" s="143">
        <v>8</v>
      </c>
      <c r="GP33" s="143">
        <v>6</v>
      </c>
      <c r="GQ33" s="113">
        <f t="shared" si="78"/>
        <v>19</v>
      </c>
      <c r="GR33" s="143">
        <v>21</v>
      </c>
      <c r="GS33" s="113">
        <f t="shared" si="79"/>
        <v>40</v>
      </c>
      <c r="GT33" s="113">
        <f t="shared" si="80"/>
        <v>44</v>
      </c>
      <c r="GU33" s="113" t="str">
        <f t="shared" si="81"/>
        <v>F</v>
      </c>
      <c r="GV33" s="113" t="str">
        <f t="shared" si="82"/>
        <v>Fail</v>
      </c>
      <c r="GW33" s="3">
        <v>31</v>
      </c>
      <c r="GX33" s="107"/>
      <c r="GY33" s="145">
        <v>8</v>
      </c>
      <c r="GZ33" s="143">
        <v>10</v>
      </c>
      <c r="HA33" s="143">
        <v>5</v>
      </c>
      <c r="HB33" s="143">
        <v>5</v>
      </c>
      <c r="HC33" s="107">
        <f t="shared" si="83"/>
        <v>28</v>
      </c>
      <c r="HD33" s="143">
        <v>43</v>
      </c>
      <c r="HE33" s="107">
        <f t="shared" si="84"/>
        <v>71</v>
      </c>
      <c r="HF33" s="107">
        <f t="shared" si="85"/>
        <v>17</v>
      </c>
      <c r="HG33" s="107" t="str">
        <f t="shared" si="86"/>
        <v>A</v>
      </c>
      <c r="HH33" s="107" t="str">
        <f t="shared" si="87"/>
        <v>Excellent</v>
      </c>
    </row>
    <row r="34" spans="1:216" ht="18.75">
      <c r="A34" s="185">
        <v>32</v>
      </c>
      <c r="B34" s="162" t="s">
        <v>146</v>
      </c>
      <c r="C34" s="130">
        <v>9</v>
      </c>
      <c r="D34" s="131">
        <v>7</v>
      </c>
      <c r="E34" s="131">
        <v>9</v>
      </c>
      <c r="F34" s="131">
        <v>10</v>
      </c>
      <c r="G34" s="53">
        <f t="shared" si="92"/>
        <v>35</v>
      </c>
      <c r="H34" s="131">
        <v>33</v>
      </c>
      <c r="I34" s="53">
        <f t="shared" si="93"/>
        <v>68</v>
      </c>
      <c r="J34" s="53">
        <f t="shared" si="3"/>
        <v>13</v>
      </c>
      <c r="K34" s="53" t="str">
        <f t="shared" si="4"/>
        <v>C</v>
      </c>
      <c r="L34" s="53" t="str">
        <f t="shared" si="5"/>
        <v>Credit</v>
      </c>
      <c r="M34" s="44">
        <v>32</v>
      </c>
      <c r="N34" s="59"/>
      <c r="O34" s="135">
        <v>5</v>
      </c>
      <c r="P34" s="136">
        <v>4</v>
      </c>
      <c r="Q34" s="136">
        <v>7</v>
      </c>
      <c r="R34" s="136">
        <v>10</v>
      </c>
      <c r="S34" s="59">
        <f t="shared" si="90"/>
        <v>26</v>
      </c>
      <c r="T34" s="136">
        <v>23</v>
      </c>
      <c r="U34" s="59">
        <f t="shared" si="7"/>
        <v>49</v>
      </c>
      <c r="V34" s="59">
        <f t="shared" si="8"/>
        <v>16</v>
      </c>
      <c r="W34" s="59" t="str">
        <f t="shared" si="9"/>
        <v>P</v>
      </c>
      <c r="X34" s="59" t="str">
        <f t="shared" si="10"/>
        <v>Pass</v>
      </c>
      <c r="Y34" s="3">
        <v>32</v>
      </c>
      <c r="Z34" s="80"/>
      <c r="AA34" s="135">
        <v>10</v>
      </c>
      <c r="AB34" s="136">
        <v>6</v>
      </c>
      <c r="AC34" s="136">
        <v>6</v>
      </c>
      <c r="AD34" s="136">
        <v>9</v>
      </c>
      <c r="AE34" s="80">
        <f t="shared" si="91"/>
        <v>31</v>
      </c>
      <c r="AF34" s="136">
        <v>41</v>
      </c>
      <c r="AG34" s="80">
        <f t="shared" si="11"/>
        <v>72</v>
      </c>
      <c r="AH34" s="80">
        <f t="shared" si="12"/>
        <v>8</v>
      </c>
      <c r="AI34" s="80" t="str">
        <f t="shared" si="13"/>
        <v>A</v>
      </c>
      <c r="AJ34" s="80" t="str">
        <f t="shared" si="14"/>
        <v>Excellent</v>
      </c>
      <c r="AK34" s="3">
        <v>32</v>
      </c>
      <c r="AL34" s="162" t="s">
        <v>146</v>
      </c>
      <c r="AM34" s="135">
        <v>9</v>
      </c>
      <c r="AN34" s="136">
        <v>10</v>
      </c>
      <c r="AO34" s="136">
        <v>10</v>
      </c>
      <c r="AP34" s="136">
        <v>10</v>
      </c>
      <c r="AQ34" s="47">
        <f t="shared" si="15"/>
        <v>39</v>
      </c>
      <c r="AR34" s="136">
        <v>30</v>
      </c>
      <c r="AS34" s="47">
        <f t="shared" si="16"/>
        <v>69</v>
      </c>
      <c r="AT34" s="47">
        <f t="shared" si="17"/>
        <v>5</v>
      </c>
      <c r="AU34" s="47" t="str">
        <f t="shared" si="18"/>
        <v>C</v>
      </c>
      <c r="AV34" s="47" t="str">
        <f t="shared" si="19"/>
        <v>Credit</v>
      </c>
      <c r="AW34" s="3">
        <v>32</v>
      </c>
      <c r="AX34" s="162" t="s">
        <v>146</v>
      </c>
      <c r="AY34" s="130">
        <v>9</v>
      </c>
      <c r="AZ34" s="131">
        <v>7</v>
      </c>
      <c r="BA34" s="131">
        <v>9</v>
      </c>
      <c r="BB34" s="131">
        <v>10</v>
      </c>
      <c r="BC34" s="85">
        <f t="shared" si="20"/>
        <v>35</v>
      </c>
      <c r="BD34" s="131">
        <v>36</v>
      </c>
      <c r="BE34" s="85">
        <f t="shared" si="21"/>
        <v>71</v>
      </c>
      <c r="BF34" s="85">
        <f t="shared" si="22"/>
        <v>20</v>
      </c>
      <c r="BG34" s="85" t="str">
        <f t="shared" si="23"/>
        <v>A</v>
      </c>
      <c r="BH34" s="85" t="str">
        <f t="shared" si="24"/>
        <v>Excellent</v>
      </c>
      <c r="BI34" s="3">
        <v>32</v>
      </c>
      <c r="BJ34" s="90"/>
      <c r="BK34" s="167">
        <v>7</v>
      </c>
      <c r="BL34" s="168">
        <v>8</v>
      </c>
      <c r="BM34" s="168">
        <v>10</v>
      </c>
      <c r="BN34" s="168">
        <v>10</v>
      </c>
      <c r="BO34" s="90">
        <f t="shared" si="25"/>
        <v>35</v>
      </c>
      <c r="BP34" s="173">
        <v>26</v>
      </c>
      <c r="BQ34" s="90">
        <f t="shared" si="26"/>
        <v>61</v>
      </c>
      <c r="BR34" s="90">
        <f t="shared" si="27"/>
        <v>8</v>
      </c>
      <c r="BS34" s="90" t="str">
        <f t="shared" si="28"/>
        <v>C</v>
      </c>
      <c r="BT34" s="90" t="str">
        <f t="shared" si="29"/>
        <v>Credit</v>
      </c>
      <c r="BU34" s="3">
        <v>32</v>
      </c>
      <c r="BV34" s="162" t="s">
        <v>146</v>
      </c>
      <c r="BW34" s="145">
        <v>9</v>
      </c>
      <c r="BX34" s="143">
        <v>4</v>
      </c>
      <c r="BY34" s="143">
        <v>10</v>
      </c>
      <c r="BZ34" s="143">
        <v>9</v>
      </c>
      <c r="CA34" s="94">
        <f t="shared" si="30"/>
        <v>32</v>
      </c>
      <c r="CB34" s="143">
        <v>36</v>
      </c>
      <c r="CC34" s="94">
        <f t="shared" si="31"/>
        <v>68</v>
      </c>
      <c r="CD34" s="94">
        <f t="shared" si="32"/>
        <v>9</v>
      </c>
      <c r="CE34" s="94" t="str">
        <f t="shared" si="33"/>
        <v>C</v>
      </c>
      <c r="CF34" s="94" t="str">
        <f t="shared" si="34"/>
        <v>Credit</v>
      </c>
      <c r="CG34" s="3">
        <v>32</v>
      </c>
      <c r="CH34" s="162" t="s">
        <v>146</v>
      </c>
      <c r="CI34" s="145">
        <v>10</v>
      </c>
      <c r="CJ34" s="143">
        <v>9</v>
      </c>
      <c r="CK34" s="143">
        <v>10</v>
      </c>
      <c r="CL34" s="143">
        <v>9</v>
      </c>
      <c r="CM34" s="66">
        <f t="shared" si="35"/>
        <v>38</v>
      </c>
      <c r="CN34" s="143">
        <v>27</v>
      </c>
      <c r="CO34" s="66">
        <f t="shared" si="89"/>
        <v>65</v>
      </c>
      <c r="CP34" s="66">
        <f t="shared" si="36"/>
        <v>19</v>
      </c>
      <c r="CQ34" s="66" t="str">
        <f t="shared" si="37"/>
        <v>C</v>
      </c>
      <c r="CR34" s="66" t="str">
        <f t="shared" si="38"/>
        <v>Credit</v>
      </c>
      <c r="CS34" s="3">
        <v>32</v>
      </c>
      <c r="CT34" s="162" t="s">
        <v>146</v>
      </c>
      <c r="CU34" s="148">
        <v>3</v>
      </c>
      <c r="CV34" s="149">
        <v>10</v>
      </c>
      <c r="CW34" s="149">
        <v>8</v>
      </c>
      <c r="CX34" s="149">
        <v>10</v>
      </c>
      <c r="CY34" s="70">
        <f t="shared" si="39"/>
        <v>31</v>
      </c>
      <c r="CZ34" s="149">
        <v>33</v>
      </c>
      <c r="DA34" s="70">
        <f t="shared" si="40"/>
        <v>64</v>
      </c>
      <c r="DB34" s="70">
        <f t="shared" si="41"/>
        <v>23</v>
      </c>
      <c r="DC34" s="70" t="str">
        <f t="shared" si="42"/>
        <v>C</v>
      </c>
      <c r="DD34" s="70" t="str">
        <f t="shared" si="43"/>
        <v>Credit</v>
      </c>
      <c r="DE34" s="3">
        <v>32</v>
      </c>
      <c r="DF34" s="59"/>
      <c r="DG34" s="145">
        <v>10</v>
      </c>
      <c r="DH34" s="143">
        <v>9</v>
      </c>
      <c r="DI34" s="143">
        <v>8</v>
      </c>
      <c r="DJ34" s="143">
        <v>10</v>
      </c>
      <c r="DK34" s="59">
        <f t="shared" si="44"/>
        <v>37</v>
      </c>
      <c r="DL34" s="143">
        <v>37</v>
      </c>
      <c r="DM34" s="59">
        <f t="shared" si="45"/>
        <v>74</v>
      </c>
      <c r="DN34" s="59">
        <f t="shared" si="46"/>
        <v>14</v>
      </c>
      <c r="DO34" s="59" t="str">
        <f t="shared" si="47"/>
        <v>A</v>
      </c>
      <c r="DP34" s="59" t="str">
        <f t="shared" si="48"/>
        <v>Excellent</v>
      </c>
      <c r="DQ34" s="3">
        <v>32</v>
      </c>
      <c r="DR34" s="162" t="s">
        <v>146</v>
      </c>
      <c r="DS34" s="145">
        <v>9</v>
      </c>
      <c r="DT34" s="143">
        <v>7</v>
      </c>
      <c r="DU34" s="143">
        <v>9</v>
      </c>
      <c r="DV34" s="143">
        <v>8</v>
      </c>
      <c r="DW34" s="102">
        <f t="shared" si="49"/>
        <v>33</v>
      </c>
      <c r="DX34" s="143">
        <v>29</v>
      </c>
      <c r="DY34" s="102">
        <f t="shared" si="50"/>
        <v>62</v>
      </c>
      <c r="DZ34" s="102">
        <f t="shared" si="51"/>
        <v>26</v>
      </c>
      <c r="EA34" s="102" t="str">
        <f t="shared" si="52"/>
        <v>C</v>
      </c>
      <c r="EB34" s="102" t="str">
        <f t="shared" si="53"/>
        <v>Credit</v>
      </c>
      <c r="EC34" s="3">
        <v>32</v>
      </c>
      <c r="ED34" s="75"/>
      <c r="EE34" s="145">
        <v>5</v>
      </c>
      <c r="EF34" s="143">
        <v>7</v>
      </c>
      <c r="EG34" s="143">
        <v>10</v>
      </c>
      <c r="EH34" s="143">
        <v>8</v>
      </c>
      <c r="EI34" s="75">
        <f t="shared" si="54"/>
        <v>30</v>
      </c>
      <c r="EJ34" s="143">
        <v>23</v>
      </c>
      <c r="EK34" s="75">
        <f t="shared" si="0"/>
        <v>53</v>
      </c>
      <c r="EL34" s="75">
        <f t="shared" si="55"/>
        <v>19</v>
      </c>
      <c r="EM34" s="75" t="str">
        <f t="shared" si="56"/>
        <v>C</v>
      </c>
      <c r="EN34" s="75" t="str">
        <f t="shared" si="57"/>
        <v>Credit</v>
      </c>
      <c r="EO34" s="3">
        <v>32</v>
      </c>
      <c r="EP34" s="162" t="s">
        <v>146</v>
      </c>
      <c r="EQ34" s="3">
        <v>8</v>
      </c>
      <c r="ER34" s="147">
        <v>1</v>
      </c>
      <c r="ES34" s="147">
        <v>8</v>
      </c>
      <c r="ET34" s="147">
        <v>8</v>
      </c>
      <c r="EU34" s="98">
        <f t="shared" si="58"/>
        <v>25</v>
      </c>
      <c r="EV34" s="147">
        <v>18</v>
      </c>
      <c r="EW34" s="98">
        <f t="shared" si="59"/>
        <v>43</v>
      </c>
      <c r="EX34" s="98">
        <f t="shared" si="60"/>
        <v>35</v>
      </c>
      <c r="EY34" s="98" t="str">
        <f t="shared" si="61"/>
        <v>F</v>
      </c>
      <c r="EZ34" s="98" t="str">
        <f t="shared" si="62"/>
        <v>Fail</v>
      </c>
      <c r="FA34" s="3">
        <v>32</v>
      </c>
      <c r="FB34" s="113"/>
      <c r="FC34" s="145">
        <v>10</v>
      </c>
      <c r="FD34" s="143">
        <v>10</v>
      </c>
      <c r="FE34" s="143">
        <v>9</v>
      </c>
      <c r="FF34" s="143">
        <v>10</v>
      </c>
      <c r="FG34" s="113">
        <f t="shared" si="63"/>
        <v>39</v>
      </c>
      <c r="FH34" s="143">
        <v>29</v>
      </c>
      <c r="FI34" s="113">
        <f t="shared" si="64"/>
        <v>68</v>
      </c>
      <c r="FJ34" s="113">
        <f t="shared" si="65"/>
        <v>28</v>
      </c>
      <c r="FK34" s="113" t="str">
        <f t="shared" si="66"/>
        <v>C</v>
      </c>
      <c r="FL34" s="113" t="str">
        <f t="shared" si="67"/>
        <v>Credit</v>
      </c>
      <c r="FM34" s="3">
        <v>32</v>
      </c>
      <c r="FN34" s="53"/>
      <c r="FO34" s="145">
        <v>10</v>
      </c>
      <c r="FP34" s="143">
        <v>10</v>
      </c>
      <c r="FQ34" s="143">
        <v>10</v>
      </c>
      <c r="FR34" s="143">
        <v>6</v>
      </c>
      <c r="FS34" s="53">
        <f t="shared" si="68"/>
        <v>36</v>
      </c>
      <c r="FT34" s="143">
        <v>37</v>
      </c>
      <c r="FU34" s="53">
        <f t="shared" si="69"/>
        <v>73</v>
      </c>
      <c r="FV34" s="53">
        <f t="shared" si="70"/>
        <v>11</v>
      </c>
      <c r="FW34" s="53" t="str">
        <f t="shared" si="71"/>
        <v>A</v>
      </c>
      <c r="FX34" s="53" t="str">
        <f t="shared" si="72"/>
        <v>Excellent</v>
      </c>
      <c r="FY34" s="3">
        <v>32</v>
      </c>
      <c r="FZ34" s="80"/>
      <c r="GA34" s="80"/>
      <c r="GB34" s="80"/>
      <c r="GC34" s="80"/>
      <c r="GD34" s="80"/>
      <c r="GE34" s="80">
        <f t="shared" si="73"/>
        <v>0</v>
      </c>
      <c r="GF34" s="80"/>
      <c r="GG34" s="80">
        <f t="shared" si="74"/>
        <v>0</v>
      </c>
      <c r="GH34" s="80" t="str">
        <f t="shared" si="75"/>
        <v/>
      </c>
      <c r="GI34" s="80" t="str">
        <f t="shared" si="76"/>
        <v/>
      </c>
      <c r="GJ34" s="80" t="str">
        <f t="shared" si="77"/>
        <v/>
      </c>
      <c r="GK34" s="3">
        <v>32</v>
      </c>
      <c r="GL34" s="162" t="s">
        <v>146</v>
      </c>
      <c r="GM34" s="145">
        <v>10</v>
      </c>
      <c r="GN34" s="143">
        <v>7</v>
      </c>
      <c r="GO34" s="143">
        <v>10</v>
      </c>
      <c r="GP34" s="143">
        <v>10</v>
      </c>
      <c r="GQ34" s="113">
        <f t="shared" si="78"/>
        <v>37</v>
      </c>
      <c r="GR34" s="143">
        <v>33</v>
      </c>
      <c r="GS34" s="113">
        <f t="shared" si="79"/>
        <v>70</v>
      </c>
      <c r="GT34" s="113">
        <f t="shared" si="80"/>
        <v>8</v>
      </c>
      <c r="GU34" s="113" t="str">
        <f t="shared" si="81"/>
        <v>A</v>
      </c>
      <c r="GV34" s="113" t="str">
        <f t="shared" si="82"/>
        <v>Excellent</v>
      </c>
      <c r="GW34" s="3">
        <v>32</v>
      </c>
      <c r="GX34" s="107"/>
      <c r="GY34" s="145"/>
      <c r="GZ34" s="143"/>
      <c r="HA34" s="143"/>
      <c r="HB34" s="143"/>
      <c r="HC34" s="107">
        <f t="shared" si="83"/>
        <v>0</v>
      </c>
      <c r="HD34" s="143"/>
      <c r="HE34" s="107">
        <f t="shared" si="84"/>
        <v>0</v>
      </c>
      <c r="HF34" s="107" t="str">
        <f t="shared" si="85"/>
        <v/>
      </c>
      <c r="HG34" s="107" t="str">
        <f t="shared" si="86"/>
        <v/>
      </c>
      <c r="HH34" s="107" t="str">
        <f t="shared" si="87"/>
        <v/>
      </c>
    </row>
    <row r="35" spans="1:216" ht="18.75">
      <c r="A35" s="186">
        <v>33</v>
      </c>
      <c r="B35" s="161" t="s">
        <v>147</v>
      </c>
      <c r="C35" s="130">
        <v>5</v>
      </c>
      <c r="D35" s="131">
        <v>7</v>
      </c>
      <c r="E35" s="131">
        <v>9</v>
      </c>
      <c r="F35" s="131">
        <v>10</v>
      </c>
      <c r="G35" s="53">
        <f t="shared" si="92"/>
        <v>31</v>
      </c>
      <c r="H35" s="131">
        <v>37</v>
      </c>
      <c r="I35" s="53">
        <f t="shared" si="93"/>
        <v>68</v>
      </c>
      <c r="J35" s="53">
        <f t="shared" si="3"/>
        <v>13</v>
      </c>
      <c r="K35" s="53" t="str">
        <f t="shared" si="4"/>
        <v>C</v>
      </c>
      <c r="L35" s="53" t="str">
        <f t="shared" si="5"/>
        <v>Credit</v>
      </c>
      <c r="M35" s="44">
        <v>33</v>
      </c>
      <c r="N35" s="59"/>
      <c r="O35" s="135">
        <v>5</v>
      </c>
      <c r="P35" s="136">
        <v>2</v>
      </c>
      <c r="Q35" s="136">
        <v>10</v>
      </c>
      <c r="R35" s="136">
        <v>10</v>
      </c>
      <c r="S35" s="59">
        <f t="shared" si="90"/>
        <v>27</v>
      </c>
      <c r="T35" s="136">
        <v>26</v>
      </c>
      <c r="U35" s="59">
        <f t="shared" si="7"/>
        <v>53</v>
      </c>
      <c r="V35" s="59">
        <f t="shared" si="8"/>
        <v>6</v>
      </c>
      <c r="W35" s="59" t="str">
        <f t="shared" si="9"/>
        <v>C</v>
      </c>
      <c r="X35" s="59" t="str">
        <f t="shared" si="10"/>
        <v>Credit</v>
      </c>
      <c r="Y35" s="3">
        <v>33</v>
      </c>
      <c r="Z35" s="80"/>
      <c r="AA35" s="135">
        <v>10</v>
      </c>
      <c r="AB35" s="136">
        <v>6</v>
      </c>
      <c r="AC35" s="136">
        <v>3</v>
      </c>
      <c r="AD35" s="136">
        <v>5</v>
      </c>
      <c r="AE35" s="80">
        <f t="shared" si="91"/>
        <v>24</v>
      </c>
      <c r="AF35" s="136">
        <v>36</v>
      </c>
      <c r="AG35" s="80">
        <f t="shared" si="11"/>
        <v>60</v>
      </c>
      <c r="AH35" s="80">
        <f t="shared" si="12"/>
        <v>27</v>
      </c>
      <c r="AI35" s="80" t="str">
        <f t="shared" si="13"/>
        <v>C</v>
      </c>
      <c r="AJ35" s="80" t="str">
        <f t="shared" si="14"/>
        <v>Credit</v>
      </c>
      <c r="AK35" s="3">
        <v>33</v>
      </c>
      <c r="AL35" s="161" t="s">
        <v>147</v>
      </c>
      <c r="AM35" s="135"/>
      <c r="AN35" s="136"/>
      <c r="AO35" s="136"/>
      <c r="AP35" s="136"/>
      <c r="AQ35" s="47">
        <f t="shared" si="15"/>
        <v>0</v>
      </c>
      <c r="AR35" s="136"/>
      <c r="AS35" s="47">
        <f t="shared" si="16"/>
        <v>0</v>
      </c>
      <c r="AT35" s="47" t="str">
        <f t="shared" si="17"/>
        <v/>
      </c>
      <c r="AU35" s="47" t="str">
        <f t="shared" si="18"/>
        <v/>
      </c>
      <c r="AV35" s="47" t="str">
        <f t="shared" si="19"/>
        <v/>
      </c>
      <c r="AW35" s="3">
        <v>33</v>
      </c>
      <c r="AX35" s="161" t="s">
        <v>147</v>
      </c>
      <c r="AY35" s="130">
        <v>10</v>
      </c>
      <c r="AZ35" s="131">
        <v>9</v>
      </c>
      <c r="BA35" s="131">
        <v>6</v>
      </c>
      <c r="BB35" s="131">
        <v>9</v>
      </c>
      <c r="BC35" s="85">
        <f t="shared" si="20"/>
        <v>34</v>
      </c>
      <c r="BD35" s="131">
        <v>32</v>
      </c>
      <c r="BE35" s="85">
        <f t="shared" si="21"/>
        <v>66</v>
      </c>
      <c r="BF35" s="85">
        <f t="shared" si="22"/>
        <v>27</v>
      </c>
      <c r="BG35" s="85" t="str">
        <f t="shared" si="23"/>
        <v>C</v>
      </c>
      <c r="BH35" s="85" t="str">
        <f t="shared" si="24"/>
        <v>Credit</v>
      </c>
      <c r="BI35" s="3">
        <v>33</v>
      </c>
      <c r="BJ35" s="90"/>
      <c r="BK35" s="167">
        <v>2</v>
      </c>
      <c r="BL35" s="168">
        <v>5</v>
      </c>
      <c r="BM35" s="168">
        <v>2</v>
      </c>
      <c r="BN35" s="168">
        <v>5</v>
      </c>
      <c r="BO35" s="90">
        <f t="shared" si="25"/>
        <v>14</v>
      </c>
      <c r="BP35" s="173">
        <v>33</v>
      </c>
      <c r="BQ35" s="90">
        <f t="shared" si="26"/>
        <v>47</v>
      </c>
      <c r="BR35" s="90">
        <f t="shared" si="27"/>
        <v>24</v>
      </c>
      <c r="BS35" s="90" t="str">
        <f t="shared" si="28"/>
        <v>P</v>
      </c>
      <c r="BT35" s="90" t="str">
        <f t="shared" si="29"/>
        <v>Pass</v>
      </c>
      <c r="BU35" s="3">
        <v>33</v>
      </c>
      <c r="BV35" s="161" t="s">
        <v>147</v>
      </c>
      <c r="BW35" s="145">
        <v>6</v>
      </c>
      <c r="BX35" s="143">
        <v>6</v>
      </c>
      <c r="BY35" s="143">
        <v>9</v>
      </c>
      <c r="BZ35" s="143">
        <v>9</v>
      </c>
      <c r="CA35" s="94">
        <f t="shared" si="30"/>
        <v>30</v>
      </c>
      <c r="CB35" s="143">
        <v>29</v>
      </c>
      <c r="CC35" s="94">
        <f t="shared" si="31"/>
        <v>59</v>
      </c>
      <c r="CD35" s="94">
        <f t="shared" si="32"/>
        <v>23</v>
      </c>
      <c r="CE35" s="94" t="str">
        <f t="shared" si="33"/>
        <v>C</v>
      </c>
      <c r="CF35" s="94" t="str">
        <f t="shared" si="34"/>
        <v>Credit</v>
      </c>
      <c r="CG35" s="3">
        <v>33</v>
      </c>
      <c r="CH35" s="161" t="s">
        <v>147</v>
      </c>
      <c r="CI35" s="145">
        <v>8</v>
      </c>
      <c r="CJ35" s="143">
        <v>9</v>
      </c>
      <c r="CK35" s="143">
        <v>10</v>
      </c>
      <c r="CL35" s="143">
        <v>10</v>
      </c>
      <c r="CM35" s="66">
        <f t="shared" si="35"/>
        <v>37</v>
      </c>
      <c r="CN35" s="143">
        <v>23</v>
      </c>
      <c r="CO35" s="66">
        <f t="shared" si="89"/>
        <v>60</v>
      </c>
      <c r="CP35" s="66">
        <f t="shared" si="36"/>
        <v>26</v>
      </c>
      <c r="CQ35" s="66" t="str">
        <f t="shared" si="37"/>
        <v>C</v>
      </c>
      <c r="CR35" s="66" t="str">
        <f t="shared" si="38"/>
        <v>Credit</v>
      </c>
      <c r="CS35" s="3">
        <v>33</v>
      </c>
      <c r="CT35" s="161" t="s">
        <v>147</v>
      </c>
      <c r="CU35" s="148">
        <v>6</v>
      </c>
      <c r="CV35" s="149">
        <v>8</v>
      </c>
      <c r="CW35" s="149">
        <v>10</v>
      </c>
      <c r="CX35" s="149">
        <v>10</v>
      </c>
      <c r="CY35" s="70">
        <f t="shared" si="39"/>
        <v>34</v>
      </c>
      <c r="CZ35" s="149">
        <v>28</v>
      </c>
      <c r="DA35" s="70">
        <f t="shared" si="40"/>
        <v>62</v>
      </c>
      <c r="DB35" s="70">
        <f t="shared" si="41"/>
        <v>27</v>
      </c>
      <c r="DC35" s="70" t="str">
        <f t="shared" si="42"/>
        <v>C</v>
      </c>
      <c r="DD35" s="70" t="str">
        <f t="shared" si="43"/>
        <v>Credit</v>
      </c>
      <c r="DE35" s="3">
        <v>33</v>
      </c>
      <c r="DF35" s="59"/>
      <c r="DG35" s="145">
        <v>10</v>
      </c>
      <c r="DH35" s="143">
        <v>10</v>
      </c>
      <c r="DI35" s="143">
        <v>8</v>
      </c>
      <c r="DJ35" s="143">
        <v>10</v>
      </c>
      <c r="DK35" s="59">
        <f t="shared" si="44"/>
        <v>38</v>
      </c>
      <c r="DL35" s="143">
        <v>37</v>
      </c>
      <c r="DM35" s="59">
        <f t="shared" si="45"/>
        <v>75</v>
      </c>
      <c r="DN35" s="59">
        <f t="shared" si="46"/>
        <v>12</v>
      </c>
      <c r="DO35" s="59" t="str">
        <f t="shared" si="47"/>
        <v>A</v>
      </c>
      <c r="DP35" s="59" t="str">
        <f t="shared" si="48"/>
        <v>Excellent</v>
      </c>
      <c r="DQ35" s="3">
        <v>33</v>
      </c>
      <c r="DR35" s="161" t="s">
        <v>147</v>
      </c>
      <c r="DS35" s="145">
        <v>9</v>
      </c>
      <c r="DT35" s="143">
        <v>6</v>
      </c>
      <c r="DU35" s="143">
        <v>9</v>
      </c>
      <c r="DV35" s="143">
        <v>9</v>
      </c>
      <c r="DW35" s="102">
        <f t="shared" si="49"/>
        <v>33</v>
      </c>
      <c r="DX35" s="143">
        <v>35</v>
      </c>
      <c r="DY35" s="102">
        <f t="shared" si="50"/>
        <v>68</v>
      </c>
      <c r="DZ35" s="102">
        <f t="shared" si="51"/>
        <v>14</v>
      </c>
      <c r="EA35" s="102" t="str">
        <f t="shared" si="52"/>
        <v>C</v>
      </c>
      <c r="EB35" s="102" t="str">
        <f t="shared" si="53"/>
        <v>Credit</v>
      </c>
      <c r="EC35" s="3">
        <v>33</v>
      </c>
      <c r="ED35" s="75"/>
      <c r="EE35" s="145">
        <v>7</v>
      </c>
      <c r="EF35" s="143">
        <v>7</v>
      </c>
      <c r="EG35" s="143">
        <v>9</v>
      </c>
      <c r="EH35" s="143">
        <v>2</v>
      </c>
      <c r="EI35" s="75">
        <f t="shared" si="54"/>
        <v>25</v>
      </c>
      <c r="EJ35" s="143">
        <v>22</v>
      </c>
      <c r="EK35" s="75">
        <f t="shared" ref="EK35:EK52" si="94">EI35+EJ35</f>
        <v>47</v>
      </c>
      <c r="EL35" s="75">
        <f t="shared" si="55"/>
        <v>30</v>
      </c>
      <c r="EM35" s="75" t="str">
        <f t="shared" si="56"/>
        <v>P</v>
      </c>
      <c r="EN35" s="75" t="str">
        <f t="shared" si="57"/>
        <v>Pass</v>
      </c>
      <c r="EO35" s="3">
        <v>33</v>
      </c>
      <c r="EP35" s="161" t="s">
        <v>147</v>
      </c>
      <c r="EQ35" s="3">
        <v>4</v>
      </c>
      <c r="ER35" s="147">
        <v>4</v>
      </c>
      <c r="ES35" s="147">
        <v>9</v>
      </c>
      <c r="ET35" s="147">
        <v>9</v>
      </c>
      <c r="EU35" s="98">
        <f t="shared" si="58"/>
        <v>26</v>
      </c>
      <c r="EV35" s="147">
        <v>18</v>
      </c>
      <c r="EW35" s="98">
        <f t="shared" si="59"/>
        <v>44</v>
      </c>
      <c r="EX35" s="98">
        <f t="shared" si="60"/>
        <v>33</v>
      </c>
      <c r="EY35" s="98" t="str">
        <f t="shared" si="61"/>
        <v>F</v>
      </c>
      <c r="EZ35" s="98" t="str">
        <f t="shared" si="62"/>
        <v>Fail</v>
      </c>
      <c r="FA35" s="3">
        <v>33</v>
      </c>
      <c r="FB35" s="113"/>
      <c r="FC35" s="145">
        <v>9</v>
      </c>
      <c r="FD35" s="143">
        <v>9</v>
      </c>
      <c r="FE35" s="143">
        <v>3</v>
      </c>
      <c r="FF35" s="143">
        <v>9</v>
      </c>
      <c r="FG35" s="113">
        <f t="shared" si="63"/>
        <v>30</v>
      </c>
      <c r="FH35" s="143">
        <v>41</v>
      </c>
      <c r="FI35" s="113">
        <f t="shared" si="64"/>
        <v>71</v>
      </c>
      <c r="FJ35" s="113">
        <f t="shared" si="65"/>
        <v>21</v>
      </c>
      <c r="FK35" s="113" t="str">
        <f t="shared" si="66"/>
        <v>A</v>
      </c>
      <c r="FL35" s="113" t="str">
        <f t="shared" si="67"/>
        <v>Excellent</v>
      </c>
      <c r="FM35" s="3">
        <v>33</v>
      </c>
      <c r="FN35" s="53"/>
      <c r="FO35" s="145">
        <v>10</v>
      </c>
      <c r="FP35" s="143">
        <v>8</v>
      </c>
      <c r="FQ35" s="143">
        <v>8</v>
      </c>
      <c r="FR35" s="143">
        <v>10</v>
      </c>
      <c r="FS35" s="53">
        <f t="shared" si="68"/>
        <v>36</v>
      </c>
      <c r="FT35" s="143">
        <v>24</v>
      </c>
      <c r="FU35" s="53">
        <f t="shared" si="69"/>
        <v>60</v>
      </c>
      <c r="FV35" s="53">
        <f t="shared" si="70"/>
        <v>37</v>
      </c>
      <c r="FW35" s="53" t="str">
        <f t="shared" si="71"/>
        <v>C</v>
      </c>
      <c r="FX35" s="53" t="str">
        <f t="shared" si="72"/>
        <v>Credit</v>
      </c>
      <c r="FY35" s="3">
        <v>33</v>
      </c>
      <c r="FZ35" s="80"/>
      <c r="GA35" s="80"/>
      <c r="GB35" s="80"/>
      <c r="GC35" s="80"/>
      <c r="GD35" s="80"/>
      <c r="GE35" s="80">
        <f t="shared" si="73"/>
        <v>0</v>
      </c>
      <c r="GF35" s="80"/>
      <c r="GG35" s="80">
        <f t="shared" si="74"/>
        <v>0</v>
      </c>
      <c r="GH35" s="80" t="str">
        <f t="shared" si="75"/>
        <v/>
      </c>
      <c r="GI35" s="80" t="str">
        <f t="shared" si="76"/>
        <v/>
      </c>
      <c r="GJ35" s="80" t="str">
        <f t="shared" si="77"/>
        <v/>
      </c>
      <c r="GK35" s="3">
        <v>33</v>
      </c>
      <c r="GL35" s="161" t="s">
        <v>147</v>
      </c>
      <c r="GM35" s="145">
        <v>4</v>
      </c>
      <c r="GN35" s="143">
        <v>4</v>
      </c>
      <c r="GO35" s="143">
        <v>10</v>
      </c>
      <c r="GP35" s="143">
        <v>2</v>
      </c>
      <c r="GQ35" s="113">
        <f t="shared" si="78"/>
        <v>20</v>
      </c>
      <c r="GR35" s="143">
        <v>28</v>
      </c>
      <c r="GS35" s="113">
        <f t="shared" si="79"/>
        <v>48</v>
      </c>
      <c r="GT35" s="113">
        <f t="shared" si="80"/>
        <v>31</v>
      </c>
      <c r="GU35" s="113" t="str">
        <f t="shared" si="81"/>
        <v>P</v>
      </c>
      <c r="GV35" s="113" t="str">
        <f t="shared" si="82"/>
        <v>Pass</v>
      </c>
      <c r="GW35" s="3">
        <v>33</v>
      </c>
      <c r="GX35" s="107"/>
      <c r="GY35" s="145">
        <v>10</v>
      </c>
      <c r="GZ35" s="143">
        <v>10</v>
      </c>
      <c r="HA35" s="143">
        <v>5</v>
      </c>
      <c r="HB35" s="143">
        <v>5</v>
      </c>
      <c r="HC35" s="107">
        <f t="shared" si="83"/>
        <v>30</v>
      </c>
      <c r="HD35" s="143">
        <v>36</v>
      </c>
      <c r="HE35" s="107">
        <f t="shared" si="84"/>
        <v>66</v>
      </c>
      <c r="HF35" s="107">
        <f t="shared" si="85"/>
        <v>24</v>
      </c>
      <c r="HG35" s="107" t="str">
        <f t="shared" si="86"/>
        <v>C</v>
      </c>
      <c r="HH35" s="107" t="str">
        <f t="shared" si="87"/>
        <v>Credit</v>
      </c>
    </row>
    <row r="36" spans="1:216" ht="18.75">
      <c r="A36" s="185">
        <v>34</v>
      </c>
      <c r="B36" s="162" t="s">
        <v>148</v>
      </c>
      <c r="C36" s="130">
        <v>9</v>
      </c>
      <c r="D36" s="131">
        <v>7</v>
      </c>
      <c r="E36" s="131">
        <v>9</v>
      </c>
      <c r="F36" s="131">
        <v>10</v>
      </c>
      <c r="G36" s="53">
        <f t="shared" si="92"/>
        <v>35</v>
      </c>
      <c r="H36" s="131">
        <v>40</v>
      </c>
      <c r="I36" s="53">
        <f t="shared" si="93"/>
        <v>75</v>
      </c>
      <c r="J36" s="53">
        <f t="shared" si="3"/>
        <v>4</v>
      </c>
      <c r="K36" s="53" t="str">
        <f t="shared" si="4"/>
        <v>A</v>
      </c>
      <c r="L36" s="53" t="str">
        <f t="shared" si="5"/>
        <v>Excellent</v>
      </c>
      <c r="M36" s="44">
        <v>34</v>
      </c>
      <c r="N36" s="59"/>
      <c r="O36" s="135">
        <v>4</v>
      </c>
      <c r="P36" s="136">
        <v>3</v>
      </c>
      <c r="Q36" s="136">
        <v>8</v>
      </c>
      <c r="R36" s="136">
        <v>10</v>
      </c>
      <c r="S36" s="59">
        <f t="shared" si="90"/>
        <v>25</v>
      </c>
      <c r="T36" s="136">
        <v>25</v>
      </c>
      <c r="U36" s="59">
        <f t="shared" si="7"/>
        <v>50</v>
      </c>
      <c r="V36" s="59">
        <f t="shared" si="8"/>
        <v>12</v>
      </c>
      <c r="W36" s="59" t="str">
        <f t="shared" si="9"/>
        <v>C</v>
      </c>
      <c r="X36" s="59" t="str">
        <f t="shared" si="10"/>
        <v>Credit</v>
      </c>
      <c r="Y36" s="3">
        <v>34</v>
      </c>
      <c r="Z36" s="80"/>
      <c r="AA36" s="135">
        <v>9</v>
      </c>
      <c r="AB36" s="136">
        <v>10</v>
      </c>
      <c r="AC36" s="136">
        <v>7</v>
      </c>
      <c r="AD36" s="136">
        <v>10</v>
      </c>
      <c r="AE36" s="80">
        <f t="shared" si="91"/>
        <v>36</v>
      </c>
      <c r="AF36" s="136">
        <v>45</v>
      </c>
      <c r="AG36" s="80">
        <f t="shared" si="11"/>
        <v>81</v>
      </c>
      <c r="AH36" s="80">
        <f t="shared" si="12"/>
        <v>2</v>
      </c>
      <c r="AI36" s="80" t="str">
        <f t="shared" si="13"/>
        <v>A</v>
      </c>
      <c r="AJ36" s="80" t="str">
        <f t="shared" si="14"/>
        <v>Excellent</v>
      </c>
      <c r="AK36" s="3">
        <v>34</v>
      </c>
      <c r="AL36" s="162" t="s">
        <v>148</v>
      </c>
      <c r="AM36" s="135">
        <v>10</v>
      </c>
      <c r="AN36" s="136">
        <v>9</v>
      </c>
      <c r="AO36" s="136">
        <v>10</v>
      </c>
      <c r="AP36" s="136">
        <v>10</v>
      </c>
      <c r="AQ36" s="47">
        <f t="shared" si="15"/>
        <v>39</v>
      </c>
      <c r="AR36" s="136">
        <v>38</v>
      </c>
      <c r="AS36" s="47">
        <f t="shared" si="16"/>
        <v>77</v>
      </c>
      <c r="AT36" s="47">
        <f t="shared" si="17"/>
        <v>2</v>
      </c>
      <c r="AU36" s="47" t="str">
        <f t="shared" si="18"/>
        <v>A</v>
      </c>
      <c r="AV36" s="47" t="str">
        <f t="shared" si="19"/>
        <v>Excellent</v>
      </c>
      <c r="AW36" s="3">
        <v>34</v>
      </c>
      <c r="AX36" s="162" t="s">
        <v>148</v>
      </c>
      <c r="AY36" s="130">
        <v>9</v>
      </c>
      <c r="AZ36" s="131">
        <v>10</v>
      </c>
      <c r="BA36" s="131">
        <v>9</v>
      </c>
      <c r="BB36" s="131">
        <v>9</v>
      </c>
      <c r="BC36" s="85">
        <f t="shared" si="20"/>
        <v>37</v>
      </c>
      <c r="BD36" s="131">
        <v>49</v>
      </c>
      <c r="BE36" s="85">
        <f t="shared" si="21"/>
        <v>86</v>
      </c>
      <c r="BF36" s="85">
        <f t="shared" si="22"/>
        <v>4</v>
      </c>
      <c r="BG36" s="85" t="str">
        <f t="shared" si="23"/>
        <v>A</v>
      </c>
      <c r="BH36" s="85" t="str">
        <f t="shared" si="24"/>
        <v>Excellent</v>
      </c>
      <c r="BI36" s="3">
        <v>34</v>
      </c>
      <c r="BJ36" s="90"/>
      <c r="BK36" s="167">
        <v>6</v>
      </c>
      <c r="BL36" s="168">
        <v>8</v>
      </c>
      <c r="BM36" s="168">
        <v>10</v>
      </c>
      <c r="BN36" s="168">
        <v>10</v>
      </c>
      <c r="BO36" s="90">
        <f t="shared" si="25"/>
        <v>34</v>
      </c>
      <c r="BP36" s="173">
        <v>34</v>
      </c>
      <c r="BQ36" s="90">
        <f t="shared" si="26"/>
        <v>68</v>
      </c>
      <c r="BR36" s="90">
        <f t="shared" si="27"/>
        <v>4</v>
      </c>
      <c r="BS36" s="90" t="str">
        <f t="shared" si="28"/>
        <v>C</v>
      </c>
      <c r="BT36" s="90" t="str">
        <f t="shared" si="29"/>
        <v>Credit</v>
      </c>
      <c r="BU36" s="3">
        <v>34</v>
      </c>
      <c r="BV36" s="162" t="s">
        <v>148</v>
      </c>
      <c r="BW36" s="145">
        <v>5</v>
      </c>
      <c r="BX36" s="143">
        <v>4</v>
      </c>
      <c r="BY36" s="143">
        <v>9</v>
      </c>
      <c r="BZ36" s="143">
        <v>9</v>
      </c>
      <c r="CA36" s="94">
        <f t="shared" si="30"/>
        <v>27</v>
      </c>
      <c r="CB36" s="143">
        <v>39</v>
      </c>
      <c r="CC36" s="94">
        <f t="shared" si="31"/>
        <v>66</v>
      </c>
      <c r="CD36" s="94">
        <f t="shared" si="32"/>
        <v>13</v>
      </c>
      <c r="CE36" s="94" t="str">
        <f t="shared" si="33"/>
        <v>C</v>
      </c>
      <c r="CF36" s="94" t="str">
        <f t="shared" si="34"/>
        <v>Credit</v>
      </c>
      <c r="CG36" s="3">
        <v>34</v>
      </c>
      <c r="CH36" s="162" t="s">
        <v>148</v>
      </c>
      <c r="CI36" s="145">
        <v>8</v>
      </c>
      <c r="CJ36" s="143">
        <v>9</v>
      </c>
      <c r="CK36" s="143">
        <v>10</v>
      </c>
      <c r="CL36" s="143">
        <v>10</v>
      </c>
      <c r="CM36" s="66">
        <f t="shared" si="35"/>
        <v>37</v>
      </c>
      <c r="CN36" s="143">
        <v>46</v>
      </c>
      <c r="CO36" s="66">
        <f t="shared" si="89"/>
        <v>83</v>
      </c>
      <c r="CP36" s="66">
        <f t="shared" si="36"/>
        <v>6</v>
      </c>
      <c r="CQ36" s="66" t="str">
        <f t="shared" si="37"/>
        <v>A</v>
      </c>
      <c r="CR36" s="66" t="str">
        <f t="shared" si="38"/>
        <v>Excellent</v>
      </c>
      <c r="CS36" s="3">
        <v>34</v>
      </c>
      <c r="CT36" s="162" t="s">
        <v>148</v>
      </c>
      <c r="CU36" s="148">
        <v>8</v>
      </c>
      <c r="CV36" s="149">
        <v>8</v>
      </c>
      <c r="CW36" s="149">
        <v>8</v>
      </c>
      <c r="CX36" s="149">
        <v>10</v>
      </c>
      <c r="CY36" s="70">
        <f t="shared" si="39"/>
        <v>34</v>
      </c>
      <c r="CZ36" s="149">
        <v>43</v>
      </c>
      <c r="DA36" s="70">
        <f t="shared" si="40"/>
        <v>77</v>
      </c>
      <c r="DB36" s="70">
        <f t="shared" si="41"/>
        <v>5</v>
      </c>
      <c r="DC36" s="70" t="str">
        <f t="shared" si="42"/>
        <v>A</v>
      </c>
      <c r="DD36" s="70" t="str">
        <f t="shared" si="43"/>
        <v>Excellent</v>
      </c>
      <c r="DE36" s="3">
        <v>34</v>
      </c>
      <c r="DF36" s="59"/>
      <c r="DG36" s="145">
        <v>10</v>
      </c>
      <c r="DH36" s="143">
        <v>10</v>
      </c>
      <c r="DI36" s="143">
        <v>10</v>
      </c>
      <c r="DJ36" s="143">
        <v>10</v>
      </c>
      <c r="DK36" s="59">
        <f t="shared" si="44"/>
        <v>40</v>
      </c>
      <c r="DL36" s="143">
        <v>48</v>
      </c>
      <c r="DM36" s="59">
        <f t="shared" si="45"/>
        <v>88</v>
      </c>
      <c r="DN36" s="59">
        <f t="shared" si="46"/>
        <v>1</v>
      </c>
      <c r="DO36" s="59" t="str">
        <f t="shared" si="47"/>
        <v>A</v>
      </c>
      <c r="DP36" s="59" t="str">
        <f t="shared" si="48"/>
        <v>Excellent</v>
      </c>
      <c r="DQ36" s="3">
        <v>34</v>
      </c>
      <c r="DR36" s="162" t="s">
        <v>148</v>
      </c>
      <c r="DS36" s="145">
        <v>9</v>
      </c>
      <c r="DT36" s="143">
        <v>9</v>
      </c>
      <c r="DU36" s="143">
        <v>9</v>
      </c>
      <c r="DV36" s="143">
        <v>10</v>
      </c>
      <c r="DW36" s="102">
        <f t="shared" si="49"/>
        <v>37</v>
      </c>
      <c r="DX36" s="143">
        <v>36</v>
      </c>
      <c r="DY36" s="102">
        <f t="shared" si="50"/>
        <v>73</v>
      </c>
      <c r="DZ36" s="102">
        <f t="shared" si="51"/>
        <v>2</v>
      </c>
      <c r="EA36" s="102" t="str">
        <f t="shared" si="52"/>
        <v>A</v>
      </c>
      <c r="EB36" s="102" t="str">
        <f t="shared" si="53"/>
        <v>Excellent</v>
      </c>
      <c r="EC36" s="3">
        <v>34</v>
      </c>
      <c r="ED36" s="75"/>
      <c r="EE36" s="145">
        <v>8</v>
      </c>
      <c r="EF36" s="143">
        <v>8</v>
      </c>
      <c r="EG36" s="143">
        <v>10</v>
      </c>
      <c r="EH36" s="143">
        <v>7</v>
      </c>
      <c r="EI36" s="75">
        <f t="shared" si="54"/>
        <v>33</v>
      </c>
      <c r="EJ36" s="143">
        <v>32</v>
      </c>
      <c r="EK36" s="75">
        <f t="shared" si="94"/>
        <v>65</v>
      </c>
      <c r="EL36" s="75">
        <f t="shared" si="55"/>
        <v>4</v>
      </c>
      <c r="EM36" s="75" t="str">
        <f t="shared" si="56"/>
        <v>C</v>
      </c>
      <c r="EN36" s="75" t="str">
        <f t="shared" si="57"/>
        <v>Credit</v>
      </c>
      <c r="EO36" s="3">
        <v>34</v>
      </c>
      <c r="EP36" s="162" t="s">
        <v>148</v>
      </c>
      <c r="EQ36" s="3">
        <v>10</v>
      </c>
      <c r="ER36" s="147">
        <v>8</v>
      </c>
      <c r="ES36" s="147">
        <v>10</v>
      </c>
      <c r="ET36" s="147">
        <v>9</v>
      </c>
      <c r="EU36" s="98">
        <f t="shared" si="58"/>
        <v>37</v>
      </c>
      <c r="EV36" s="147">
        <v>24</v>
      </c>
      <c r="EW36" s="98">
        <f t="shared" si="59"/>
        <v>61</v>
      </c>
      <c r="EX36" s="98">
        <f t="shared" si="60"/>
        <v>8</v>
      </c>
      <c r="EY36" s="98" t="str">
        <f t="shared" si="61"/>
        <v>C</v>
      </c>
      <c r="EZ36" s="98" t="str">
        <f t="shared" si="62"/>
        <v>Credit</v>
      </c>
      <c r="FA36" s="3">
        <v>34</v>
      </c>
      <c r="FB36" s="113"/>
      <c r="FC36" s="145">
        <v>9</v>
      </c>
      <c r="FD36" s="143">
        <v>10</v>
      </c>
      <c r="FE36" s="143">
        <v>8</v>
      </c>
      <c r="FF36" s="143">
        <v>10</v>
      </c>
      <c r="FG36" s="113">
        <f t="shared" si="63"/>
        <v>37</v>
      </c>
      <c r="FH36" s="143">
        <v>51</v>
      </c>
      <c r="FI36" s="113">
        <f t="shared" si="64"/>
        <v>88</v>
      </c>
      <c r="FJ36" s="113">
        <f t="shared" si="65"/>
        <v>5</v>
      </c>
      <c r="FK36" s="113" t="str">
        <f t="shared" si="66"/>
        <v>A</v>
      </c>
      <c r="FL36" s="113" t="str">
        <f t="shared" si="67"/>
        <v>Excellent</v>
      </c>
      <c r="FM36" s="3">
        <v>34</v>
      </c>
      <c r="FN36" s="53"/>
      <c r="FO36" s="145">
        <v>10</v>
      </c>
      <c r="FP36" s="143">
        <v>10</v>
      </c>
      <c r="FQ36" s="143">
        <v>10</v>
      </c>
      <c r="FR36" s="143">
        <v>4</v>
      </c>
      <c r="FS36" s="53">
        <f t="shared" si="68"/>
        <v>34</v>
      </c>
      <c r="FT36" s="143">
        <v>50</v>
      </c>
      <c r="FU36" s="53">
        <f t="shared" si="69"/>
        <v>84</v>
      </c>
      <c r="FV36" s="53">
        <f t="shared" si="70"/>
        <v>1</v>
      </c>
      <c r="FW36" s="53" t="str">
        <f t="shared" si="71"/>
        <v>A</v>
      </c>
      <c r="FX36" s="53" t="str">
        <f t="shared" si="72"/>
        <v>Excellent</v>
      </c>
      <c r="FY36" s="3">
        <v>34</v>
      </c>
      <c r="FZ36" s="80"/>
      <c r="GA36" s="80"/>
      <c r="GB36" s="80"/>
      <c r="GC36" s="80"/>
      <c r="GD36" s="80"/>
      <c r="GE36" s="80">
        <f t="shared" si="73"/>
        <v>0</v>
      </c>
      <c r="GF36" s="80"/>
      <c r="GG36" s="80">
        <f t="shared" si="74"/>
        <v>0</v>
      </c>
      <c r="GH36" s="80" t="str">
        <f t="shared" si="75"/>
        <v/>
      </c>
      <c r="GI36" s="80" t="str">
        <f t="shared" si="76"/>
        <v/>
      </c>
      <c r="GJ36" s="80" t="str">
        <f t="shared" si="77"/>
        <v/>
      </c>
      <c r="GK36" s="3">
        <v>34</v>
      </c>
      <c r="GL36" s="162" t="s">
        <v>148</v>
      </c>
      <c r="GM36" s="145">
        <v>10</v>
      </c>
      <c r="GN36" s="143">
        <v>8</v>
      </c>
      <c r="GO36" s="143">
        <v>10</v>
      </c>
      <c r="GP36" s="143">
        <v>8</v>
      </c>
      <c r="GQ36" s="113">
        <f t="shared" si="78"/>
        <v>36</v>
      </c>
      <c r="GR36" s="143">
        <v>49</v>
      </c>
      <c r="GS36" s="113">
        <f t="shared" si="79"/>
        <v>85</v>
      </c>
      <c r="GT36" s="113">
        <f t="shared" si="80"/>
        <v>4</v>
      </c>
      <c r="GU36" s="113" t="str">
        <f t="shared" si="81"/>
        <v>A</v>
      </c>
      <c r="GV36" s="113" t="str">
        <f t="shared" si="82"/>
        <v>Excellent</v>
      </c>
      <c r="GW36" s="3">
        <v>34</v>
      </c>
      <c r="GX36" s="107"/>
      <c r="GY36" s="145"/>
      <c r="GZ36" s="143"/>
      <c r="HA36" s="143"/>
      <c r="HB36" s="143"/>
      <c r="HC36" s="107">
        <f t="shared" si="83"/>
        <v>0</v>
      </c>
      <c r="HD36" s="143"/>
      <c r="HE36" s="107">
        <f t="shared" si="84"/>
        <v>0</v>
      </c>
      <c r="HF36" s="107" t="str">
        <f t="shared" si="85"/>
        <v/>
      </c>
      <c r="HG36" s="107" t="str">
        <f t="shared" si="86"/>
        <v/>
      </c>
      <c r="HH36" s="107" t="str">
        <f t="shared" si="87"/>
        <v/>
      </c>
    </row>
    <row r="37" spans="1:216" ht="18.75">
      <c r="A37" s="186">
        <v>35</v>
      </c>
      <c r="B37" s="161" t="s">
        <v>149</v>
      </c>
      <c r="C37" s="130">
        <v>4</v>
      </c>
      <c r="D37" s="131">
        <v>5</v>
      </c>
      <c r="E37" s="131">
        <v>0</v>
      </c>
      <c r="F37" s="131">
        <v>10</v>
      </c>
      <c r="G37" s="53">
        <f t="shared" si="92"/>
        <v>19</v>
      </c>
      <c r="H37" s="131">
        <v>23</v>
      </c>
      <c r="I37" s="53">
        <f t="shared" si="93"/>
        <v>42</v>
      </c>
      <c r="J37" s="53">
        <f t="shared" si="3"/>
        <v>46</v>
      </c>
      <c r="K37" s="53" t="str">
        <f t="shared" si="4"/>
        <v>F</v>
      </c>
      <c r="L37" s="53" t="str">
        <f t="shared" si="5"/>
        <v>Fail</v>
      </c>
      <c r="M37" s="44">
        <v>35</v>
      </c>
      <c r="N37" s="59"/>
      <c r="O37" s="135">
        <v>0</v>
      </c>
      <c r="P37" s="136">
        <v>1</v>
      </c>
      <c r="Q37" s="136">
        <v>5</v>
      </c>
      <c r="R37" s="136">
        <v>10</v>
      </c>
      <c r="S37" s="59">
        <f t="shared" si="90"/>
        <v>16</v>
      </c>
      <c r="T37" s="136">
        <v>19</v>
      </c>
      <c r="U37" s="59">
        <f t="shared" si="7"/>
        <v>35</v>
      </c>
      <c r="V37" s="59">
        <f t="shared" si="8"/>
        <v>42</v>
      </c>
      <c r="W37" s="59" t="str">
        <f t="shared" si="9"/>
        <v>F</v>
      </c>
      <c r="X37" s="59" t="str">
        <f t="shared" si="10"/>
        <v>Fail</v>
      </c>
      <c r="Y37" s="3">
        <v>35</v>
      </c>
      <c r="Z37" s="80"/>
      <c r="AA37" s="135">
        <v>6</v>
      </c>
      <c r="AB37" s="136">
        <v>7</v>
      </c>
      <c r="AC37" s="136">
        <v>8</v>
      </c>
      <c r="AD37" s="136">
        <v>5</v>
      </c>
      <c r="AE37" s="80">
        <f t="shared" si="91"/>
        <v>26</v>
      </c>
      <c r="AF37" s="136">
        <v>21</v>
      </c>
      <c r="AG37" s="80">
        <f t="shared" si="11"/>
        <v>47</v>
      </c>
      <c r="AH37" s="80">
        <f t="shared" si="12"/>
        <v>44</v>
      </c>
      <c r="AI37" s="80" t="str">
        <f t="shared" si="13"/>
        <v>P</v>
      </c>
      <c r="AJ37" s="80" t="str">
        <f t="shared" si="14"/>
        <v>Pass</v>
      </c>
      <c r="AK37" s="3">
        <v>35</v>
      </c>
      <c r="AL37" s="161" t="s">
        <v>149</v>
      </c>
      <c r="AM37" s="135"/>
      <c r="AN37" s="136"/>
      <c r="AO37" s="136"/>
      <c r="AP37" s="136"/>
      <c r="AQ37" s="47">
        <f t="shared" si="15"/>
        <v>0</v>
      </c>
      <c r="AR37" s="136"/>
      <c r="AS37" s="47">
        <f t="shared" si="16"/>
        <v>0</v>
      </c>
      <c r="AT37" s="47" t="str">
        <f t="shared" si="17"/>
        <v/>
      </c>
      <c r="AU37" s="47" t="str">
        <f t="shared" si="18"/>
        <v/>
      </c>
      <c r="AV37" s="47" t="str">
        <f t="shared" si="19"/>
        <v/>
      </c>
      <c r="AW37" s="3">
        <v>35</v>
      </c>
      <c r="AX37" s="161" t="s">
        <v>149</v>
      </c>
      <c r="AY37" s="130">
        <v>8</v>
      </c>
      <c r="AZ37" s="131">
        <v>5</v>
      </c>
      <c r="BA37" s="131">
        <v>6</v>
      </c>
      <c r="BB37" s="131">
        <v>7</v>
      </c>
      <c r="BC37" s="85">
        <f t="shared" si="20"/>
        <v>26</v>
      </c>
      <c r="BD37" s="131">
        <v>14</v>
      </c>
      <c r="BE37" s="85">
        <f t="shared" si="21"/>
        <v>40</v>
      </c>
      <c r="BF37" s="85">
        <f t="shared" si="22"/>
        <v>47</v>
      </c>
      <c r="BG37" s="85" t="str">
        <f t="shared" si="23"/>
        <v>F</v>
      </c>
      <c r="BH37" s="85" t="str">
        <f t="shared" si="24"/>
        <v>Fail</v>
      </c>
      <c r="BI37" s="3">
        <v>35</v>
      </c>
      <c r="BJ37" s="90"/>
      <c r="BK37" s="167">
        <v>1</v>
      </c>
      <c r="BL37" s="168">
        <v>5</v>
      </c>
      <c r="BM37" s="168">
        <v>2</v>
      </c>
      <c r="BN37" s="168">
        <v>5</v>
      </c>
      <c r="BO37" s="90">
        <f t="shared" si="25"/>
        <v>13</v>
      </c>
      <c r="BP37" s="173">
        <v>13</v>
      </c>
      <c r="BQ37" s="90">
        <f t="shared" si="26"/>
        <v>26</v>
      </c>
      <c r="BR37" s="90">
        <f t="shared" si="27"/>
        <v>47</v>
      </c>
      <c r="BS37" s="90" t="str">
        <f t="shared" si="28"/>
        <v>F</v>
      </c>
      <c r="BT37" s="90" t="str">
        <f t="shared" si="29"/>
        <v>Fail</v>
      </c>
      <c r="BU37" s="3">
        <v>35</v>
      </c>
      <c r="BV37" s="161" t="s">
        <v>149</v>
      </c>
      <c r="BW37" s="145">
        <v>1</v>
      </c>
      <c r="BX37" s="143">
        <v>1</v>
      </c>
      <c r="BY37" s="143">
        <v>8</v>
      </c>
      <c r="BZ37" s="143">
        <v>8</v>
      </c>
      <c r="CA37" s="94">
        <f t="shared" si="30"/>
        <v>18</v>
      </c>
      <c r="CB37" s="143">
        <v>20</v>
      </c>
      <c r="CC37" s="94">
        <f t="shared" si="31"/>
        <v>38</v>
      </c>
      <c r="CD37" s="94">
        <f t="shared" si="32"/>
        <v>46</v>
      </c>
      <c r="CE37" s="94" t="str">
        <f t="shared" si="33"/>
        <v>F</v>
      </c>
      <c r="CF37" s="94" t="str">
        <f t="shared" si="34"/>
        <v>Fail</v>
      </c>
      <c r="CG37" s="3">
        <v>35</v>
      </c>
      <c r="CH37" s="161" t="s">
        <v>149</v>
      </c>
      <c r="CI37" s="145">
        <v>3</v>
      </c>
      <c r="CJ37" s="143">
        <v>6</v>
      </c>
      <c r="CK37" s="143">
        <v>10</v>
      </c>
      <c r="CL37" s="143">
        <v>9</v>
      </c>
      <c r="CM37" s="66">
        <f t="shared" si="35"/>
        <v>28</v>
      </c>
      <c r="CN37" s="143">
        <v>15</v>
      </c>
      <c r="CO37" s="66">
        <f t="shared" si="89"/>
        <v>43</v>
      </c>
      <c r="CP37" s="66">
        <f t="shared" si="36"/>
        <v>43</v>
      </c>
      <c r="CQ37" s="66" t="str">
        <f t="shared" si="37"/>
        <v>F</v>
      </c>
      <c r="CR37" s="66" t="str">
        <f t="shared" si="38"/>
        <v>Fail</v>
      </c>
      <c r="CS37" s="3">
        <v>35</v>
      </c>
      <c r="CT37" s="161" t="s">
        <v>149</v>
      </c>
      <c r="CU37" s="148">
        <v>3</v>
      </c>
      <c r="CV37" s="149">
        <v>7</v>
      </c>
      <c r="CW37" s="149">
        <v>10</v>
      </c>
      <c r="CX37" s="149">
        <v>10</v>
      </c>
      <c r="CY37" s="70">
        <f t="shared" si="39"/>
        <v>30</v>
      </c>
      <c r="CZ37" s="149">
        <v>22</v>
      </c>
      <c r="DA37" s="70">
        <f t="shared" si="40"/>
        <v>52</v>
      </c>
      <c r="DB37" s="70">
        <f t="shared" si="41"/>
        <v>42</v>
      </c>
      <c r="DC37" s="70" t="str">
        <f t="shared" si="42"/>
        <v>C</v>
      </c>
      <c r="DD37" s="70" t="str">
        <f t="shared" si="43"/>
        <v>Credit</v>
      </c>
      <c r="DE37" s="3">
        <v>35</v>
      </c>
      <c r="DF37" s="59"/>
      <c r="DG37" s="145">
        <v>7</v>
      </c>
      <c r="DH37" s="143">
        <v>10</v>
      </c>
      <c r="DI37" s="143">
        <v>1</v>
      </c>
      <c r="DJ37" s="143">
        <v>8</v>
      </c>
      <c r="DK37" s="59">
        <f t="shared" si="44"/>
        <v>26</v>
      </c>
      <c r="DL37" s="143">
        <v>23</v>
      </c>
      <c r="DM37" s="59">
        <f t="shared" si="45"/>
        <v>49</v>
      </c>
      <c r="DN37" s="59">
        <f t="shared" si="46"/>
        <v>46</v>
      </c>
      <c r="DO37" s="59" t="str">
        <f t="shared" si="47"/>
        <v>P</v>
      </c>
      <c r="DP37" s="59" t="str">
        <f t="shared" si="48"/>
        <v>Pass</v>
      </c>
      <c r="DQ37" s="3">
        <v>35</v>
      </c>
      <c r="DR37" s="161" t="s">
        <v>149</v>
      </c>
      <c r="DS37" s="145">
        <v>7</v>
      </c>
      <c r="DT37" s="143">
        <v>4</v>
      </c>
      <c r="DU37" s="143">
        <v>9</v>
      </c>
      <c r="DV37" s="143">
        <v>8</v>
      </c>
      <c r="DW37" s="102">
        <f t="shared" si="49"/>
        <v>28</v>
      </c>
      <c r="DX37" s="143">
        <v>17</v>
      </c>
      <c r="DY37" s="102">
        <f t="shared" si="50"/>
        <v>45</v>
      </c>
      <c r="DZ37" s="102">
        <f t="shared" si="51"/>
        <v>46</v>
      </c>
      <c r="EA37" s="102" t="str">
        <f t="shared" si="52"/>
        <v>P</v>
      </c>
      <c r="EB37" s="102" t="str">
        <f t="shared" si="53"/>
        <v>Pass</v>
      </c>
      <c r="EC37" s="3">
        <v>35</v>
      </c>
      <c r="ED37" s="75"/>
      <c r="EE37" s="145">
        <v>6</v>
      </c>
      <c r="EF37" s="143">
        <v>8</v>
      </c>
      <c r="EG37" s="143">
        <v>10</v>
      </c>
      <c r="EH37" s="143">
        <v>4</v>
      </c>
      <c r="EI37" s="75">
        <f t="shared" si="54"/>
        <v>28</v>
      </c>
      <c r="EJ37" s="143">
        <v>19</v>
      </c>
      <c r="EK37" s="75">
        <f t="shared" si="94"/>
        <v>47</v>
      </c>
      <c r="EL37" s="75">
        <f t="shared" si="55"/>
        <v>30</v>
      </c>
      <c r="EM37" s="75" t="str">
        <f t="shared" si="56"/>
        <v>P</v>
      </c>
      <c r="EN37" s="75" t="str">
        <f t="shared" si="57"/>
        <v>Pass</v>
      </c>
      <c r="EO37" s="3">
        <v>35</v>
      </c>
      <c r="EP37" s="161" t="s">
        <v>149</v>
      </c>
      <c r="EQ37" s="3">
        <v>10</v>
      </c>
      <c r="ER37" s="147">
        <v>7</v>
      </c>
      <c r="ES37" s="147">
        <v>9</v>
      </c>
      <c r="ET37" s="147">
        <v>9</v>
      </c>
      <c r="EU37" s="98">
        <f t="shared" si="58"/>
        <v>35</v>
      </c>
      <c r="EV37" s="147">
        <v>17</v>
      </c>
      <c r="EW37" s="98">
        <f t="shared" si="59"/>
        <v>52</v>
      </c>
      <c r="EX37" s="98">
        <f t="shared" si="60"/>
        <v>13</v>
      </c>
      <c r="EY37" s="98" t="str">
        <f t="shared" si="61"/>
        <v>C</v>
      </c>
      <c r="EZ37" s="98" t="str">
        <f t="shared" si="62"/>
        <v>Credit</v>
      </c>
      <c r="FA37" s="3">
        <v>35</v>
      </c>
      <c r="FB37" s="113"/>
      <c r="FC37" s="145">
        <v>9</v>
      </c>
      <c r="FD37" s="143">
        <v>10</v>
      </c>
      <c r="FE37" s="143">
        <v>3</v>
      </c>
      <c r="FF37" s="143">
        <v>5</v>
      </c>
      <c r="FG37" s="113">
        <f t="shared" si="63"/>
        <v>27</v>
      </c>
      <c r="FH37" s="143">
        <v>36</v>
      </c>
      <c r="FI37" s="113">
        <f t="shared" si="64"/>
        <v>63</v>
      </c>
      <c r="FJ37" s="113">
        <f t="shared" si="65"/>
        <v>38</v>
      </c>
      <c r="FK37" s="113" t="str">
        <f t="shared" si="66"/>
        <v>C</v>
      </c>
      <c r="FL37" s="113" t="str">
        <f t="shared" si="67"/>
        <v>Credit</v>
      </c>
      <c r="FM37" s="3">
        <v>35</v>
      </c>
      <c r="FN37" s="53"/>
      <c r="FO37" s="145">
        <v>10</v>
      </c>
      <c r="FP37" s="143">
        <v>8</v>
      </c>
      <c r="FQ37" s="143">
        <v>8</v>
      </c>
      <c r="FR37" s="143">
        <v>10</v>
      </c>
      <c r="FS37" s="53">
        <f t="shared" si="68"/>
        <v>36</v>
      </c>
      <c r="FT37" s="143">
        <v>30</v>
      </c>
      <c r="FU37" s="53">
        <f t="shared" si="69"/>
        <v>66</v>
      </c>
      <c r="FV37" s="53">
        <f t="shared" si="70"/>
        <v>27</v>
      </c>
      <c r="FW37" s="53" t="str">
        <f t="shared" si="71"/>
        <v>C</v>
      </c>
      <c r="FX37" s="53" t="str">
        <f t="shared" si="72"/>
        <v>Credit</v>
      </c>
      <c r="FY37" s="3">
        <v>35</v>
      </c>
      <c r="FZ37" s="80"/>
      <c r="GA37" s="80"/>
      <c r="GB37" s="80"/>
      <c r="GC37" s="80"/>
      <c r="GD37" s="80"/>
      <c r="GE37" s="80">
        <f t="shared" si="73"/>
        <v>0</v>
      </c>
      <c r="GF37" s="80"/>
      <c r="GG37" s="80">
        <f t="shared" si="74"/>
        <v>0</v>
      </c>
      <c r="GH37" s="80" t="str">
        <f t="shared" si="75"/>
        <v/>
      </c>
      <c r="GI37" s="80" t="str">
        <f t="shared" si="76"/>
        <v/>
      </c>
      <c r="GJ37" s="80" t="str">
        <f t="shared" si="77"/>
        <v/>
      </c>
      <c r="GK37" s="3">
        <v>35</v>
      </c>
      <c r="GL37" s="161" t="s">
        <v>149</v>
      </c>
      <c r="GM37" s="145">
        <v>3</v>
      </c>
      <c r="GN37" s="143">
        <v>2</v>
      </c>
      <c r="GO37" s="143">
        <v>8</v>
      </c>
      <c r="GP37" s="143">
        <v>7</v>
      </c>
      <c r="GQ37" s="113">
        <f t="shared" si="78"/>
        <v>20</v>
      </c>
      <c r="GR37" s="143">
        <v>17</v>
      </c>
      <c r="GS37" s="113">
        <f t="shared" si="79"/>
        <v>37</v>
      </c>
      <c r="GT37" s="113">
        <f t="shared" si="80"/>
        <v>46</v>
      </c>
      <c r="GU37" s="113" t="str">
        <f t="shared" si="81"/>
        <v>F</v>
      </c>
      <c r="GV37" s="113" t="str">
        <f t="shared" si="82"/>
        <v>Fail</v>
      </c>
      <c r="GW37" s="3">
        <v>35</v>
      </c>
      <c r="GX37" s="107"/>
      <c r="GY37" s="145">
        <v>7</v>
      </c>
      <c r="GZ37" s="143">
        <v>9</v>
      </c>
      <c r="HA37" s="143">
        <v>5</v>
      </c>
      <c r="HB37" s="143">
        <v>5</v>
      </c>
      <c r="HC37" s="107">
        <f t="shared" si="83"/>
        <v>26</v>
      </c>
      <c r="HD37" s="143">
        <v>25</v>
      </c>
      <c r="HE37" s="107">
        <f t="shared" si="84"/>
        <v>51</v>
      </c>
      <c r="HF37" s="107">
        <f t="shared" si="85"/>
        <v>35</v>
      </c>
      <c r="HG37" s="107" t="str">
        <f t="shared" si="86"/>
        <v>C</v>
      </c>
      <c r="HH37" s="107" t="str">
        <f t="shared" si="87"/>
        <v>Credit</v>
      </c>
    </row>
    <row r="38" spans="1:216" ht="18.75">
      <c r="A38" s="185">
        <v>36</v>
      </c>
      <c r="B38" s="162" t="s">
        <v>150</v>
      </c>
      <c r="C38" s="130">
        <v>8</v>
      </c>
      <c r="D38" s="131">
        <v>7</v>
      </c>
      <c r="E38" s="131">
        <v>9</v>
      </c>
      <c r="F38" s="131">
        <v>9</v>
      </c>
      <c r="G38" s="53">
        <f t="shared" si="92"/>
        <v>33</v>
      </c>
      <c r="H38" s="131">
        <v>38</v>
      </c>
      <c r="I38" s="53">
        <f t="shared" si="93"/>
        <v>71</v>
      </c>
      <c r="J38" s="53">
        <f t="shared" si="3"/>
        <v>9</v>
      </c>
      <c r="K38" s="53" t="str">
        <f t="shared" si="4"/>
        <v>A</v>
      </c>
      <c r="L38" s="53" t="str">
        <f t="shared" si="5"/>
        <v>Excellent</v>
      </c>
      <c r="M38" s="44">
        <v>36</v>
      </c>
      <c r="N38" s="59"/>
      <c r="O38" s="135">
        <v>5</v>
      </c>
      <c r="P38" s="136">
        <v>6</v>
      </c>
      <c r="Q38" s="136">
        <v>10</v>
      </c>
      <c r="R38" s="136">
        <v>10</v>
      </c>
      <c r="S38" s="59">
        <f t="shared" si="90"/>
        <v>31</v>
      </c>
      <c r="T38" s="136">
        <v>22</v>
      </c>
      <c r="U38" s="59">
        <f t="shared" si="7"/>
        <v>53</v>
      </c>
      <c r="V38" s="59">
        <f t="shared" si="8"/>
        <v>6</v>
      </c>
      <c r="W38" s="59" t="str">
        <f t="shared" si="9"/>
        <v>C</v>
      </c>
      <c r="X38" s="59" t="str">
        <f t="shared" si="10"/>
        <v>Credit</v>
      </c>
      <c r="Y38" s="3">
        <v>36</v>
      </c>
      <c r="Z38" s="80"/>
      <c r="AA38" s="135">
        <v>8</v>
      </c>
      <c r="AB38" s="136">
        <v>9</v>
      </c>
      <c r="AC38" s="136">
        <v>7</v>
      </c>
      <c r="AD38" s="136">
        <v>8</v>
      </c>
      <c r="AE38" s="80">
        <f t="shared" si="91"/>
        <v>32</v>
      </c>
      <c r="AF38" s="136">
        <v>35</v>
      </c>
      <c r="AG38" s="80">
        <f t="shared" si="11"/>
        <v>67</v>
      </c>
      <c r="AH38" s="80">
        <f t="shared" si="12"/>
        <v>20</v>
      </c>
      <c r="AI38" s="80" t="str">
        <f t="shared" si="13"/>
        <v>C</v>
      </c>
      <c r="AJ38" s="80" t="str">
        <f t="shared" si="14"/>
        <v>Credit</v>
      </c>
      <c r="AK38" s="3">
        <v>36</v>
      </c>
      <c r="AL38" s="162" t="s">
        <v>150</v>
      </c>
      <c r="AM38" s="135"/>
      <c r="AN38" s="136"/>
      <c r="AO38" s="136"/>
      <c r="AP38" s="136"/>
      <c r="AQ38" s="47">
        <f t="shared" si="15"/>
        <v>0</v>
      </c>
      <c r="AR38" s="136"/>
      <c r="AS38" s="47">
        <f t="shared" si="16"/>
        <v>0</v>
      </c>
      <c r="AT38" s="47" t="str">
        <f t="shared" si="17"/>
        <v/>
      </c>
      <c r="AU38" s="47" t="str">
        <f t="shared" si="18"/>
        <v/>
      </c>
      <c r="AV38" s="47" t="str">
        <f t="shared" si="19"/>
        <v/>
      </c>
      <c r="AW38" s="3">
        <v>36</v>
      </c>
      <c r="AX38" s="162" t="s">
        <v>150</v>
      </c>
      <c r="AY38" s="130">
        <v>9</v>
      </c>
      <c r="AZ38" s="131">
        <v>8</v>
      </c>
      <c r="BA38" s="131">
        <v>8</v>
      </c>
      <c r="BB38" s="131">
        <v>10</v>
      </c>
      <c r="BC38" s="85">
        <f t="shared" si="20"/>
        <v>35</v>
      </c>
      <c r="BD38" s="131">
        <v>43</v>
      </c>
      <c r="BE38" s="85">
        <f t="shared" si="21"/>
        <v>78</v>
      </c>
      <c r="BF38" s="85">
        <f t="shared" si="22"/>
        <v>10</v>
      </c>
      <c r="BG38" s="85" t="str">
        <f t="shared" si="23"/>
        <v>A</v>
      </c>
      <c r="BH38" s="85" t="str">
        <f t="shared" si="24"/>
        <v>Excellent</v>
      </c>
      <c r="BI38" s="3">
        <v>36</v>
      </c>
      <c r="BJ38" s="90"/>
      <c r="BK38" s="167">
        <v>9</v>
      </c>
      <c r="BL38" s="168">
        <v>8</v>
      </c>
      <c r="BM38" s="168">
        <v>2</v>
      </c>
      <c r="BN38" s="168">
        <v>10</v>
      </c>
      <c r="BO38" s="90">
        <f t="shared" si="25"/>
        <v>29</v>
      </c>
      <c r="BP38" s="173">
        <v>26</v>
      </c>
      <c r="BQ38" s="90">
        <f t="shared" si="26"/>
        <v>55</v>
      </c>
      <c r="BR38" s="90">
        <f t="shared" si="27"/>
        <v>16</v>
      </c>
      <c r="BS38" s="90" t="str">
        <f t="shared" si="28"/>
        <v>C</v>
      </c>
      <c r="BT38" s="90" t="str">
        <f t="shared" si="29"/>
        <v>Credit</v>
      </c>
      <c r="BU38" s="3">
        <v>36</v>
      </c>
      <c r="BV38" s="162" t="s">
        <v>150</v>
      </c>
      <c r="BW38" s="145">
        <v>7</v>
      </c>
      <c r="BX38" s="143">
        <v>2</v>
      </c>
      <c r="BY38" s="143">
        <v>9</v>
      </c>
      <c r="BZ38" s="143">
        <v>8</v>
      </c>
      <c r="CA38" s="94">
        <f t="shared" si="30"/>
        <v>26</v>
      </c>
      <c r="CB38" s="143">
        <v>38</v>
      </c>
      <c r="CC38" s="94">
        <f t="shared" si="31"/>
        <v>64</v>
      </c>
      <c r="CD38" s="94">
        <f t="shared" si="32"/>
        <v>15</v>
      </c>
      <c r="CE38" s="94" t="str">
        <f t="shared" si="33"/>
        <v>C</v>
      </c>
      <c r="CF38" s="94" t="str">
        <f t="shared" si="34"/>
        <v>Credit</v>
      </c>
      <c r="CG38" s="3">
        <v>36</v>
      </c>
      <c r="CH38" s="162" t="s">
        <v>150</v>
      </c>
      <c r="CI38" s="145">
        <v>8</v>
      </c>
      <c r="CJ38" s="143">
        <v>8</v>
      </c>
      <c r="CK38" s="143">
        <v>10</v>
      </c>
      <c r="CL38" s="143">
        <v>10</v>
      </c>
      <c r="CM38" s="66">
        <f t="shared" si="35"/>
        <v>36</v>
      </c>
      <c r="CN38" s="143">
        <v>31</v>
      </c>
      <c r="CO38" s="66">
        <f t="shared" si="89"/>
        <v>67</v>
      </c>
      <c r="CP38" s="66">
        <f t="shared" si="36"/>
        <v>14</v>
      </c>
      <c r="CQ38" s="66" t="str">
        <f t="shared" si="37"/>
        <v>C</v>
      </c>
      <c r="CR38" s="66" t="str">
        <f t="shared" si="38"/>
        <v>Credit</v>
      </c>
      <c r="CS38" s="3">
        <v>36</v>
      </c>
      <c r="CT38" s="162" t="s">
        <v>150</v>
      </c>
      <c r="CU38" s="148">
        <v>10</v>
      </c>
      <c r="CV38" s="149">
        <v>7</v>
      </c>
      <c r="CW38" s="149">
        <v>8</v>
      </c>
      <c r="CX38" s="149">
        <v>10</v>
      </c>
      <c r="CY38" s="70">
        <f t="shared" si="39"/>
        <v>35</v>
      </c>
      <c r="CZ38" s="149">
        <v>33</v>
      </c>
      <c r="DA38" s="70">
        <f t="shared" si="40"/>
        <v>68</v>
      </c>
      <c r="DB38" s="70">
        <f t="shared" si="41"/>
        <v>15</v>
      </c>
      <c r="DC38" s="70" t="str">
        <f t="shared" si="42"/>
        <v>C</v>
      </c>
      <c r="DD38" s="70" t="str">
        <f t="shared" si="43"/>
        <v>Credit</v>
      </c>
      <c r="DE38" s="3">
        <v>36</v>
      </c>
      <c r="DF38" s="59"/>
      <c r="DG38" s="145">
        <v>10</v>
      </c>
      <c r="DH38" s="143">
        <v>10</v>
      </c>
      <c r="DI38" s="143">
        <v>6</v>
      </c>
      <c r="DJ38" s="143">
        <v>10</v>
      </c>
      <c r="DK38" s="59">
        <f t="shared" si="44"/>
        <v>36</v>
      </c>
      <c r="DL38" s="143">
        <v>40</v>
      </c>
      <c r="DM38" s="59">
        <f t="shared" si="45"/>
        <v>76</v>
      </c>
      <c r="DN38" s="59">
        <f t="shared" si="46"/>
        <v>10</v>
      </c>
      <c r="DO38" s="59" t="str">
        <f t="shared" si="47"/>
        <v>A</v>
      </c>
      <c r="DP38" s="59" t="str">
        <f t="shared" si="48"/>
        <v>Excellent</v>
      </c>
      <c r="DQ38" s="3">
        <v>36</v>
      </c>
      <c r="DR38" s="162" t="s">
        <v>150</v>
      </c>
      <c r="DS38" s="145">
        <v>10</v>
      </c>
      <c r="DT38" s="143">
        <v>9</v>
      </c>
      <c r="DU38" s="143">
        <v>9</v>
      </c>
      <c r="DV38" s="143">
        <v>10</v>
      </c>
      <c r="DW38" s="102">
        <f t="shared" si="49"/>
        <v>38</v>
      </c>
      <c r="DX38" s="143">
        <v>30</v>
      </c>
      <c r="DY38" s="102">
        <f t="shared" si="50"/>
        <v>68</v>
      </c>
      <c r="DZ38" s="102">
        <f t="shared" si="51"/>
        <v>14</v>
      </c>
      <c r="EA38" s="102" t="str">
        <f t="shared" si="52"/>
        <v>C</v>
      </c>
      <c r="EB38" s="102" t="str">
        <f t="shared" si="53"/>
        <v>Credit</v>
      </c>
      <c r="EC38" s="3">
        <v>36</v>
      </c>
      <c r="ED38" s="75"/>
      <c r="EE38" s="145">
        <v>6</v>
      </c>
      <c r="EF38" s="143">
        <v>8</v>
      </c>
      <c r="EG38" s="143">
        <v>10</v>
      </c>
      <c r="EH38" s="143">
        <v>6</v>
      </c>
      <c r="EI38" s="75">
        <f t="shared" si="54"/>
        <v>30</v>
      </c>
      <c r="EJ38" s="143">
        <v>25</v>
      </c>
      <c r="EK38" s="75">
        <f t="shared" si="94"/>
        <v>55</v>
      </c>
      <c r="EL38" s="75">
        <f t="shared" si="55"/>
        <v>14</v>
      </c>
      <c r="EM38" s="75" t="str">
        <f t="shared" si="56"/>
        <v>C</v>
      </c>
      <c r="EN38" s="75" t="str">
        <f t="shared" si="57"/>
        <v>Credit</v>
      </c>
      <c r="EO38" s="3">
        <v>36</v>
      </c>
      <c r="EP38" s="162" t="s">
        <v>150</v>
      </c>
      <c r="EQ38" s="3">
        <v>9</v>
      </c>
      <c r="ER38" s="147">
        <v>8</v>
      </c>
      <c r="ES38" s="147">
        <v>9</v>
      </c>
      <c r="ET38" s="147">
        <v>10</v>
      </c>
      <c r="EU38" s="98">
        <f t="shared" si="58"/>
        <v>36</v>
      </c>
      <c r="EV38" s="147">
        <v>20</v>
      </c>
      <c r="EW38" s="98">
        <f t="shared" si="59"/>
        <v>56</v>
      </c>
      <c r="EX38" s="98">
        <f t="shared" si="60"/>
        <v>11</v>
      </c>
      <c r="EY38" s="98" t="str">
        <f t="shared" si="61"/>
        <v>C</v>
      </c>
      <c r="EZ38" s="98" t="str">
        <f t="shared" si="62"/>
        <v>Credit</v>
      </c>
      <c r="FA38" s="3">
        <v>36</v>
      </c>
      <c r="FB38" s="113"/>
      <c r="FC38" s="145">
        <v>9</v>
      </c>
      <c r="FD38" s="143">
        <v>10</v>
      </c>
      <c r="FE38" s="143">
        <v>8</v>
      </c>
      <c r="FF38" s="143">
        <v>10</v>
      </c>
      <c r="FG38" s="113">
        <f t="shared" si="63"/>
        <v>37</v>
      </c>
      <c r="FH38" s="143">
        <v>48</v>
      </c>
      <c r="FI38" s="113">
        <f t="shared" si="64"/>
        <v>85</v>
      </c>
      <c r="FJ38" s="113">
        <f t="shared" si="65"/>
        <v>6</v>
      </c>
      <c r="FK38" s="113" t="str">
        <f t="shared" si="66"/>
        <v>A</v>
      </c>
      <c r="FL38" s="113" t="str">
        <f t="shared" si="67"/>
        <v>Excellent</v>
      </c>
      <c r="FM38" s="3">
        <v>36</v>
      </c>
      <c r="FN38" s="53"/>
      <c r="FO38" s="145">
        <v>10</v>
      </c>
      <c r="FP38" s="143">
        <v>10</v>
      </c>
      <c r="FQ38" s="143">
        <v>10</v>
      </c>
      <c r="FR38" s="143">
        <v>5</v>
      </c>
      <c r="FS38" s="53">
        <f t="shared" si="68"/>
        <v>35</v>
      </c>
      <c r="FT38" s="143">
        <v>37</v>
      </c>
      <c r="FU38" s="53">
        <f t="shared" si="69"/>
        <v>72</v>
      </c>
      <c r="FV38" s="53">
        <f t="shared" si="70"/>
        <v>14</v>
      </c>
      <c r="FW38" s="53" t="str">
        <f t="shared" si="71"/>
        <v>A</v>
      </c>
      <c r="FX38" s="53" t="str">
        <f t="shared" si="72"/>
        <v>Excellent</v>
      </c>
      <c r="FY38" s="3">
        <v>36</v>
      </c>
      <c r="FZ38" s="80"/>
      <c r="GA38" s="80"/>
      <c r="GB38" s="80"/>
      <c r="GC38" s="80"/>
      <c r="GD38" s="80"/>
      <c r="GE38" s="80">
        <f t="shared" si="73"/>
        <v>0</v>
      </c>
      <c r="GF38" s="80"/>
      <c r="GG38" s="80">
        <f t="shared" si="74"/>
        <v>0</v>
      </c>
      <c r="GH38" s="80" t="str">
        <f t="shared" si="75"/>
        <v/>
      </c>
      <c r="GI38" s="80" t="str">
        <f t="shared" si="76"/>
        <v/>
      </c>
      <c r="GJ38" s="80" t="str">
        <f t="shared" si="77"/>
        <v/>
      </c>
      <c r="GK38" s="3">
        <v>36</v>
      </c>
      <c r="GL38" s="162" t="s">
        <v>150</v>
      </c>
      <c r="GM38" s="145">
        <v>9</v>
      </c>
      <c r="GN38" s="143">
        <v>8</v>
      </c>
      <c r="GO38" s="143">
        <v>10</v>
      </c>
      <c r="GP38" s="143">
        <v>8</v>
      </c>
      <c r="GQ38" s="113">
        <f t="shared" si="78"/>
        <v>35</v>
      </c>
      <c r="GR38" s="143">
        <v>28</v>
      </c>
      <c r="GS38" s="113">
        <f t="shared" si="79"/>
        <v>63</v>
      </c>
      <c r="GT38" s="113">
        <f t="shared" si="80"/>
        <v>12</v>
      </c>
      <c r="GU38" s="113" t="str">
        <f t="shared" si="81"/>
        <v>C</v>
      </c>
      <c r="GV38" s="113" t="str">
        <f t="shared" si="82"/>
        <v>Credit</v>
      </c>
      <c r="GW38" s="3">
        <v>36</v>
      </c>
      <c r="GX38" s="107"/>
      <c r="GY38" s="145">
        <v>6</v>
      </c>
      <c r="GZ38" s="143">
        <v>8</v>
      </c>
      <c r="HA38" s="143">
        <v>10</v>
      </c>
      <c r="HB38" s="143">
        <v>10</v>
      </c>
      <c r="HC38" s="107">
        <f t="shared" si="83"/>
        <v>34</v>
      </c>
      <c r="HD38" s="143">
        <v>42</v>
      </c>
      <c r="HE38" s="107">
        <f t="shared" si="84"/>
        <v>76</v>
      </c>
      <c r="HF38" s="107">
        <f t="shared" si="85"/>
        <v>13</v>
      </c>
      <c r="HG38" s="107" t="str">
        <f t="shared" si="86"/>
        <v>A</v>
      </c>
      <c r="HH38" s="107" t="str">
        <f t="shared" si="87"/>
        <v>Excellent</v>
      </c>
    </row>
    <row r="39" spans="1:216" ht="18.75">
      <c r="A39" s="186">
        <v>37</v>
      </c>
      <c r="B39" s="161" t="s">
        <v>151</v>
      </c>
      <c r="C39" s="130">
        <v>6</v>
      </c>
      <c r="D39" s="131">
        <v>6</v>
      </c>
      <c r="E39" s="131">
        <v>8</v>
      </c>
      <c r="F39" s="131">
        <v>10</v>
      </c>
      <c r="G39" s="53">
        <f t="shared" si="92"/>
        <v>30</v>
      </c>
      <c r="H39" s="131">
        <v>29</v>
      </c>
      <c r="I39" s="53">
        <f t="shared" si="93"/>
        <v>59</v>
      </c>
      <c r="J39" s="53">
        <f t="shared" si="3"/>
        <v>30</v>
      </c>
      <c r="K39" s="53" t="str">
        <f t="shared" si="4"/>
        <v>C</v>
      </c>
      <c r="L39" s="53" t="str">
        <f t="shared" si="5"/>
        <v>Credit</v>
      </c>
      <c r="M39" s="44">
        <v>37</v>
      </c>
      <c r="N39" s="59"/>
      <c r="O39" s="135">
        <v>0</v>
      </c>
      <c r="P39" s="136">
        <v>0</v>
      </c>
      <c r="Q39" s="136">
        <v>10</v>
      </c>
      <c r="R39" s="136">
        <v>10</v>
      </c>
      <c r="S39" s="59">
        <f t="shared" si="90"/>
        <v>20</v>
      </c>
      <c r="T39" s="136">
        <v>17</v>
      </c>
      <c r="U39" s="59">
        <f t="shared" si="7"/>
        <v>37</v>
      </c>
      <c r="V39" s="59">
        <f t="shared" si="8"/>
        <v>37</v>
      </c>
      <c r="W39" s="59" t="str">
        <f t="shared" si="9"/>
        <v>F</v>
      </c>
      <c r="X39" s="59" t="str">
        <f t="shared" si="10"/>
        <v>Fail</v>
      </c>
      <c r="Y39" s="3">
        <v>37</v>
      </c>
      <c r="Z39" s="80"/>
      <c r="AA39" s="135">
        <v>9</v>
      </c>
      <c r="AB39" s="136">
        <v>6</v>
      </c>
      <c r="AC39" s="136">
        <v>3</v>
      </c>
      <c r="AD39" s="136">
        <v>5</v>
      </c>
      <c r="AE39" s="80">
        <f t="shared" si="91"/>
        <v>23</v>
      </c>
      <c r="AF39" s="136">
        <v>34</v>
      </c>
      <c r="AG39" s="80">
        <f t="shared" si="11"/>
        <v>57</v>
      </c>
      <c r="AH39" s="80">
        <f t="shared" si="12"/>
        <v>32</v>
      </c>
      <c r="AI39" s="80" t="str">
        <f t="shared" si="13"/>
        <v>C</v>
      </c>
      <c r="AJ39" s="80" t="str">
        <f t="shared" si="14"/>
        <v>Credit</v>
      </c>
      <c r="AK39" s="3">
        <v>37</v>
      </c>
      <c r="AL39" s="161" t="s">
        <v>151</v>
      </c>
      <c r="AM39" s="135"/>
      <c r="AN39" s="136"/>
      <c r="AO39" s="136"/>
      <c r="AP39" s="136"/>
      <c r="AQ39" s="47">
        <f t="shared" si="15"/>
        <v>0</v>
      </c>
      <c r="AR39" s="136"/>
      <c r="AS39" s="47">
        <f t="shared" si="16"/>
        <v>0</v>
      </c>
      <c r="AT39" s="47" t="str">
        <f t="shared" si="17"/>
        <v/>
      </c>
      <c r="AU39" s="47" t="str">
        <f t="shared" si="18"/>
        <v/>
      </c>
      <c r="AV39" s="47" t="str">
        <f t="shared" si="19"/>
        <v/>
      </c>
      <c r="AW39" s="3">
        <v>37</v>
      </c>
      <c r="AX39" s="161" t="s">
        <v>151</v>
      </c>
      <c r="AY39" s="130">
        <v>9</v>
      </c>
      <c r="AZ39" s="131">
        <v>6</v>
      </c>
      <c r="BA39" s="131">
        <v>7</v>
      </c>
      <c r="BB39" s="131">
        <v>7</v>
      </c>
      <c r="BC39" s="85">
        <f t="shared" si="20"/>
        <v>29</v>
      </c>
      <c r="BD39" s="131">
        <v>33</v>
      </c>
      <c r="BE39" s="85">
        <f t="shared" si="21"/>
        <v>62</v>
      </c>
      <c r="BF39" s="85">
        <f t="shared" si="22"/>
        <v>34</v>
      </c>
      <c r="BG39" s="85" t="str">
        <f t="shared" si="23"/>
        <v>C</v>
      </c>
      <c r="BH39" s="85" t="str">
        <f t="shared" si="24"/>
        <v>Credit</v>
      </c>
      <c r="BI39" s="3">
        <v>37</v>
      </c>
      <c r="BJ39" s="90"/>
      <c r="BK39" s="167">
        <v>7</v>
      </c>
      <c r="BL39" s="168">
        <v>5</v>
      </c>
      <c r="BM39" s="168">
        <v>2</v>
      </c>
      <c r="BN39" s="168">
        <v>5</v>
      </c>
      <c r="BO39" s="90">
        <f t="shared" si="25"/>
        <v>19</v>
      </c>
      <c r="BP39" s="173">
        <v>18</v>
      </c>
      <c r="BQ39" s="90">
        <f t="shared" si="26"/>
        <v>37</v>
      </c>
      <c r="BR39" s="90">
        <f t="shared" si="27"/>
        <v>39</v>
      </c>
      <c r="BS39" s="90" t="str">
        <f t="shared" si="28"/>
        <v>F</v>
      </c>
      <c r="BT39" s="90" t="str">
        <f t="shared" si="29"/>
        <v>Fail</v>
      </c>
      <c r="BU39" s="3">
        <v>37</v>
      </c>
      <c r="BV39" s="161" t="s">
        <v>151</v>
      </c>
      <c r="BW39" s="145">
        <v>6</v>
      </c>
      <c r="BX39" s="143">
        <v>3</v>
      </c>
      <c r="BY39" s="143">
        <v>5</v>
      </c>
      <c r="BZ39" s="143">
        <v>8</v>
      </c>
      <c r="CA39" s="94">
        <f t="shared" si="30"/>
        <v>22</v>
      </c>
      <c r="CB39" s="143">
        <v>33</v>
      </c>
      <c r="CC39" s="94">
        <f t="shared" si="31"/>
        <v>55</v>
      </c>
      <c r="CD39" s="94">
        <f t="shared" si="32"/>
        <v>31</v>
      </c>
      <c r="CE39" s="94" t="str">
        <f t="shared" si="33"/>
        <v>C</v>
      </c>
      <c r="CF39" s="94" t="str">
        <f t="shared" si="34"/>
        <v>Credit</v>
      </c>
      <c r="CG39" s="3">
        <v>37</v>
      </c>
      <c r="CH39" s="161" t="s">
        <v>151</v>
      </c>
      <c r="CI39" s="145">
        <v>7</v>
      </c>
      <c r="CJ39" s="143">
        <v>5</v>
      </c>
      <c r="CK39" s="143">
        <v>7</v>
      </c>
      <c r="CL39" s="143">
        <v>7</v>
      </c>
      <c r="CM39" s="66">
        <f t="shared" si="35"/>
        <v>26</v>
      </c>
      <c r="CN39" s="143">
        <v>27</v>
      </c>
      <c r="CO39" s="66">
        <f t="shared" si="89"/>
        <v>53</v>
      </c>
      <c r="CP39" s="66">
        <f t="shared" si="36"/>
        <v>36</v>
      </c>
      <c r="CQ39" s="66" t="str">
        <f t="shared" si="37"/>
        <v>C</v>
      </c>
      <c r="CR39" s="66" t="str">
        <f t="shared" si="38"/>
        <v>Credit</v>
      </c>
      <c r="CS39" s="3">
        <v>37</v>
      </c>
      <c r="CT39" s="161" t="s">
        <v>151</v>
      </c>
      <c r="CU39" s="148">
        <v>6</v>
      </c>
      <c r="CV39" s="149">
        <v>4</v>
      </c>
      <c r="CW39" s="149">
        <v>8</v>
      </c>
      <c r="CX39" s="149">
        <v>10</v>
      </c>
      <c r="CY39" s="70">
        <f t="shared" si="39"/>
        <v>28</v>
      </c>
      <c r="CZ39" s="149">
        <v>32</v>
      </c>
      <c r="DA39" s="70">
        <f t="shared" si="40"/>
        <v>60</v>
      </c>
      <c r="DB39" s="70">
        <f t="shared" si="41"/>
        <v>29</v>
      </c>
      <c r="DC39" s="70" t="str">
        <f t="shared" si="42"/>
        <v>C</v>
      </c>
      <c r="DD39" s="70" t="str">
        <f t="shared" si="43"/>
        <v>Credit</v>
      </c>
      <c r="DE39" s="3">
        <v>37</v>
      </c>
      <c r="DF39" s="59"/>
      <c r="DG39" s="145">
        <v>10</v>
      </c>
      <c r="DH39" s="143">
        <v>7</v>
      </c>
      <c r="DI39" s="143">
        <v>1</v>
      </c>
      <c r="DJ39" s="143">
        <v>7</v>
      </c>
      <c r="DK39" s="59">
        <f t="shared" si="44"/>
        <v>25</v>
      </c>
      <c r="DL39" s="143">
        <v>32</v>
      </c>
      <c r="DM39" s="59">
        <f t="shared" si="45"/>
        <v>57</v>
      </c>
      <c r="DN39" s="59">
        <f t="shared" si="46"/>
        <v>35</v>
      </c>
      <c r="DO39" s="59" t="str">
        <f t="shared" si="47"/>
        <v>C</v>
      </c>
      <c r="DP39" s="59" t="str">
        <f t="shared" si="48"/>
        <v>Credit</v>
      </c>
      <c r="DQ39" s="3">
        <v>37</v>
      </c>
      <c r="DR39" s="161" t="s">
        <v>151</v>
      </c>
      <c r="DS39" s="145">
        <v>9</v>
      </c>
      <c r="DT39" s="143">
        <v>4</v>
      </c>
      <c r="DU39" s="143">
        <v>10</v>
      </c>
      <c r="DV39" s="143">
        <v>9</v>
      </c>
      <c r="DW39" s="102">
        <f t="shared" si="49"/>
        <v>32</v>
      </c>
      <c r="DX39" s="143">
        <v>32</v>
      </c>
      <c r="DY39" s="102">
        <f t="shared" si="50"/>
        <v>64</v>
      </c>
      <c r="DZ39" s="102">
        <f t="shared" si="51"/>
        <v>20</v>
      </c>
      <c r="EA39" s="102" t="str">
        <f t="shared" si="52"/>
        <v>C</v>
      </c>
      <c r="EB39" s="102" t="str">
        <f t="shared" si="53"/>
        <v>Credit</v>
      </c>
      <c r="EC39" s="3">
        <v>37</v>
      </c>
      <c r="ED39" s="75"/>
      <c r="EE39" s="145">
        <v>8</v>
      </c>
      <c r="EF39" s="143">
        <v>1</v>
      </c>
      <c r="EG39" s="143">
        <v>9</v>
      </c>
      <c r="EH39" s="143">
        <v>6</v>
      </c>
      <c r="EI39" s="75">
        <f t="shared" si="54"/>
        <v>24</v>
      </c>
      <c r="EJ39" s="143">
        <v>21</v>
      </c>
      <c r="EK39" s="75">
        <f t="shared" si="94"/>
        <v>45</v>
      </c>
      <c r="EL39" s="75">
        <f t="shared" si="55"/>
        <v>36</v>
      </c>
      <c r="EM39" s="75" t="str">
        <f t="shared" si="56"/>
        <v>P</v>
      </c>
      <c r="EN39" s="75" t="str">
        <f t="shared" si="57"/>
        <v>Pass</v>
      </c>
      <c r="EO39" s="3">
        <v>37</v>
      </c>
      <c r="EP39" s="161" t="s">
        <v>151</v>
      </c>
      <c r="EQ39" s="3">
        <v>9</v>
      </c>
      <c r="ER39" s="147">
        <v>2</v>
      </c>
      <c r="ES39" s="147">
        <v>9</v>
      </c>
      <c r="ET39" s="147">
        <v>9</v>
      </c>
      <c r="EU39" s="98">
        <f t="shared" si="58"/>
        <v>29</v>
      </c>
      <c r="EV39" s="147">
        <v>16</v>
      </c>
      <c r="EW39" s="98">
        <f t="shared" si="59"/>
        <v>45</v>
      </c>
      <c r="EX39" s="98">
        <f t="shared" si="60"/>
        <v>25</v>
      </c>
      <c r="EY39" s="98" t="str">
        <f t="shared" si="61"/>
        <v>P</v>
      </c>
      <c r="EZ39" s="98" t="str">
        <f t="shared" si="62"/>
        <v>Pass</v>
      </c>
      <c r="FA39" s="3">
        <v>37</v>
      </c>
      <c r="FB39" s="113"/>
      <c r="FC39" s="145">
        <v>10</v>
      </c>
      <c r="FD39" s="143">
        <v>10</v>
      </c>
      <c r="FE39" s="143">
        <v>7</v>
      </c>
      <c r="FF39" s="143">
        <v>10</v>
      </c>
      <c r="FG39" s="113">
        <f t="shared" si="63"/>
        <v>37</v>
      </c>
      <c r="FH39" s="143">
        <v>26</v>
      </c>
      <c r="FI39" s="113">
        <f t="shared" si="64"/>
        <v>63</v>
      </c>
      <c r="FJ39" s="113">
        <f t="shared" si="65"/>
        <v>38</v>
      </c>
      <c r="FK39" s="113" t="str">
        <f t="shared" si="66"/>
        <v>C</v>
      </c>
      <c r="FL39" s="113" t="str">
        <f t="shared" si="67"/>
        <v>Credit</v>
      </c>
      <c r="FM39" s="3">
        <v>37</v>
      </c>
      <c r="FN39" s="53"/>
      <c r="FO39" s="145">
        <v>10</v>
      </c>
      <c r="FP39" s="143">
        <v>7</v>
      </c>
      <c r="FQ39" s="143">
        <v>5</v>
      </c>
      <c r="FR39" s="143">
        <v>5</v>
      </c>
      <c r="FS39" s="53">
        <f t="shared" si="68"/>
        <v>27</v>
      </c>
      <c r="FT39" s="143">
        <v>34</v>
      </c>
      <c r="FU39" s="53">
        <f t="shared" si="69"/>
        <v>61</v>
      </c>
      <c r="FV39" s="53">
        <f t="shared" si="70"/>
        <v>33</v>
      </c>
      <c r="FW39" s="53" t="str">
        <f t="shared" si="71"/>
        <v>C</v>
      </c>
      <c r="FX39" s="53" t="str">
        <f t="shared" si="72"/>
        <v>Credit</v>
      </c>
      <c r="FY39" s="3">
        <v>37</v>
      </c>
      <c r="FZ39" s="80"/>
      <c r="GA39" s="80"/>
      <c r="GB39" s="80"/>
      <c r="GC39" s="80"/>
      <c r="GD39" s="80"/>
      <c r="GE39" s="80">
        <f t="shared" si="73"/>
        <v>0</v>
      </c>
      <c r="GF39" s="80"/>
      <c r="GG39" s="80">
        <f t="shared" si="74"/>
        <v>0</v>
      </c>
      <c r="GH39" s="80" t="str">
        <f t="shared" si="75"/>
        <v/>
      </c>
      <c r="GI39" s="80" t="str">
        <f t="shared" si="76"/>
        <v/>
      </c>
      <c r="GJ39" s="80" t="str">
        <f t="shared" si="77"/>
        <v/>
      </c>
      <c r="GK39" s="3">
        <v>37</v>
      </c>
      <c r="GL39" s="161" t="s">
        <v>151</v>
      </c>
      <c r="GM39" s="145">
        <v>5</v>
      </c>
      <c r="GN39" s="143">
        <v>3</v>
      </c>
      <c r="GO39" s="143">
        <v>10</v>
      </c>
      <c r="GP39" s="143">
        <v>2</v>
      </c>
      <c r="GQ39" s="113">
        <f t="shared" si="78"/>
        <v>20</v>
      </c>
      <c r="GR39" s="143">
        <v>26</v>
      </c>
      <c r="GS39" s="113">
        <f t="shared" si="79"/>
        <v>46</v>
      </c>
      <c r="GT39" s="113">
        <f t="shared" si="80"/>
        <v>36</v>
      </c>
      <c r="GU39" s="113" t="str">
        <f t="shared" si="81"/>
        <v>P</v>
      </c>
      <c r="GV39" s="113" t="str">
        <f t="shared" si="82"/>
        <v>Pass</v>
      </c>
      <c r="GW39" s="3">
        <v>37</v>
      </c>
      <c r="GX39" s="107"/>
      <c r="GY39" s="145">
        <v>8</v>
      </c>
      <c r="GZ39" s="143">
        <v>10</v>
      </c>
      <c r="HA39" s="143">
        <v>5</v>
      </c>
      <c r="HB39" s="143">
        <v>5</v>
      </c>
      <c r="HC39" s="107">
        <f t="shared" si="83"/>
        <v>28</v>
      </c>
      <c r="HD39" s="143">
        <v>39</v>
      </c>
      <c r="HE39" s="107">
        <f t="shared" si="84"/>
        <v>67</v>
      </c>
      <c r="HF39" s="107">
        <f t="shared" si="85"/>
        <v>22</v>
      </c>
      <c r="HG39" s="107" t="str">
        <f t="shared" si="86"/>
        <v>C</v>
      </c>
      <c r="HH39" s="107" t="str">
        <f t="shared" si="87"/>
        <v>Credit</v>
      </c>
    </row>
    <row r="40" spans="1:216" ht="18.75">
      <c r="A40" s="185">
        <v>38</v>
      </c>
      <c r="B40" s="162" t="s">
        <v>152</v>
      </c>
      <c r="C40" s="130">
        <v>4</v>
      </c>
      <c r="D40" s="131">
        <v>7</v>
      </c>
      <c r="E40" s="131">
        <v>9</v>
      </c>
      <c r="F40" s="131">
        <v>10</v>
      </c>
      <c r="G40" s="53">
        <f t="shared" si="92"/>
        <v>30</v>
      </c>
      <c r="H40" s="131">
        <v>31</v>
      </c>
      <c r="I40" s="53">
        <f t="shared" si="93"/>
        <v>61</v>
      </c>
      <c r="J40" s="53">
        <f t="shared" si="3"/>
        <v>27</v>
      </c>
      <c r="K40" s="53" t="str">
        <f t="shared" si="4"/>
        <v>C</v>
      </c>
      <c r="L40" s="53" t="str">
        <f t="shared" si="5"/>
        <v>Credit</v>
      </c>
      <c r="M40" s="44">
        <v>38</v>
      </c>
      <c r="N40" s="59"/>
      <c r="O40" s="135">
        <v>5</v>
      </c>
      <c r="P40" s="136"/>
      <c r="Q40" s="136">
        <v>10</v>
      </c>
      <c r="R40" s="136">
        <v>10</v>
      </c>
      <c r="S40" s="59">
        <f t="shared" si="90"/>
        <v>25</v>
      </c>
      <c r="T40" s="136">
        <v>29</v>
      </c>
      <c r="U40" s="59">
        <f t="shared" si="7"/>
        <v>54</v>
      </c>
      <c r="V40" s="59">
        <f t="shared" si="8"/>
        <v>4</v>
      </c>
      <c r="W40" s="59" t="str">
        <f t="shared" si="9"/>
        <v>C</v>
      </c>
      <c r="X40" s="59" t="str">
        <f t="shared" si="10"/>
        <v>Credit</v>
      </c>
      <c r="Y40" s="3">
        <v>38</v>
      </c>
      <c r="Z40" s="80"/>
      <c r="AA40" s="135">
        <v>10</v>
      </c>
      <c r="AB40" s="136">
        <v>9</v>
      </c>
      <c r="AC40" s="136">
        <v>6</v>
      </c>
      <c r="AD40" s="136">
        <v>9</v>
      </c>
      <c r="AE40" s="80">
        <f t="shared" si="91"/>
        <v>34</v>
      </c>
      <c r="AF40" s="136">
        <v>38</v>
      </c>
      <c r="AG40" s="80">
        <f t="shared" si="11"/>
        <v>72</v>
      </c>
      <c r="AH40" s="80">
        <f t="shared" si="12"/>
        <v>8</v>
      </c>
      <c r="AI40" s="80" t="str">
        <f t="shared" si="13"/>
        <v>A</v>
      </c>
      <c r="AJ40" s="80" t="str">
        <f t="shared" si="14"/>
        <v>Excellent</v>
      </c>
      <c r="AK40" s="3">
        <v>38</v>
      </c>
      <c r="AL40" s="162" t="s">
        <v>152</v>
      </c>
      <c r="AM40" s="135">
        <v>10</v>
      </c>
      <c r="AN40" s="136">
        <v>7</v>
      </c>
      <c r="AO40" s="136">
        <v>10</v>
      </c>
      <c r="AP40" s="136">
        <v>10</v>
      </c>
      <c r="AQ40" s="47">
        <f t="shared" si="15"/>
        <v>37</v>
      </c>
      <c r="AR40" s="136">
        <v>30</v>
      </c>
      <c r="AS40" s="47">
        <f t="shared" si="16"/>
        <v>67</v>
      </c>
      <c r="AT40" s="47">
        <f t="shared" si="17"/>
        <v>8</v>
      </c>
      <c r="AU40" s="47" t="str">
        <f t="shared" si="18"/>
        <v>C</v>
      </c>
      <c r="AV40" s="47" t="str">
        <f t="shared" si="19"/>
        <v>Credit</v>
      </c>
      <c r="AW40" s="3">
        <v>38</v>
      </c>
      <c r="AX40" s="162" t="s">
        <v>152</v>
      </c>
      <c r="AY40" s="130">
        <v>9</v>
      </c>
      <c r="AZ40" s="131">
        <v>10</v>
      </c>
      <c r="BA40" s="131">
        <v>7</v>
      </c>
      <c r="BB40" s="131">
        <v>8</v>
      </c>
      <c r="BC40" s="85">
        <f t="shared" si="20"/>
        <v>34</v>
      </c>
      <c r="BD40" s="131">
        <v>41</v>
      </c>
      <c r="BE40" s="85">
        <f t="shared" si="21"/>
        <v>75</v>
      </c>
      <c r="BF40" s="85">
        <f t="shared" si="22"/>
        <v>15</v>
      </c>
      <c r="BG40" s="85" t="str">
        <f t="shared" si="23"/>
        <v>A</v>
      </c>
      <c r="BH40" s="85" t="str">
        <f t="shared" si="24"/>
        <v>Excellent</v>
      </c>
      <c r="BI40" s="3">
        <v>38</v>
      </c>
      <c r="BJ40" s="90"/>
      <c r="BK40" s="167">
        <v>9</v>
      </c>
      <c r="BL40" s="168">
        <v>8</v>
      </c>
      <c r="BM40" s="168">
        <v>10</v>
      </c>
      <c r="BN40" s="168">
        <v>10</v>
      </c>
      <c r="BO40" s="90">
        <f t="shared" si="25"/>
        <v>37</v>
      </c>
      <c r="BP40" s="173">
        <v>27</v>
      </c>
      <c r="BQ40" s="90">
        <f t="shared" si="26"/>
        <v>64</v>
      </c>
      <c r="BR40" s="90">
        <f t="shared" si="27"/>
        <v>7</v>
      </c>
      <c r="BS40" s="90" t="str">
        <f t="shared" si="28"/>
        <v>C</v>
      </c>
      <c r="BT40" s="90" t="str">
        <f t="shared" si="29"/>
        <v>Credit</v>
      </c>
      <c r="BU40" s="3">
        <v>38</v>
      </c>
      <c r="BV40" s="162" t="s">
        <v>152</v>
      </c>
      <c r="BW40" s="145">
        <v>8</v>
      </c>
      <c r="BX40" s="143">
        <v>7</v>
      </c>
      <c r="BY40" s="143">
        <v>10</v>
      </c>
      <c r="BZ40" s="143">
        <v>9</v>
      </c>
      <c r="CA40" s="94">
        <f t="shared" si="30"/>
        <v>34</v>
      </c>
      <c r="CB40" s="143">
        <v>37</v>
      </c>
      <c r="CC40" s="94">
        <f t="shared" si="31"/>
        <v>71</v>
      </c>
      <c r="CD40" s="94">
        <f t="shared" si="32"/>
        <v>7</v>
      </c>
      <c r="CE40" s="94" t="str">
        <f t="shared" si="33"/>
        <v>A</v>
      </c>
      <c r="CF40" s="94" t="str">
        <f t="shared" si="34"/>
        <v>Excellent</v>
      </c>
      <c r="CG40" s="3">
        <v>38</v>
      </c>
      <c r="CH40" s="162" t="s">
        <v>152</v>
      </c>
      <c r="CI40" s="145">
        <v>10</v>
      </c>
      <c r="CJ40" s="143">
        <v>8</v>
      </c>
      <c r="CK40" s="143">
        <v>10</v>
      </c>
      <c r="CL40" s="143">
        <v>8</v>
      </c>
      <c r="CM40" s="66">
        <f t="shared" si="35"/>
        <v>36</v>
      </c>
      <c r="CN40" s="143">
        <v>37</v>
      </c>
      <c r="CO40" s="66">
        <f t="shared" si="89"/>
        <v>73</v>
      </c>
      <c r="CP40" s="66">
        <f t="shared" si="36"/>
        <v>11</v>
      </c>
      <c r="CQ40" s="66" t="str">
        <f t="shared" si="37"/>
        <v>A</v>
      </c>
      <c r="CR40" s="66" t="str">
        <f t="shared" si="38"/>
        <v>Excellent</v>
      </c>
      <c r="CS40" s="3">
        <v>38</v>
      </c>
      <c r="CT40" s="162" t="s">
        <v>152</v>
      </c>
      <c r="CU40" s="148">
        <v>7</v>
      </c>
      <c r="CV40" s="149">
        <v>9</v>
      </c>
      <c r="CW40" s="149">
        <v>2</v>
      </c>
      <c r="CX40" s="149">
        <v>10</v>
      </c>
      <c r="CY40" s="70">
        <f t="shared" si="39"/>
        <v>28</v>
      </c>
      <c r="CZ40" s="149">
        <v>41</v>
      </c>
      <c r="DA40" s="70">
        <f t="shared" si="40"/>
        <v>69</v>
      </c>
      <c r="DB40" s="70">
        <f t="shared" si="41"/>
        <v>14</v>
      </c>
      <c r="DC40" s="70" t="str">
        <f t="shared" si="42"/>
        <v>C</v>
      </c>
      <c r="DD40" s="70" t="str">
        <f t="shared" si="43"/>
        <v>Credit</v>
      </c>
      <c r="DE40" s="3">
        <v>38</v>
      </c>
      <c r="DF40" s="59"/>
      <c r="DG40" s="145">
        <v>10</v>
      </c>
      <c r="DH40" s="143">
        <v>10</v>
      </c>
      <c r="DI40" s="143">
        <v>8</v>
      </c>
      <c r="DJ40" s="143">
        <v>10</v>
      </c>
      <c r="DK40" s="59">
        <f t="shared" si="44"/>
        <v>38</v>
      </c>
      <c r="DL40" s="143">
        <v>44</v>
      </c>
      <c r="DM40" s="59">
        <f t="shared" si="45"/>
        <v>82</v>
      </c>
      <c r="DN40" s="59">
        <f t="shared" si="46"/>
        <v>3</v>
      </c>
      <c r="DO40" s="59" t="str">
        <f t="shared" si="47"/>
        <v>A</v>
      </c>
      <c r="DP40" s="59" t="str">
        <f t="shared" si="48"/>
        <v>Excellent</v>
      </c>
      <c r="DQ40" s="3">
        <v>38</v>
      </c>
      <c r="DR40" s="162" t="s">
        <v>152</v>
      </c>
      <c r="DS40" s="145">
        <v>10</v>
      </c>
      <c r="DT40" s="143">
        <v>8</v>
      </c>
      <c r="DU40" s="143">
        <v>10</v>
      </c>
      <c r="DV40" s="143">
        <v>8</v>
      </c>
      <c r="DW40" s="102">
        <f t="shared" si="49"/>
        <v>36</v>
      </c>
      <c r="DX40" s="143">
        <v>35</v>
      </c>
      <c r="DY40" s="102">
        <f t="shared" si="50"/>
        <v>71</v>
      </c>
      <c r="DZ40" s="102">
        <f t="shared" si="51"/>
        <v>6</v>
      </c>
      <c r="EA40" s="102" t="str">
        <f t="shared" si="52"/>
        <v>A</v>
      </c>
      <c r="EB40" s="102" t="str">
        <f t="shared" si="53"/>
        <v>Excellent</v>
      </c>
      <c r="EC40" s="3">
        <v>38</v>
      </c>
      <c r="ED40" s="75"/>
      <c r="EE40" s="145">
        <v>9</v>
      </c>
      <c r="EF40" s="143">
        <v>8</v>
      </c>
      <c r="EG40" s="143">
        <v>10</v>
      </c>
      <c r="EH40" s="143">
        <v>8</v>
      </c>
      <c r="EI40" s="75">
        <f t="shared" si="54"/>
        <v>35</v>
      </c>
      <c r="EJ40" s="143">
        <v>23</v>
      </c>
      <c r="EK40" s="75">
        <f t="shared" si="94"/>
        <v>58</v>
      </c>
      <c r="EL40" s="75">
        <f t="shared" si="55"/>
        <v>8</v>
      </c>
      <c r="EM40" s="75" t="str">
        <f t="shared" si="56"/>
        <v>C</v>
      </c>
      <c r="EN40" s="75" t="str">
        <f t="shared" si="57"/>
        <v>Credit</v>
      </c>
      <c r="EO40" s="3">
        <v>38</v>
      </c>
      <c r="EP40" s="162" t="s">
        <v>152</v>
      </c>
      <c r="EQ40" s="3">
        <v>9</v>
      </c>
      <c r="ER40" s="147">
        <v>7</v>
      </c>
      <c r="ES40" s="147">
        <v>8</v>
      </c>
      <c r="ET40" s="147">
        <v>9</v>
      </c>
      <c r="EU40" s="98">
        <f t="shared" si="58"/>
        <v>33</v>
      </c>
      <c r="EV40" s="154">
        <v>18</v>
      </c>
      <c r="EW40" s="98">
        <f t="shared" si="59"/>
        <v>51</v>
      </c>
      <c r="EX40" s="98">
        <f t="shared" si="60"/>
        <v>15</v>
      </c>
      <c r="EY40" s="98" t="str">
        <f t="shared" si="61"/>
        <v>C</v>
      </c>
      <c r="EZ40" s="98" t="str">
        <f t="shared" si="62"/>
        <v>Credit</v>
      </c>
      <c r="FA40" s="3">
        <v>38</v>
      </c>
      <c r="FB40" s="113"/>
      <c r="FC40" s="145">
        <v>9</v>
      </c>
      <c r="FD40" s="143">
        <v>5</v>
      </c>
      <c r="FE40" s="143">
        <v>8</v>
      </c>
      <c r="FF40" s="143">
        <v>9</v>
      </c>
      <c r="FG40" s="113">
        <f t="shared" si="63"/>
        <v>31</v>
      </c>
      <c r="FH40" s="143">
        <v>46</v>
      </c>
      <c r="FI40" s="113">
        <f t="shared" si="64"/>
        <v>77</v>
      </c>
      <c r="FJ40" s="113">
        <f t="shared" si="65"/>
        <v>12</v>
      </c>
      <c r="FK40" s="113" t="str">
        <f t="shared" si="66"/>
        <v>A</v>
      </c>
      <c r="FL40" s="113" t="str">
        <f t="shared" si="67"/>
        <v>Excellent</v>
      </c>
      <c r="FM40" s="3">
        <v>38</v>
      </c>
      <c r="FN40" s="53"/>
      <c r="FO40" s="145">
        <v>10</v>
      </c>
      <c r="FP40" s="143">
        <v>9</v>
      </c>
      <c r="FQ40" s="143">
        <v>9</v>
      </c>
      <c r="FR40" s="143">
        <v>4</v>
      </c>
      <c r="FS40" s="53">
        <f t="shared" si="68"/>
        <v>32</v>
      </c>
      <c r="FT40" s="143">
        <v>40</v>
      </c>
      <c r="FU40" s="53">
        <f t="shared" si="69"/>
        <v>72</v>
      </c>
      <c r="FV40" s="53">
        <f t="shared" si="70"/>
        <v>14</v>
      </c>
      <c r="FW40" s="53" t="str">
        <f t="shared" si="71"/>
        <v>A</v>
      </c>
      <c r="FX40" s="53" t="str">
        <f t="shared" si="72"/>
        <v>Excellent</v>
      </c>
      <c r="FY40" s="3">
        <v>38</v>
      </c>
      <c r="FZ40" s="80"/>
      <c r="GA40" s="80"/>
      <c r="GB40" s="80"/>
      <c r="GC40" s="80"/>
      <c r="GD40" s="80"/>
      <c r="GE40" s="80">
        <f t="shared" si="73"/>
        <v>0</v>
      </c>
      <c r="GF40" s="80"/>
      <c r="GG40" s="80">
        <f t="shared" si="74"/>
        <v>0</v>
      </c>
      <c r="GH40" s="80" t="str">
        <f t="shared" si="75"/>
        <v/>
      </c>
      <c r="GI40" s="80" t="str">
        <f t="shared" si="76"/>
        <v/>
      </c>
      <c r="GJ40" s="80" t="str">
        <f t="shared" si="77"/>
        <v/>
      </c>
      <c r="GK40" s="3">
        <v>38</v>
      </c>
      <c r="GL40" s="162" t="s">
        <v>152</v>
      </c>
      <c r="GM40" s="145">
        <v>8</v>
      </c>
      <c r="GN40" s="143">
        <v>8</v>
      </c>
      <c r="GO40" s="143">
        <v>10</v>
      </c>
      <c r="GP40" s="143">
        <v>8</v>
      </c>
      <c r="GQ40" s="113">
        <f t="shared" si="78"/>
        <v>34</v>
      </c>
      <c r="GR40" s="143">
        <v>28</v>
      </c>
      <c r="GS40" s="113">
        <f t="shared" si="79"/>
        <v>62</v>
      </c>
      <c r="GT40" s="113">
        <f t="shared" si="80"/>
        <v>14</v>
      </c>
      <c r="GU40" s="113" t="str">
        <f t="shared" si="81"/>
        <v>C</v>
      </c>
      <c r="GV40" s="113" t="str">
        <f t="shared" si="82"/>
        <v>Credit</v>
      </c>
      <c r="GW40" s="3">
        <v>38</v>
      </c>
      <c r="GX40" s="107"/>
      <c r="GY40" s="145"/>
      <c r="GZ40" s="143"/>
      <c r="HA40" s="143"/>
      <c r="HB40" s="143"/>
      <c r="HC40" s="107">
        <f t="shared" si="83"/>
        <v>0</v>
      </c>
      <c r="HD40" s="143"/>
      <c r="HE40" s="107">
        <f t="shared" si="84"/>
        <v>0</v>
      </c>
      <c r="HF40" s="107" t="str">
        <f t="shared" si="85"/>
        <v/>
      </c>
      <c r="HG40" s="107" t="str">
        <f t="shared" si="86"/>
        <v/>
      </c>
      <c r="HH40" s="107" t="str">
        <f t="shared" si="87"/>
        <v/>
      </c>
    </row>
    <row r="41" spans="1:216" ht="18.75">
      <c r="A41" s="186">
        <v>39</v>
      </c>
      <c r="B41" s="161" t="s">
        <v>153</v>
      </c>
      <c r="C41" s="130">
        <v>8</v>
      </c>
      <c r="D41" s="131">
        <v>0</v>
      </c>
      <c r="E41" s="131">
        <v>0</v>
      </c>
      <c r="F41" s="131">
        <v>9</v>
      </c>
      <c r="G41" s="53">
        <f t="shared" si="92"/>
        <v>17</v>
      </c>
      <c r="H41" s="131">
        <v>32</v>
      </c>
      <c r="I41" s="53">
        <f t="shared" si="93"/>
        <v>49</v>
      </c>
      <c r="J41" s="53">
        <f t="shared" si="3"/>
        <v>41</v>
      </c>
      <c r="K41" s="53" t="str">
        <f t="shared" si="4"/>
        <v>P</v>
      </c>
      <c r="L41" s="53" t="str">
        <f t="shared" si="5"/>
        <v>Pass</v>
      </c>
      <c r="M41" s="44">
        <v>39</v>
      </c>
      <c r="N41" s="59"/>
      <c r="O41" s="135">
        <v>6</v>
      </c>
      <c r="P41" s="136">
        <v>4</v>
      </c>
      <c r="Q41" s="136">
        <v>7</v>
      </c>
      <c r="R41" s="136">
        <v>10</v>
      </c>
      <c r="S41" s="59">
        <f t="shared" si="90"/>
        <v>27</v>
      </c>
      <c r="T41" s="136">
        <v>23</v>
      </c>
      <c r="U41" s="59">
        <f t="shared" si="7"/>
        <v>50</v>
      </c>
      <c r="V41" s="59">
        <f t="shared" si="8"/>
        <v>12</v>
      </c>
      <c r="W41" s="59" t="str">
        <f t="shared" si="9"/>
        <v>C</v>
      </c>
      <c r="X41" s="59" t="str">
        <f t="shared" si="10"/>
        <v>Credit</v>
      </c>
      <c r="Y41" s="3">
        <v>39</v>
      </c>
      <c r="Z41" s="80"/>
      <c r="AA41" s="135">
        <v>9</v>
      </c>
      <c r="AB41" s="136">
        <v>9</v>
      </c>
      <c r="AC41" s="136">
        <v>7</v>
      </c>
      <c r="AD41" s="136">
        <v>10</v>
      </c>
      <c r="AE41" s="80">
        <f t="shared" si="91"/>
        <v>35</v>
      </c>
      <c r="AF41" s="136">
        <v>44</v>
      </c>
      <c r="AG41" s="80">
        <f t="shared" si="11"/>
        <v>79</v>
      </c>
      <c r="AH41" s="80">
        <f t="shared" si="12"/>
        <v>3</v>
      </c>
      <c r="AI41" s="80" t="str">
        <f t="shared" si="13"/>
        <v>A</v>
      </c>
      <c r="AJ41" s="80" t="str">
        <f t="shared" si="14"/>
        <v>Excellent</v>
      </c>
      <c r="AK41" s="3">
        <v>39</v>
      </c>
      <c r="AL41" s="161" t="s">
        <v>153</v>
      </c>
      <c r="AM41" s="135"/>
      <c r="AN41" s="136"/>
      <c r="AO41" s="136"/>
      <c r="AP41" s="136"/>
      <c r="AQ41" s="47">
        <f t="shared" si="15"/>
        <v>0</v>
      </c>
      <c r="AR41" s="136"/>
      <c r="AS41" s="47">
        <f t="shared" si="16"/>
        <v>0</v>
      </c>
      <c r="AT41" s="47" t="str">
        <f t="shared" si="17"/>
        <v/>
      </c>
      <c r="AU41" s="47" t="str">
        <f t="shared" si="18"/>
        <v/>
      </c>
      <c r="AV41" s="47" t="str">
        <f t="shared" si="19"/>
        <v/>
      </c>
      <c r="AW41" s="3">
        <v>39</v>
      </c>
      <c r="AX41" s="161" t="s">
        <v>153</v>
      </c>
      <c r="AY41" s="130">
        <v>9</v>
      </c>
      <c r="AZ41" s="131">
        <v>8</v>
      </c>
      <c r="BA41" s="131">
        <v>10</v>
      </c>
      <c r="BB41" s="131">
        <v>10</v>
      </c>
      <c r="BC41" s="85">
        <f t="shared" si="20"/>
        <v>37</v>
      </c>
      <c r="BD41" s="131">
        <v>39</v>
      </c>
      <c r="BE41" s="85">
        <f t="shared" si="21"/>
        <v>76</v>
      </c>
      <c r="BF41" s="85">
        <f t="shared" si="22"/>
        <v>12</v>
      </c>
      <c r="BG41" s="85" t="str">
        <f t="shared" si="23"/>
        <v>A</v>
      </c>
      <c r="BH41" s="85" t="str">
        <f t="shared" si="24"/>
        <v>Excellent</v>
      </c>
      <c r="BI41" s="3">
        <v>39</v>
      </c>
      <c r="BJ41" s="90"/>
      <c r="BK41" s="167">
        <v>7</v>
      </c>
      <c r="BL41" s="168">
        <v>7</v>
      </c>
      <c r="BM41" s="168">
        <v>2</v>
      </c>
      <c r="BN41" s="168">
        <v>10</v>
      </c>
      <c r="BO41" s="90">
        <f t="shared" si="25"/>
        <v>26</v>
      </c>
      <c r="BP41" s="173">
        <v>29</v>
      </c>
      <c r="BQ41" s="90">
        <f t="shared" si="26"/>
        <v>55</v>
      </c>
      <c r="BR41" s="90">
        <f t="shared" si="27"/>
        <v>16</v>
      </c>
      <c r="BS41" s="90" t="str">
        <f t="shared" si="28"/>
        <v>C</v>
      </c>
      <c r="BT41" s="90" t="str">
        <f t="shared" si="29"/>
        <v>Credit</v>
      </c>
      <c r="BU41" s="3">
        <v>39</v>
      </c>
      <c r="BV41" s="161" t="s">
        <v>153</v>
      </c>
      <c r="BW41" s="145">
        <v>4</v>
      </c>
      <c r="BX41" s="143">
        <v>9</v>
      </c>
      <c r="BY41" s="143">
        <v>8</v>
      </c>
      <c r="BZ41" s="143">
        <v>9</v>
      </c>
      <c r="CA41" s="94">
        <f t="shared" si="30"/>
        <v>30</v>
      </c>
      <c r="CB41" s="143">
        <v>29</v>
      </c>
      <c r="CC41" s="94">
        <f t="shared" si="31"/>
        <v>59</v>
      </c>
      <c r="CD41" s="94">
        <f t="shared" si="32"/>
        <v>23</v>
      </c>
      <c r="CE41" s="94" t="str">
        <f t="shared" si="33"/>
        <v>C</v>
      </c>
      <c r="CF41" s="94" t="str">
        <f t="shared" si="34"/>
        <v>Credit</v>
      </c>
      <c r="CG41" s="3">
        <v>39</v>
      </c>
      <c r="CH41" s="161" t="s">
        <v>153</v>
      </c>
      <c r="CI41" s="145">
        <v>6</v>
      </c>
      <c r="CJ41" s="143">
        <v>5</v>
      </c>
      <c r="CK41" s="143">
        <v>8</v>
      </c>
      <c r="CL41" s="143">
        <v>8</v>
      </c>
      <c r="CM41" s="66">
        <f t="shared" si="35"/>
        <v>27</v>
      </c>
      <c r="CN41" s="143">
        <v>36</v>
      </c>
      <c r="CO41" s="66">
        <f t="shared" si="89"/>
        <v>63</v>
      </c>
      <c r="CP41" s="66">
        <f t="shared" si="36"/>
        <v>22</v>
      </c>
      <c r="CQ41" s="66" t="str">
        <f t="shared" si="37"/>
        <v>C</v>
      </c>
      <c r="CR41" s="66" t="str">
        <f t="shared" si="38"/>
        <v>Credit</v>
      </c>
      <c r="CS41" s="3">
        <v>39</v>
      </c>
      <c r="CT41" s="161" t="s">
        <v>153</v>
      </c>
      <c r="CU41" s="148">
        <v>5</v>
      </c>
      <c r="CV41" s="149">
        <v>8</v>
      </c>
      <c r="CW41" s="149">
        <v>8</v>
      </c>
      <c r="CX41" s="149">
        <v>10</v>
      </c>
      <c r="CY41" s="70">
        <f t="shared" si="39"/>
        <v>31</v>
      </c>
      <c r="CZ41" s="149">
        <v>35</v>
      </c>
      <c r="DA41" s="70">
        <f t="shared" si="40"/>
        <v>66</v>
      </c>
      <c r="DB41" s="70">
        <f t="shared" si="41"/>
        <v>18</v>
      </c>
      <c r="DC41" s="70" t="str">
        <f t="shared" si="42"/>
        <v>C</v>
      </c>
      <c r="DD41" s="70" t="str">
        <f t="shared" si="43"/>
        <v>Credit</v>
      </c>
      <c r="DE41" s="3">
        <v>39</v>
      </c>
      <c r="DF41" s="59"/>
      <c r="DG41" s="145">
        <v>10</v>
      </c>
      <c r="DH41" s="143">
        <v>9</v>
      </c>
      <c r="DI41" s="143">
        <v>8</v>
      </c>
      <c r="DJ41" s="143">
        <v>9</v>
      </c>
      <c r="DK41" s="59">
        <f t="shared" si="44"/>
        <v>36</v>
      </c>
      <c r="DL41" s="143">
        <v>41</v>
      </c>
      <c r="DM41" s="59">
        <f t="shared" si="45"/>
        <v>77</v>
      </c>
      <c r="DN41" s="59">
        <f t="shared" si="46"/>
        <v>8</v>
      </c>
      <c r="DO41" s="59" t="str">
        <f t="shared" si="47"/>
        <v>A</v>
      </c>
      <c r="DP41" s="59" t="str">
        <f t="shared" si="48"/>
        <v>Excellent</v>
      </c>
      <c r="DQ41" s="3">
        <v>39</v>
      </c>
      <c r="DR41" s="161" t="s">
        <v>153</v>
      </c>
      <c r="DS41" s="145">
        <v>7</v>
      </c>
      <c r="DT41" s="143"/>
      <c r="DU41" s="143">
        <v>8</v>
      </c>
      <c r="DV41" s="143">
        <v>9</v>
      </c>
      <c r="DW41" s="102">
        <f t="shared" si="49"/>
        <v>24</v>
      </c>
      <c r="DX41" s="143">
        <v>31</v>
      </c>
      <c r="DY41" s="102">
        <f t="shared" si="50"/>
        <v>55</v>
      </c>
      <c r="DZ41" s="102">
        <f t="shared" si="51"/>
        <v>35</v>
      </c>
      <c r="EA41" s="102" t="str">
        <f t="shared" si="52"/>
        <v>C</v>
      </c>
      <c r="EB41" s="102" t="str">
        <f t="shared" si="53"/>
        <v>Credit</v>
      </c>
      <c r="EC41" s="3">
        <v>39</v>
      </c>
      <c r="ED41" s="75"/>
      <c r="EE41" s="145">
        <v>6</v>
      </c>
      <c r="EF41" s="143">
        <v>2</v>
      </c>
      <c r="EG41" s="143">
        <v>9</v>
      </c>
      <c r="EH41" s="143">
        <v>5</v>
      </c>
      <c r="EI41" s="75">
        <f t="shared" si="54"/>
        <v>22</v>
      </c>
      <c r="EJ41" s="143">
        <v>16</v>
      </c>
      <c r="EK41" s="75">
        <f t="shared" si="94"/>
        <v>38</v>
      </c>
      <c r="EL41" s="75">
        <f t="shared" si="55"/>
        <v>46</v>
      </c>
      <c r="EM41" s="75" t="str">
        <f t="shared" si="56"/>
        <v>F</v>
      </c>
      <c r="EN41" s="75" t="str">
        <f t="shared" si="57"/>
        <v>Fail</v>
      </c>
      <c r="EO41" s="3">
        <v>39</v>
      </c>
      <c r="EP41" s="161" t="s">
        <v>153</v>
      </c>
      <c r="EQ41" s="3">
        <v>6</v>
      </c>
      <c r="ER41" s="3">
        <v>7</v>
      </c>
      <c r="ES41" s="3">
        <v>8</v>
      </c>
      <c r="ET41" s="3">
        <v>9</v>
      </c>
      <c r="EU41" s="98">
        <f t="shared" si="58"/>
        <v>30</v>
      </c>
      <c r="EV41" s="3">
        <v>20</v>
      </c>
      <c r="EW41" s="98">
        <f t="shared" si="59"/>
        <v>50</v>
      </c>
      <c r="EX41" s="98">
        <f t="shared" si="60"/>
        <v>16</v>
      </c>
      <c r="EY41" s="98" t="str">
        <f t="shared" si="61"/>
        <v>C</v>
      </c>
      <c r="EZ41" s="98" t="str">
        <f t="shared" si="62"/>
        <v>Credit</v>
      </c>
      <c r="FA41" s="3">
        <v>39</v>
      </c>
      <c r="FB41" s="113"/>
      <c r="FC41" s="145">
        <v>8</v>
      </c>
      <c r="FD41" s="143">
        <v>6</v>
      </c>
      <c r="FE41" s="143">
        <v>5</v>
      </c>
      <c r="FF41" s="143">
        <v>10</v>
      </c>
      <c r="FG41" s="113">
        <f t="shared" si="63"/>
        <v>29</v>
      </c>
      <c r="FH41" s="143">
        <v>39</v>
      </c>
      <c r="FI41" s="113">
        <f t="shared" si="64"/>
        <v>68</v>
      </c>
      <c r="FJ41" s="113">
        <f t="shared" si="65"/>
        <v>28</v>
      </c>
      <c r="FK41" s="113" t="str">
        <f t="shared" si="66"/>
        <v>C</v>
      </c>
      <c r="FL41" s="113" t="str">
        <f t="shared" si="67"/>
        <v>Credit</v>
      </c>
      <c r="FM41" s="3">
        <v>39</v>
      </c>
      <c r="FN41" s="53"/>
      <c r="FO41" s="145">
        <v>10</v>
      </c>
      <c r="FP41" s="143">
        <v>8</v>
      </c>
      <c r="FQ41" s="143">
        <v>10</v>
      </c>
      <c r="FR41" s="143">
        <v>3</v>
      </c>
      <c r="FS41" s="53">
        <f t="shared" si="68"/>
        <v>31</v>
      </c>
      <c r="FT41" s="143">
        <v>38</v>
      </c>
      <c r="FU41" s="53">
        <f t="shared" si="69"/>
        <v>69</v>
      </c>
      <c r="FV41" s="53">
        <f t="shared" si="70"/>
        <v>24</v>
      </c>
      <c r="FW41" s="53" t="str">
        <f t="shared" si="71"/>
        <v>C</v>
      </c>
      <c r="FX41" s="53" t="str">
        <f t="shared" si="72"/>
        <v>Credit</v>
      </c>
      <c r="FY41" s="3">
        <v>39</v>
      </c>
      <c r="FZ41" s="80"/>
      <c r="GA41" s="80"/>
      <c r="GB41" s="80"/>
      <c r="GC41" s="80"/>
      <c r="GD41" s="80"/>
      <c r="GE41" s="80">
        <f t="shared" si="73"/>
        <v>0</v>
      </c>
      <c r="GF41" s="80"/>
      <c r="GG41" s="80">
        <f t="shared" si="74"/>
        <v>0</v>
      </c>
      <c r="GH41" s="80" t="str">
        <f t="shared" si="75"/>
        <v/>
      </c>
      <c r="GI41" s="80" t="str">
        <f t="shared" si="76"/>
        <v/>
      </c>
      <c r="GJ41" s="80" t="str">
        <f t="shared" si="77"/>
        <v/>
      </c>
      <c r="GK41" s="3">
        <v>39</v>
      </c>
      <c r="GL41" s="161" t="s">
        <v>153</v>
      </c>
      <c r="GM41" s="145">
        <v>6</v>
      </c>
      <c r="GN41" s="143">
        <v>3</v>
      </c>
      <c r="GO41" s="143">
        <v>10</v>
      </c>
      <c r="GP41" s="143">
        <v>8</v>
      </c>
      <c r="GQ41" s="113">
        <f t="shared" si="78"/>
        <v>27</v>
      </c>
      <c r="GR41" s="143">
        <v>30</v>
      </c>
      <c r="GS41" s="113">
        <f t="shared" si="79"/>
        <v>57</v>
      </c>
      <c r="GT41" s="113">
        <f t="shared" si="80"/>
        <v>20</v>
      </c>
      <c r="GU41" s="113" t="str">
        <f t="shared" si="81"/>
        <v>C</v>
      </c>
      <c r="GV41" s="113" t="str">
        <f t="shared" si="82"/>
        <v>Credit</v>
      </c>
      <c r="GW41" s="3">
        <v>39</v>
      </c>
      <c r="GX41" s="107"/>
      <c r="GY41" s="145">
        <v>10</v>
      </c>
      <c r="GZ41" s="143">
        <v>7</v>
      </c>
      <c r="HA41" s="143">
        <v>10</v>
      </c>
      <c r="HB41" s="143">
        <v>10</v>
      </c>
      <c r="HC41" s="107">
        <f t="shared" si="83"/>
        <v>37</v>
      </c>
      <c r="HD41" s="143">
        <v>47</v>
      </c>
      <c r="HE41" s="107">
        <f t="shared" si="84"/>
        <v>84</v>
      </c>
      <c r="HF41" s="107">
        <f t="shared" si="85"/>
        <v>7</v>
      </c>
      <c r="HG41" s="107" t="str">
        <f t="shared" si="86"/>
        <v>A</v>
      </c>
      <c r="HH41" s="107" t="str">
        <f t="shared" si="87"/>
        <v>Excellent</v>
      </c>
    </row>
    <row r="42" spans="1:216" ht="18.75">
      <c r="A42" s="185">
        <v>40</v>
      </c>
      <c r="B42" s="163" t="s">
        <v>154</v>
      </c>
      <c r="C42" s="130">
        <v>8</v>
      </c>
      <c r="D42" s="131">
        <v>6</v>
      </c>
      <c r="E42" s="131">
        <v>9</v>
      </c>
      <c r="F42" s="131">
        <v>8</v>
      </c>
      <c r="G42" s="53">
        <f t="shared" si="92"/>
        <v>31</v>
      </c>
      <c r="H42" s="131">
        <v>31</v>
      </c>
      <c r="I42" s="53">
        <f t="shared" si="93"/>
        <v>62</v>
      </c>
      <c r="J42" s="53">
        <f t="shared" si="3"/>
        <v>25</v>
      </c>
      <c r="K42" s="53" t="str">
        <f t="shared" si="4"/>
        <v>C</v>
      </c>
      <c r="L42" s="53" t="str">
        <f t="shared" si="5"/>
        <v>Credit</v>
      </c>
      <c r="M42" s="44">
        <v>40</v>
      </c>
      <c r="N42" s="59"/>
      <c r="O42" s="135">
        <v>1</v>
      </c>
      <c r="P42" s="136">
        <v>4</v>
      </c>
      <c r="Q42" s="136">
        <v>5</v>
      </c>
      <c r="R42" s="136">
        <v>10</v>
      </c>
      <c r="S42" s="59">
        <f t="shared" si="90"/>
        <v>20</v>
      </c>
      <c r="T42" s="136">
        <v>21</v>
      </c>
      <c r="U42" s="59">
        <f t="shared" si="7"/>
        <v>41</v>
      </c>
      <c r="V42" s="59">
        <f t="shared" si="8"/>
        <v>28</v>
      </c>
      <c r="W42" s="59" t="str">
        <f t="shared" si="9"/>
        <v>F</v>
      </c>
      <c r="X42" s="59" t="str">
        <f t="shared" si="10"/>
        <v>Fail</v>
      </c>
      <c r="Y42" s="3">
        <v>40</v>
      </c>
      <c r="Z42" s="80"/>
      <c r="AA42" s="135">
        <v>7</v>
      </c>
      <c r="AB42" s="136">
        <v>7</v>
      </c>
      <c r="AC42" s="136">
        <v>7</v>
      </c>
      <c r="AD42" s="136">
        <v>8</v>
      </c>
      <c r="AE42" s="80">
        <f t="shared" si="91"/>
        <v>29</v>
      </c>
      <c r="AF42" s="136">
        <v>31</v>
      </c>
      <c r="AG42" s="80">
        <f t="shared" si="11"/>
        <v>60</v>
      </c>
      <c r="AH42" s="80">
        <f t="shared" si="12"/>
        <v>27</v>
      </c>
      <c r="AI42" s="80" t="str">
        <f t="shared" si="13"/>
        <v>C</v>
      </c>
      <c r="AJ42" s="80" t="str">
        <f t="shared" si="14"/>
        <v>Credit</v>
      </c>
      <c r="AK42" s="3">
        <v>40</v>
      </c>
      <c r="AL42" s="163" t="s">
        <v>154</v>
      </c>
      <c r="AM42" s="135"/>
      <c r="AN42" s="136"/>
      <c r="AO42" s="136"/>
      <c r="AP42" s="136"/>
      <c r="AQ42" s="47">
        <f t="shared" si="15"/>
        <v>0</v>
      </c>
      <c r="AR42" s="136"/>
      <c r="AS42" s="47">
        <f t="shared" si="16"/>
        <v>0</v>
      </c>
      <c r="AT42" s="47" t="str">
        <f t="shared" si="17"/>
        <v/>
      </c>
      <c r="AU42" s="47" t="str">
        <f t="shared" si="18"/>
        <v/>
      </c>
      <c r="AV42" s="47" t="str">
        <f t="shared" si="19"/>
        <v/>
      </c>
      <c r="AW42" s="3">
        <v>40</v>
      </c>
      <c r="AX42" s="163" t="s">
        <v>154</v>
      </c>
      <c r="AY42" s="130">
        <v>10</v>
      </c>
      <c r="AZ42" s="131">
        <v>10</v>
      </c>
      <c r="BA42" s="131">
        <v>7</v>
      </c>
      <c r="BB42" s="131">
        <v>9</v>
      </c>
      <c r="BC42" s="85">
        <f t="shared" si="20"/>
        <v>36</v>
      </c>
      <c r="BD42" s="131">
        <v>34</v>
      </c>
      <c r="BE42" s="85">
        <f t="shared" si="21"/>
        <v>70</v>
      </c>
      <c r="BF42" s="85">
        <f t="shared" si="22"/>
        <v>21</v>
      </c>
      <c r="BG42" s="85" t="str">
        <f t="shared" si="23"/>
        <v>A</v>
      </c>
      <c r="BH42" s="85" t="str">
        <f t="shared" si="24"/>
        <v>Excellent</v>
      </c>
      <c r="BI42" s="3">
        <v>40</v>
      </c>
      <c r="BJ42" s="90"/>
      <c r="BK42" s="167">
        <v>8</v>
      </c>
      <c r="BL42" s="168">
        <v>8</v>
      </c>
      <c r="BM42" s="168">
        <v>2</v>
      </c>
      <c r="BN42" s="168">
        <v>10</v>
      </c>
      <c r="BO42" s="90">
        <f t="shared" si="25"/>
        <v>28</v>
      </c>
      <c r="BP42" s="173">
        <v>17</v>
      </c>
      <c r="BQ42" s="90">
        <f t="shared" si="26"/>
        <v>45</v>
      </c>
      <c r="BR42" s="90">
        <f t="shared" si="27"/>
        <v>27</v>
      </c>
      <c r="BS42" s="90" t="str">
        <f t="shared" si="28"/>
        <v>P</v>
      </c>
      <c r="BT42" s="90" t="str">
        <f t="shared" si="29"/>
        <v>Pass</v>
      </c>
      <c r="BU42" s="3">
        <v>40</v>
      </c>
      <c r="BV42" s="163" t="s">
        <v>154</v>
      </c>
      <c r="BW42" s="145">
        <v>7</v>
      </c>
      <c r="BX42" s="143">
        <v>2</v>
      </c>
      <c r="BY42" s="143">
        <v>9</v>
      </c>
      <c r="BZ42" s="143">
        <v>8</v>
      </c>
      <c r="CA42" s="94">
        <f t="shared" si="30"/>
        <v>26</v>
      </c>
      <c r="CB42" s="143">
        <v>29</v>
      </c>
      <c r="CC42" s="94">
        <f t="shared" si="31"/>
        <v>55</v>
      </c>
      <c r="CD42" s="94">
        <f t="shared" si="32"/>
        <v>31</v>
      </c>
      <c r="CE42" s="94" t="str">
        <f t="shared" si="33"/>
        <v>C</v>
      </c>
      <c r="CF42" s="94" t="str">
        <f t="shared" si="34"/>
        <v>Credit</v>
      </c>
      <c r="CG42" s="3">
        <v>40</v>
      </c>
      <c r="CH42" s="163" t="s">
        <v>154</v>
      </c>
      <c r="CI42" s="145">
        <v>8</v>
      </c>
      <c r="CJ42" s="143">
        <v>10</v>
      </c>
      <c r="CK42" s="143">
        <v>8</v>
      </c>
      <c r="CL42" s="143">
        <v>10</v>
      </c>
      <c r="CM42" s="66">
        <f t="shared" si="35"/>
        <v>36</v>
      </c>
      <c r="CN42" s="143">
        <v>30</v>
      </c>
      <c r="CO42" s="66">
        <f t="shared" si="89"/>
        <v>66</v>
      </c>
      <c r="CP42" s="66">
        <f t="shared" si="36"/>
        <v>16</v>
      </c>
      <c r="CQ42" s="66" t="str">
        <f t="shared" si="37"/>
        <v>C</v>
      </c>
      <c r="CR42" s="66" t="str">
        <f t="shared" si="38"/>
        <v>Credit</v>
      </c>
      <c r="CS42" s="3">
        <v>40</v>
      </c>
      <c r="CT42" s="163" t="s">
        <v>154</v>
      </c>
      <c r="CU42" s="148">
        <v>6</v>
      </c>
      <c r="CV42" s="149">
        <v>8</v>
      </c>
      <c r="CW42" s="149">
        <v>8</v>
      </c>
      <c r="CX42" s="149">
        <v>10</v>
      </c>
      <c r="CY42" s="70">
        <f t="shared" si="39"/>
        <v>32</v>
      </c>
      <c r="CZ42" s="149">
        <v>31</v>
      </c>
      <c r="DA42" s="70">
        <f t="shared" si="40"/>
        <v>63</v>
      </c>
      <c r="DB42" s="70">
        <f t="shared" si="41"/>
        <v>25</v>
      </c>
      <c r="DC42" s="70" t="str">
        <f t="shared" si="42"/>
        <v>C</v>
      </c>
      <c r="DD42" s="70" t="str">
        <f t="shared" si="43"/>
        <v>Credit</v>
      </c>
      <c r="DE42" s="3">
        <v>40</v>
      </c>
      <c r="DF42" s="59"/>
      <c r="DG42" s="145">
        <v>10</v>
      </c>
      <c r="DH42" s="143">
        <v>8</v>
      </c>
      <c r="DI42" s="143">
        <v>1</v>
      </c>
      <c r="DJ42" s="143">
        <v>10</v>
      </c>
      <c r="DK42" s="59">
        <f t="shared" si="44"/>
        <v>29</v>
      </c>
      <c r="DL42" s="143">
        <v>34</v>
      </c>
      <c r="DM42" s="59">
        <f t="shared" si="45"/>
        <v>63</v>
      </c>
      <c r="DN42" s="59">
        <f t="shared" si="46"/>
        <v>29</v>
      </c>
      <c r="DO42" s="59" t="str">
        <f t="shared" si="47"/>
        <v>C</v>
      </c>
      <c r="DP42" s="59" t="str">
        <f t="shared" si="48"/>
        <v>Credit</v>
      </c>
      <c r="DQ42" s="3">
        <v>40</v>
      </c>
      <c r="DR42" s="163" t="s">
        <v>154</v>
      </c>
      <c r="DS42" s="145">
        <v>7</v>
      </c>
      <c r="DT42" s="143">
        <v>7</v>
      </c>
      <c r="DU42" s="143">
        <v>9</v>
      </c>
      <c r="DV42" s="143">
        <v>9</v>
      </c>
      <c r="DW42" s="102">
        <f t="shared" si="49"/>
        <v>32</v>
      </c>
      <c r="DX42" s="143">
        <v>30</v>
      </c>
      <c r="DY42" s="102">
        <f t="shared" si="50"/>
        <v>62</v>
      </c>
      <c r="DZ42" s="102">
        <f t="shared" si="51"/>
        <v>26</v>
      </c>
      <c r="EA42" s="102" t="str">
        <f t="shared" si="52"/>
        <v>C</v>
      </c>
      <c r="EB42" s="102" t="str">
        <f t="shared" si="53"/>
        <v>Credit</v>
      </c>
      <c r="EC42" s="3">
        <v>40</v>
      </c>
      <c r="ED42" s="75"/>
      <c r="EE42" s="145">
        <v>6</v>
      </c>
      <c r="EF42" s="143">
        <v>7</v>
      </c>
      <c r="EG42" s="143">
        <v>9</v>
      </c>
      <c r="EH42" s="143">
        <v>9</v>
      </c>
      <c r="EI42" s="75">
        <f t="shared" si="54"/>
        <v>31</v>
      </c>
      <c r="EJ42" s="143">
        <v>24</v>
      </c>
      <c r="EK42" s="75">
        <f t="shared" si="94"/>
        <v>55</v>
      </c>
      <c r="EL42" s="75">
        <f t="shared" si="55"/>
        <v>14</v>
      </c>
      <c r="EM42" s="75" t="str">
        <f t="shared" si="56"/>
        <v>C</v>
      </c>
      <c r="EN42" s="75" t="str">
        <f t="shared" si="57"/>
        <v>Credit</v>
      </c>
      <c r="EO42" s="3">
        <v>40</v>
      </c>
      <c r="EP42" s="163" t="s">
        <v>154</v>
      </c>
      <c r="EQ42" s="3">
        <v>4</v>
      </c>
      <c r="ER42" s="3">
        <v>8</v>
      </c>
      <c r="ES42" s="3">
        <v>8</v>
      </c>
      <c r="ET42" s="3">
        <v>10</v>
      </c>
      <c r="EU42" s="98">
        <f t="shared" si="58"/>
        <v>30</v>
      </c>
      <c r="EV42" s="3">
        <v>20</v>
      </c>
      <c r="EW42" s="98">
        <f t="shared" si="59"/>
        <v>50</v>
      </c>
      <c r="EX42" s="98">
        <f t="shared" si="60"/>
        <v>16</v>
      </c>
      <c r="EY42" s="98" t="str">
        <f t="shared" si="61"/>
        <v>C</v>
      </c>
      <c r="EZ42" s="98" t="str">
        <f t="shared" si="62"/>
        <v>Credit</v>
      </c>
      <c r="FA42" s="3">
        <v>40</v>
      </c>
      <c r="FB42" s="113"/>
      <c r="FC42" s="145">
        <v>10</v>
      </c>
      <c r="FD42" s="143">
        <v>10</v>
      </c>
      <c r="FE42" s="143">
        <v>8</v>
      </c>
      <c r="FF42" s="143">
        <v>10</v>
      </c>
      <c r="FG42" s="113">
        <f t="shared" si="63"/>
        <v>38</v>
      </c>
      <c r="FH42" s="143">
        <v>43</v>
      </c>
      <c r="FI42" s="113">
        <f t="shared" si="64"/>
        <v>81</v>
      </c>
      <c r="FJ42" s="113">
        <f t="shared" si="65"/>
        <v>10</v>
      </c>
      <c r="FK42" s="113" t="str">
        <f t="shared" si="66"/>
        <v>A</v>
      </c>
      <c r="FL42" s="113" t="str">
        <f t="shared" si="67"/>
        <v>Excellent</v>
      </c>
      <c r="FM42" s="3">
        <v>40</v>
      </c>
      <c r="FN42" s="53"/>
      <c r="FO42" s="145">
        <v>10</v>
      </c>
      <c r="FP42" s="143">
        <v>9</v>
      </c>
      <c r="FQ42" s="143">
        <v>10</v>
      </c>
      <c r="FR42" s="143">
        <v>3</v>
      </c>
      <c r="FS42" s="53">
        <f t="shared" si="68"/>
        <v>32</v>
      </c>
      <c r="FT42" s="143">
        <v>29</v>
      </c>
      <c r="FU42" s="53">
        <f t="shared" si="69"/>
        <v>61</v>
      </c>
      <c r="FV42" s="53">
        <f t="shared" si="70"/>
        <v>33</v>
      </c>
      <c r="FW42" s="53" t="str">
        <f t="shared" si="71"/>
        <v>C</v>
      </c>
      <c r="FX42" s="53" t="str">
        <f t="shared" si="72"/>
        <v>Credit</v>
      </c>
      <c r="FY42" s="3">
        <v>40</v>
      </c>
      <c r="FZ42" s="80"/>
      <c r="GA42" s="80"/>
      <c r="GB42" s="80"/>
      <c r="GC42" s="80"/>
      <c r="GD42" s="80"/>
      <c r="GE42" s="80">
        <f t="shared" si="73"/>
        <v>0</v>
      </c>
      <c r="GF42" s="80"/>
      <c r="GG42" s="80">
        <f t="shared" si="74"/>
        <v>0</v>
      </c>
      <c r="GH42" s="80" t="str">
        <f t="shared" si="75"/>
        <v/>
      </c>
      <c r="GI42" s="80" t="str">
        <f t="shared" si="76"/>
        <v/>
      </c>
      <c r="GJ42" s="80" t="str">
        <f t="shared" si="77"/>
        <v/>
      </c>
      <c r="GK42" s="3">
        <v>40</v>
      </c>
      <c r="GL42" s="163" t="s">
        <v>154</v>
      </c>
      <c r="GM42" s="145">
        <v>6</v>
      </c>
      <c r="GN42" s="143">
        <v>2</v>
      </c>
      <c r="GO42" s="143">
        <v>10</v>
      </c>
      <c r="GP42" s="143">
        <v>10</v>
      </c>
      <c r="GQ42" s="113">
        <f t="shared" si="78"/>
        <v>28</v>
      </c>
      <c r="GR42" s="143">
        <v>50</v>
      </c>
      <c r="GS42" s="113">
        <f t="shared" si="79"/>
        <v>78</v>
      </c>
      <c r="GT42" s="113">
        <f t="shared" si="80"/>
        <v>6</v>
      </c>
      <c r="GU42" s="113" t="str">
        <f t="shared" si="81"/>
        <v>A</v>
      </c>
      <c r="GV42" s="113" t="str">
        <f t="shared" si="82"/>
        <v>Excellent</v>
      </c>
      <c r="GW42" s="3">
        <v>40</v>
      </c>
      <c r="GX42" s="107"/>
      <c r="GY42" s="145">
        <v>9</v>
      </c>
      <c r="GZ42" s="143">
        <v>7</v>
      </c>
      <c r="HA42" s="143">
        <v>10</v>
      </c>
      <c r="HB42" s="143">
        <v>10</v>
      </c>
      <c r="HC42" s="107">
        <f t="shared" si="83"/>
        <v>36</v>
      </c>
      <c r="HD42" s="143">
        <v>42</v>
      </c>
      <c r="HE42" s="107">
        <f t="shared" si="84"/>
        <v>78</v>
      </c>
      <c r="HF42" s="107">
        <f t="shared" si="85"/>
        <v>9</v>
      </c>
      <c r="HG42" s="107" t="str">
        <f t="shared" si="86"/>
        <v>A</v>
      </c>
      <c r="HH42" s="107" t="str">
        <f t="shared" si="87"/>
        <v>Excellent</v>
      </c>
    </row>
    <row r="43" spans="1:216" ht="18.75">
      <c r="A43" s="186">
        <v>41</v>
      </c>
      <c r="B43" s="164" t="s">
        <v>155</v>
      </c>
      <c r="C43" s="130">
        <v>4</v>
      </c>
      <c r="D43" s="131">
        <v>3</v>
      </c>
      <c r="E43" s="131">
        <v>8</v>
      </c>
      <c r="F43" s="131">
        <v>10</v>
      </c>
      <c r="G43" s="53">
        <f t="shared" si="92"/>
        <v>25</v>
      </c>
      <c r="H43" s="131">
        <v>26</v>
      </c>
      <c r="I43" s="53">
        <f t="shared" si="93"/>
        <v>51</v>
      </c>
      <c r="J43" s="53">
        <f t="shared" si="3"/>
        <v>38</v>
      </c>
      <c r="K43" s="53" t="str">
        <f t="shared" si="4"/>
        <v>C</v>
      </c>
      <c r="L43" s="53" t="str">
        <f t="shared" si="5"/>
        <v>Credit</v>
      </c>
      <c r="M43" s="44">
        <v>41</v>
      </c>
      <c r="N43" s="59"/>
      <c r="O43" s="135">
        <v>0</v>
      </c>
      <c r="P43" s="136">
        <v>1</v>
      </c>
      <c r="Q43" s="136">
        <v>5</v>
      </c>
      <c r="R43" s="136">
        <v>10</v>
      </c>
      <c r="S43" s="59">
        <f t="shared" si="90"/>
        <v>16</v>
      </c>
      <c r="T43" s="136">
        <v>17</v>
      </c>
      <c r="U43" s="59">
        <f t="shared" si="7"/>
        <v>33</v>
      </c>
      <c r="V43" s="59">
        <f t="shared" si="8"/>
        <v>45</v>
      </c>
      <c r="W43" s="59" t="str">
        <f t="shared" si="9"/>
        <v>F</v>
      </c>
      <c r="X43" s="59" t="str">
        <f t="shared" si="10"/>
        <v>Fail</v>
      </c>
      <c r="Y43" s="3">
        <v>41</v>
      </c>
      <c r="Z43" s="80"/>
      <c r="AA43" s="135">
        <v>2</v>
      </c>
      <c r="AB43" s="136">
        <v>2</v>
      </c>
      <c r="AC43" s="136">
        <v>7</v>
      </c>
      <c r="AD43" s="136">
        <v>9</v>
      </c>
      <c r="AE43" s="80">
        <f t="shared" si="91"/>
        <v>20</v>
      </c>
      <c r="AF43" s="136">
        <v>32</v>
      </c>
      <c r="AG43" s="80">
        <f t="shared" si="11"/>
        <v>52</v>
      </c>
      <c r="AH43" s="80">
        <f t="shared" si="12"/>
        <v>40</v>
      </c>
      <c r="AI43" s="80" t="str">
        <f t="shared" si="13"/>
        <v>C</v>
      </c>
      <c r="AJ43" s="80" t="str">
        <f t="shared" si="14"/>
        <v>Credit</v>
      </c>
      <c r="AK43" s="3">
        <v>41</v>
      </c>
      <c r="AL43" s="164" t="s">
        <v>155</v>
      </c>
      <c r="AM43" s="135"/>
      <c r="AN43" s="136"/>
      <c r="AO43" s="136"/>
      <c r="AP43" s="136"/>
      <c r="AQ43" s="47">
        <f t="shared" si="15"/>
        <v>0</v>
      </c>
      <c r="AR43" s="136"/>
      <c r="AS43" s="47">
        <f t="shared" si="16"/>
        <v>0</v>
      </c>
      <c r="AT43" s="47" t="str">
        <f t="shared" si="17"/>
        <v/>
      </c>
      <c r="AU43" s="47" t="str">
        <f t="shared" si="18"/>
        <v/>
      </c>
      <c r="AV43" s="47" t="str">
        <f t="shared" si="19"/>
        <v/>
      </c>
      <c r="AW43" s="3">
        <v>41</v>
      </c>
      <c r="AX43" s="164" t="s">
        <v>155</v>
      </c>
      <c r="AY43" s="130">
        <v>6</v>
      </c>
      <c r="AZ43" s="131">
        <v>6</v>
      </c>
      <c r="BA43" s="131">
        <v>7</v>
      </c>
      <c r="BB43" s="131">
        <v>8</v>
      </c>
      <c r="BC43" s="85">
        <f t="shared" si="20"/>
        <v>27</v>
      </c>
      <c r="BD43" s="131">
        <v>27</v>
      </c>
      <c r="BE43" s="85">
        <f t="shared" si="21"/>
        <v>54</v>
      </c>
      <c r="BF43" s="85">
        <f t="shared" si="22"/>
        <v>43</v>
      </c>
      <c r="BG43" s="85" t="str">
        <f t="shared" si="23"/>
        <v>C</v>
      </c>
      <c r="BH43" s="85" t="str">
        <f t="shared" si="24"/>
        <v>Credit</v>
      </c>
      <c r="BI43" s="3">
        <v>41</v>
      </c>
      <c r="BJ43" s="90"/>
      <c r="BK43" s="167">
        <v>2</v>
      </c>
      <c r="BL43" s="168">
        <v>6</v>
      </c>
      <c r="BM43" s="168">
        <v>10</v>
      </c>
      <c r="BN43" s="168">
        <v>10</v>
      </c>
      <c r="BO43" s="90">
        <f t="shared" si="25"/>
        <v>28</v>
      </c>
      <c r="BP43" s="173">
        <v>14</v>
      </c>
      <c r="BQ43" s="90">
        <f t="shared" si="26"/>
        <v>42</v>
      </c>
      <c r="BR43" s="90">
        <f t="shared" si="27"/>
        <v>30</v>
      </c>
      <c r="BS43" s="90" t="str">
        <f t="shared" si="28"/>
        <v>F</v>
      </c>
      <c r="BT43" s="90" t="str">
        <f t="shared" si="29"/>
        <v>Fail</v>
      </c>
      <c r="BU43" s="3">
        <v>41</v>
      </c>
      <c r="BV43" s="164" t="s">
        <v>155</v>
      </c>
      <c r="BW43" s="145">
        <v>2</v>
      </c>
      <c r="BX43" s="143">
        <v>3</v>
      </c>
      <c r="BY43" s="143">
        <v>10</v>
      </c>
      <c r="BZ43" s="143">
        <v>9</v>
      </c>
      <c r="CA43" s="94">
        <f t="shared" si="30"/>
        <v>24</v>
      </c>
      <c r="CB43" s="143">
        <v>20</v>
      </c>
      <c r="CC43" s="94">
        <f t="shared" si="31"/>
        <v>44</v>
      </c>
      <c r="CD43" s="94">
        <f t="shared" si="32"/>
        <v>41</v>
      </c>
      <c r="CE43" s="94" t="str">
        <f t="shared" si="33"/>
        <v>F</v>
      </c>
      <c r="CF43" s="94" t="str">
        <f t="shared" si="34"/>
        <v>Fail</v>
      </c>
      <c r="CG43" s="3">
        <v>41</v>
      </c>
      <c r="CH43" s="164" t="s">
        <v>155</v>
      </c>
      <c r="CI43" s="145">
        <v>4</v>
      </c>
      <c r="CJ43" s="143">
        <v>8</v>
      </c>
      <c r="CK43" s="143">
        <v>8</v>
      </c>
      <c r="CL43" s="143">
        <v>10</v>
      </c>
      <c r="CM43" s="66">
        <f t="shared" si="35"/>
        <v>30</v>
      </c>
      <c r="CN43" s="143">
        <v>21</v>
      </c>
      <c r="CO43" s="66">
        <f t="shared" si="89"/>
        <v>51</v>
      </c>
      <c r="CP43" s="66">
        <f t="shared" si="36"/>
        <v>40</v>
      </c>
      <c r="CQ43" s="66" t="str">
        <f t="shared" si="37"/>
        <v>C</v>
      </c>
      <c r="CR43" s="66" t="str">
        <f t="shared" si="38"/>
        <v>Credit</v>
      </c>
      <c r="CS43" s="3">
        <v>41</v>
      </c>
      <c r="CT43" s="164" t="s">
        <v>155</v>
      </c>
      <c r="CU43" s="148">
        <v>4</v>
      </c>
      <c r="CV43" s="149">
        <v>7</v>
      </c>
      <c r="CW43" s="149">
        <v>8</v>
      </c>
      <c r="CX43" s="149">
        <v>10</v>
      </c>
      <c r="CY43" s="70">
        <f t="shared" si="39"/>
        <v>29</v>
      </c>
      <c r="CZ43" s="149">
        <v>19</v>
      </c>
      <c r="DA43" s="70">
        <f t="shared" si="40"/>
        <v>48</v>
      </c>
      <c r="DB43" s="70">
        <f t="shared" si="41"/>
        <v>44</v>
      </c>
      <c r="DC43" s="70" t="str">
        <f t="shared" si="42"/>
        <v>P</v>
      </c>
      <c r="DD43" s="70" t="str">
        <f t="shared" si="43"/>
        <v>Pass</v>
      </c>
      <c r="DE43" s="3">
        <v>41</v>
      </c>
      <c r="DF43" s="59"/>
      <c r="DG43" s="145">
        <v>4</v>
      </c>
      <c r="DH43" s="143">
        <v>6</v>
      </c>
      <c r="DI43" s="143">
        <v>7</v>
      </c>
      <c r="DJ43" s="143">
        <v>10</v>
      </c>
      <c r="DK43" s="59">
        <f t="shared" si="44"/>
        <v>27</v>
      </c>
      <c r="DL43" s="143">
        <v>22</v>
      </c>
      <c r="DM43" s="59">
        <f t="shared" si="45"/>
        <v>49</v>
      </c>
      <c r="DN43" s="59">
        <f t="shared" si="46"/>
        <v>46</v>
      </c>
      <c r="DO43" s="59" t="str">
        <f t="shared" si="47"/>
        <v>P</v>
      </c>
      <c r="DP43" s="59" t="str">
        <f t="shared" si="48"/>
        <v>Pass</v>
      </c>
      <c r="DQ43" s="3">
        <v>41</v>
      </c>
      <c r="DR43" s="164" t="s">
        <v>155</v>
      </c>
      <c r="DS43" s="145">
        <v>2</v>
      </c>
      <c r="DT43" s="143">
        <v>9</v>
      </c>
      <c r="DU43" s="143">
        <v>7</v>
      </c>
      <c r="DV43" s="143">
        <v>9</v>
      </c>
      <c r="DW43" s="102">
        <f t="shared" si="49"/>
        <v>27</v>
      </c>
      <c r="DX43" s="143">
        <v>23</v>
      </c>
      <c r="DY43" s="102">
        <f t="shared" si="50"/>
        <v>50</v>
      </c>
      <c r="DZ43" s="102">
        <f t="shared" si="51"/>
        <v>40</v>
      </c>
      <c r="EA43" s="102" t="str">
        <f t="shared" si="52"/>
        <v>C</v>
      </c>
      <c r="EB43" s="102" t="str">
        <f t="shared" si="53"/>
        <v>Credit</v>
      </c>
      <c r="EC43" s="3">
        <v>41</v>
      </c>
      <c r="ED43" s="75"/>
      <c r="EE43" s="145">
        <v>7</v>
      </c>
      <c r="EF43" s="143">
        <v>3</v>
      </c>
      <c r="EG43" s="143">
        <v>9</v>
      </c>
      <c r="EH43" s="143">
        <v>6</v>
      </c>
      <c r="EI43" s="75">
        <f t="shared" si="54"/>
        <v>25</v>
      </c>
      <c r="EJ43" s="143">
        <v>19</v>
      </c>
      <c r="EK43" s="75">
        <f t="shared" si="94"/>
        <v>44</v>
      </c>
      <c r="EL43" s="75">
        <f t="shared" si="55"/>
        <v>38</v>
      </c>
      <c r="EM43" s="75" t="str">
        <f t="shared" si="56"/>
        <v>F</v>
      </c>
      <c r="EN43" s="75" t="str">
        <f t="shared" si="57"/>
        <v>Fail</v>
      </c>
      <c r="EO43" s="3">
        <v>41</v>
      </c>
      <c r="EP43" s="164" t="s">
        <v>155</v>
      </c>
      <c r="EQ43" s="3">
        <v>7</v>
      </c>
      <c r="ER43" s="3">
        <v>5</v>
      </c>
      <c r="ES43" s="3">
        <v>10</v>
      </c>
      <c r="ET43" s="3">
        <v>9</v>
      </c>
      <c r="EU43" s="98">
        <f t="shared" si="58"/>
        <v>31</v>
      </c>
      <c r="EV43" s="3">
        <v>15</v>
      </c>
      <c r="EW43" s="98">
        <f t="shared" si="59"/>
        <v>46</v>
      </c>
      <c r="EX43" s="98">
        <f t="shared" si="60"/>
        <v>22</v>
      </c>
      <c r="EY43" s="98" t="str">
        <f t="shared" si="61"/>
        <v>P</v>
      </c>
      <c r="EZ43" s="98" t="str">
        <f t="shared" si="62"/>
        <v>Pass</v>
      </c>
      <c r="FA43" s="3">
        <v>41</v>
      </c>
      <c r="FB43" s="113"/>
      <c r="FC43" s="145">
        <v>6</v>
      </c>
      <c r="FD43" s="143">
        <v>9</v>
      </c>
      <c r="FE43" s="143">
        <v>3</v>
      </c>
      <c r="FF43" s="143">
        <v>8</v>
      </c>
      <c r="FG43" s="113">
        <f t="shared" si="63"/>
        <v>26</v>
      </c>
      <c r="FH43" s="143">
        <v>27</v>
      </c>
      <c r="FI43" s="113">
        <f t="shared" si="64"/>
        <v>53</v>
      </c>
      <c r="FJ43" s="113">
        <f t="shared" si="65"/>
        <v>46</v>
      </c>
      <c r="FK43" s="113" t="str">
        <f t="shared" si="66"/>
        <v>C</v>
      </c>
      <c r="FL43" s="113" t="str">
        <f t="shared" si="67"/>
        <v>Credit</v>
      </c>
      <c r="FM43" s="3">
        <v>41</v>
      </c>
      <c r="FN43" s="53"/>
      <c r="FO43" s="145">
        <v>8</v>
      </c>
      <c r="FP43" s="143">
        <v>6</v>
      </c>
      <c r="FQ43" s="143">
        <v>10</v>
      </c>
      <c r="FR43" s="143">
        <v>6</v>
      </c>
      <c r="FS43" s="53">
        <f t="shared" si="68"/>
        <v>30</v>
      </c>
      <c r="FT43" s="143">
        <v>30</v>
      </c>
      <c r="FU43" s="53">
        <f t="shared" si="69"/>
        <v>60</v>
      </c>
      <c r="FV43" s="53">
        <f t="shared" si="70"/>
        <v>37</v>
      </c>
      <c r="FW43" s="53" t="str">
        <f t="shared" si="71"/>
        <v>C</v>
      </c>
      <c r="FX43" s="53" t="str">
        <f t="shared" si="72"/>
        <v>Credit</v>
      </c>
      <c r="FY43" s="3">
        <v>41</v>
      </c>
      <c r="FZ43" s="80"/>
      <c r="GA43" s="80"/>
      <c r="GB43" s="80"/>
      <c r="GC43" s="80"/>
      <c r="GD43" s="80"/>
      <c r="GE43" s="80">
        <f t="shared" si="73"/>
        <v>0</v>
      </c>
      <c r="GF43" s="80"/>
      <c r="GG43" s="80">
        <f t="shared" si="74"/>
        <v>0</v>
      </c>
      <c r="GH43" s="80" t="str">
        <f t="shared" si="75"/>
        <v/>
      </c>
      <c r="GI43" s="80" t="str">
        <f t="shared" si="76"/>
        <v/>
      </c>
      <c r="GJ43" s="80" t="str">
        <f t="shared" si="77"/>
        <v/>
      </c>
      <c r="GK43" s="3">
        <v>41</v>
      </c>
      <c r="GL43" s="164" t="s">
        <v>155</v>
      </c>
      <c r="GM43" s="145">
        <v>8</v>
      </c>
      <c r="GN43" s="143">
        <v>2</v>
      </c>
      <c r="GO43" s="143">
        <v>10</v>
      </c>
      <c r="GP43" s="143">
        <v>8</v>
      </c>
      <c r="GQ43" s="113">
        <f t="shared" si="78"/>
        <v>28</v>
      </c>
      <c r="GR43" s="143">
        <v>20</v>
      </c>
      <c r="GS43" s="113">
        <f t="shared" si="79"/>
        <v>48</v>
      </c>
      <c r="GT43" s="113">
        <f t="shared" si="80"/>
        <v>31</v>
      </c>
      <c r="GU43" s="113" t="str">
        <f t="shared" si="81"/>
        <v>P</v>
      </c>
      <c r="GV43" s="113" t="str">
        <f t="shared" si="82"/>
        <v>Pass</v>
      </c>
      <c r="GW43" s="3">
        <v>41</v>
      </c>
      <c r="GX43" s="107"/>
      <c r="GY43" s="145">
        <v>5</v>
      </c>
      <c r="GZ43" s="143">
        <v>6</v>
      </c>
      <c r="HA43" s="143">
        <v>10</v>
      </c>
      <c r="HB43" s="143">
        <v>10</v>
      </c>
      <c r="HC43" s="107">
        <f t="shared" si="83"/>
        <v>31</v>
      </c>
      <c r="HD43" s="143">
        <v>21</v>
      </c>
      <c r="HE43" s="107">
        <f t="shared" si="84"/>
        <v>52</v>
      </c>
      <c r="HF43" s="107">
        <f t="shared" si="85"/>
        <v>34</v>
      </c>
      <c r="HG43" s="107" t="str">
        <f t="shared" si="86"/>
        <v>C</v>
      </c>
      <c r="HH43" s="107" t="str">
        <f t="shared" si="87"/>
        <v>Credit</v>
      </c>
    </row>
    <row r="44" spans="1:216" ht="18.75">
      <c r="A44" s="185">
        <v>42</v>
      </c>
      <c r="B44" s="163" t="s">
        <v>156</v>
      </c>
      <c r="C44" s="132">
        <v>3</v>
      </c>
      <c r="D44" s="133">
        <v>8</v>
      </c>
      <c r="E44" s="133">
        <v>7</v>
      </c>
      <c r="F44" s="133">
        <v>7</v>
      </c>
      <c r="G44" s="53">
        <f t="shared" si="92"/>
        <v>25</v>
      </c>
      <c r="H44" s="133">
        <v>38</v>
      </c>
      <c r="I44" s="53">
        <f t="shared" si="93"/>
        <v>63</v>
      </c>
      <c r="J44" s="53">
        <f t="shared" si="3"/>
        <v>20</v>
      </c>
      <c r="K44" s="53" t="str">
        <f t="shared" si="4"/>
        <v>C</v>
      </c>
      <c r="L44" s="53" t="str">
        <f t="shared" si="5"/>
        <v>Credit</v>
      </c>
      <c r="M44" s="44">
        <v>42</v>
      </c>
      <c r="N44" s="59"/>
      <c r="O44" s="137">
        <v>1</v>
      </c>
      <c r="P44" s="138">
        <v>4</v>
      </c>
      <c r="Q44" s="138">
        <v>5</v>
      </c>
      <c r="R44" s="136">
        <v>10</v>
      </c>
      <c r="S44" s="59">
        <f t="shared" si="90"/>
        <v>20</v>
      </c>
      <c r="T44" s="138">
        <v>21</v>
      </c>
      <c r="U44" s="59">
        <f t="shared" si="7"/>
        <v>41</v>
      </c>
      <c r="V44" s="59">
        <f t="shared" si="8"/>
        <v>28</v>
      </c>
      <c r="W44" s="59" t="str">
        <f t="shared" si="9"/>
        <v>F</v>
      </c>
      <c r="X44" s="59" t="str">
        <f t="shared" si="10"/>
        <v>Fail</v>
      </c>
      <c r="Y44" s="3">
        <v>42</v>
      </c>
      <c r="Z44" s="80"/>
      <c r="AA44" s="137">
        <v>6</v>
      </c>
      <c r="AB44" s="138">
        <v>8</v>
      </c>
      <c r="AC44" s="138">
        <v>3</v>
      </c>
      <c r="AD44" s="138">
        <v>5</v>
      </c>
      <c r="AE44" s="80">
        <f t="shared" si="91"/>
        <v>22</v>
      </c>
      <c r="AF44" s="138">
        <v>31</v>
      </c>
      <c r="AG44" s="80">
        <f t="shared" si="11"/>
        <v>53</v>
      </c>
      <c r="AH44" s="80">
        <f t="shared" si="12"/>
        <v>38</v>
      </c>
      <c r="AI44" s="80" t="str">
        <f t="shared" si="13"/>
        <v>C</v>
      </c>
      <c r="AJ44" s="80" t="str">
        <f t="shared" si="14"/>
        <v>Credit</v>
      </c>
      <c r="AK44" s="3">
        <v>42</v>
      </c>
      <c r="AL44" s="163" t="s">
        <v>156</v>
      </c>
      <c r="AM44" s="137"/>
      <c r="AN44" s="138"/>
      <c r="AO44" s="138"/>
      <c r="AP44" s="138"/>
      <c r="AQ44" s="47">
        <f t="shared" si="15"/>
        <v>0</v>
      </c>
      <c r="AR44" s="138"/>
      <c r="AS44" s="47">
        <f t="shared" si="16"/>
        <v>0</v>
      </c>
      <c r="AT44" s="47" t="str">
        <f t="shared" si="17"/>
        <v/>
      </c>
      <c r="AU44" s="47" t="str">
        <f t="shared" si="18"/>
        <v/>
      </c>
      <c r="AV44" s="47" t="str">
        <f t="shared" si="19"/>
        <v/>
      </c>
      <c r="AW44" s="3">
        <v>42</v>
      </c>
      <c r="AX44" s="163" t="s">
        <v>156</v>
      </c>
      <c r="AY44" s="132">
        <v>9</v>
      </c>
      <c r="AZ44" s="133">
        <v>9</v>
      </c>
      <c r="BA44" s="133"/>
      <c r="BB44" s="133"/>
      <c r="BC44" s="85">
        <f t="shared" si="20"/>
        <v>18</v>
      </c>
      <c r="BD44" s="133">
        <v>43</v>
      </c>
      <c r="BE44" s="85">
        <f t="shared" si="21"/>
        <v>61</v>
      </c>
      <c r="BF44" s="85">
        <f t="shared" si="22"/>
        <v>35</v>
      </c>
      <c r="BG44" s="85" t="str">
        <f t="shared" si="23"/>
        <v>C</v>
      </c>
      <c r="BH44" s="85" t="str">
        <f t="shared" si="24"/>
        <v>Credit</v>
      </c>
      <c r="BI44" s="3">
        <v>42</v>
      </c>
      <c r="BJ44" s="90"/>
      <c r="BK44" s="169">
        <v>4</v>
      </c>
      <c r="BL44" s="170">
        <v>8</v>
      </c>
      <c r="BM44" s="170">
        <v>2</v>
      </c>
      <c r="BN44" s="170">
        <v>5</v>
      </c>
      <c r="BO44" s="90">
        <f t="shared" si="25"/>
        <v>19</v>
      </c>
      <c r="BP44" s="174">
        <v>23</v>
      </c>
      <c r="BQ44" s="90">
        <f t="shared" si="26"/>
        <v>42</v>
      </c>
      <c r="BR44" s="90">
        <f t="shared" si="27"/>
        <v>30</v>
      </c>
      <c r="BS44" s="90" t="str">
        <f t="shared" si="28"/>
        <v>F</v>
      </c>
      <c r="BT44" s="90" t="str">
        <f t="shared" si="29"/>
        <v>Fail</v>
      </c>
      <c r="BU44" s="3">
        <v>42</v>
      </c>
      <c r="BV44" s="163" t="s">
        <v>156</v>
      </c>
      <c r="BW44" s="146">
        <v>7</v>
      </c>
      <c r="BX44" s="144">
        <v>4</v>
      </c>
      <c r="BY44" s="144">
        <v>9</v>
      </c>
      <c r="BZ44" s="144">
        <v>9</v>
      </c>
      <c r="CA44" s="94">
        <f t="shared" si="30"/>
        <v>29</v>
      </c>
      <c r="CB44" s="144">
        <v>43</v>
      </c>
      <c r="CC44" s="94">
        <f t="shared" si="31"/>
        <v>72</v>
      </c>
      <c r="CD44" s="94">
        <f t="shared" si="32"/>
        <v>4</v>
      </c>
      <c r="CE44" s="94" t="str">
        <f t="shared" si="33"/>
        <v>A</v>
      </c>
      <c r="CF44" s="94" t="str">
        <f t="shared" si="34"/>
        <v>Excellent</v>
      </c>
      <c r="CG44" s="3">
        <v>42</v>
      </c>
      <c r="CH44" s="163" t="s">
        <v>156</v>
      </c>
      <c r="CI44" s="146">
        <v>6</v>
      </c>
      <c r="CJ44" s="144">
        <v>9</v>
      </c>
      <c r="CK44" s="144">
        <v>10</v>
      </c>
      <c r="CL44" s="144">
        <v>9</v>
      </c>
      <c r="CM44" s="66">
        <f t="shared" si="35"/>
        <v>34</v>
      </c>
      <c r="CN44" s="144">
        <v>21</v>
      </c>
      <c r="CO44" s="66">
        <f t="shared" si="89"/>
        <v>55</v>
      </c>
      <c r="CP44" s="66">
        <f t="shared" si="36"/>
        <v>34</v>
      </c>
      <c r="CQ44" s="66" t="str">
        <f t="shared" si="37"/>
        <v>C</v>
      </c>
      <c r="CR44" s="66" t="str">
        <f t="shared" si="38"/>
        <v>Credit</v>
      </c>
      <c r="CS44" s="3">
        <v>42</v>
      </c>
      <c r="CT44" s="163" t="s">
        <v>156</v>
      </c>
      <c r="CU44" s="150">
        <v>4</v>
      </c>
      <c r="CV44" s="151">
        <v>9</v>
      </c>
      <c r="CW44" s="151">
        <v>8</v>
      </c>
      <c r="CX44" s="151">
        <v>10</v>
      </c>
      <c r="CY44" s="70">
        <f t="shared" si="39"/>
        <v>31</v>
      </c>
      <c r="CZ44" s="151">
        <v>26</v>
      </c>
      <c r="DA44" s="70">
        <f t="shared" si="40"/>
        <v>57</v>
      </c>
      <c r="DB44" s="70">
        <f t="shared" si="41"/>
        <v>38</v>
      </c>
      <c r="DC44" s="70" t="str">
        <f t="shared" si="42"/>
        <v>C</v>
      </c>
      <c r="DD44" s="70" t="str">
        <f t="shared" si="43"/>
        <v>Credit</v>
      </c>
      <c r="DE44" s="3">
        <v>42</v>
      </c>
      <c r="DF44" s="59"/>
      <c r="DG44" s="146">
        <v>10</v>
      </c>
      <c r="DH44" s="144">
        <v>9</v>
      </c>
      <c r="DI44" s="144">
        <v>1</v>
      </c>
      <c r="DJ44" s="144">
        <v>7</v>
      </c>
      <c r="DK44" s="59">
        <f t="shared" si="44"/>
        <v>27</v>
      </c>
      <c r="DL44" s="144">
        <v>25</v>
      </c>
      <c r="DM44" s="59">
        <f t="shared" si="45"/>
        <v>52</v>
      </c>
      <c r="DN44" s="59">
        <f t="shared" si="46"/>
        <v>42</v>
      </c>
      <c r="DO44" s="59" t="str">
        <f t="shared" si="47"/>
        <v>C</v>
      </c>
      <c r="DP44" s="59" t="str">
        <f t="shared" si="48"/>
        <v>Credit</v>
      </c>
      <c r="DQ44" s="3">
        <v>42</v>
      </c>
      <c r="DR44" s="163" t="s">
        <v>156</v>
      </c>
      <c r="DS44" s="146">
        <v>10</v>
      </c>
      <c r="DT44" s="144">
        <v>9</v>
      </c>
      <c r="DU44" s="144">
        <v>9</v>
      </c>
      <c r="DV44" s="144">
        <v>8</v>
      </c>
      <c r="DW44" s="102">
        <f t="shared" si="49"/>
        <v>36</v>
      </c>
      <c r="DX44" s="144">
        <v>27</v>
      </c>
      <c r="DY44" s="102">
        <f t="shared" si="50"/>
        <v>63</v>
      </c>
      <c r="DZ44" s="102">
        <f t="shared" si="51"/>
        <v>23</v>
      </c>
      <c r="EA44" s="102" t="str">
        <f t="shared" si="52"/>
        <v>C</v>
      </c>
      <c r="EB44" s="102" t="str">
        <f t="shared" si="53"/>
        <v>Credit</v>
      </c>
      <c r="EC44" s="3">
        <v>42</v>
      </c>
      <c r="ED44" s="75"/>
      <c r="EE44" s="146">
        <v>7</v>
      </c>
      <c r="EF44" s="144">
        <v>7</v>
      </c>
      <c r="EG44" s="144">
        <v>10</v>
      </c>
      <c r="EH44" s="144">
        <v>4</v>
      </c>
      <c r="EI44" s="75">
        <f t="shared" si="54"/>
        <v>28</v>
      </c>
      <c r="EJ44" s="144">
        <v>24</v>
      </c>
      <c r="EK44" s="75">
        <f t="shared" si="94"/>
        <v>52</v>
      </c>
      <c r="EL44" s="75">
        <f t="shared" si="55"/>
        <v>22</v>
      </c>
      <c r="EM44" s="75" t="str">
        <f t="shared" si="56"/>
        <v>C</v>
      </c>
      <c r="EN44" s="75" t="str">
        <f t="shared" si="57"/>
        <v>Credit</v>
      </c>
      <c r="EO44" s="3">
        <v>42</v>
      </c>
      <c r="EP44" s="163" t="s">
        <v>156</v>
      </c>
      <c r="EQ44" s="3">
        <v>10</v>
      </c>
      <c r="ER44" s="3">
        <v>7</v>
      </c>
      <c r="ES44" s="3">
        <v>1</v>
      </c>
      <c r="ET44" s="3">
        <v>1</v>
      </c>
      <c r="EU44" s="98">
        <f t="shared" si="58"/>
        <v>19</v>
      </c>
      <c r="EV44" s="3">
        <v>26</v>
      </c>
      <c r="EW44" s="98">
        <f t="shared" si="59"/>
        <v>45</v>
      </c>
      <c r="EX44" s="98">
        <f t="shared" si="60"/>
        <v>25</v>
      </c>
      <c r="EY44" s="98" t="str">
        <f t="shared" si="61"/>
        <v>P</v>
      </c>
      <c r="EZ44" s="98" t="str">
        <f t="shared" si="62"/>
        <v>Pass</v>
      </c>
      <c r="FA44" s="3">
        <v>42</v>
      </c>
      <c r="FB44" s="113"/>
      <c r="FC44" s="146">
        <v>10</v>
      </c>
      <c r="FD44" s="144">
        <v>10</v>
      </c>
      <c r="FE44" s="144">
        <v>3</v>
      </c>
      <c r="FF44" s="144">
        <v>8</v>
      </c>
      <c r="FG44" s="113">
        <f t="shared" si="63"/>
        <v>31</v>
      </c>
      <c r="FH44" s="144">
        <v>41</v>
      </c>
      <c r="FI44" s="113">
        <f t="shared" si="64"/>
        <v>72</v>
      </c>
      <c r="FJ44" s="113">
        <f t="shared" si="65"/>
        <v>20</v>
      </c>
      <c r="FK44" s="113" t="str">
        <f t="shared" si="66"/>
        <v>A</v>
      </c>
      <c r="FL44" s="113" t="str">
        <f t="shared" si="67"/>
        <v>Excellent</v>
      </c>
      <c r="FM44" s="3">
        <v>42</v>
      </c>
      <c r="FN44" s="53"/>
      <c r="FO44" s="146">
        <v>10</v>
      </c>
      <c r="FP44" s="144">
        <v>10</v>
      </c>
      <c r="FQ44" s="144">
        <v>10</v>
      </c>
      <c r="FR44" s="144">
        <v>1</v>
      </c>
      <c r="FS44" s="53">
        <f t="shared" si="68"/>
        <v>31</v>
      </c>
      <c r="FT44" s="144">
        <v>35</v>
      </c>
      <c r="FU44" s="53">
        <f t="shared" si="69"/>
        <v>66</v>
      </c>
      <c r="FV44" s="53">
        <f t="shared" si="70"/>
        <v>27</v>
      </c>
      <c r="FW44" s="53" t="str">
        <f t="shared" si="71"/>
        <v>C</v>
      </c>
      <c r="FX44" s="53" t="str">
        <f t="shared" si="72"/>
        <v>Credit</v>
      </c>
      <c r="FY44" s="3">
        <v>42</v>
      </c>
      <c r="FZ44" s="80"/>
      <c r="GA44" s="80"/>
      <c r="GB44" s="80"/>
      <c r="GC44" s="80"/>
      <c r="GD44" s="80"/>
      <c r="GE44" s="80">
        <f t="shared" si="73"/>
        <v>0</v>
      </c>
      <c r="GF44" s="80"/>
      <c r="GG44" s="80">
        <f t="shared" si="74"/>
        <v>0</v>
      </c>
      <c r="GH44" s="80" t="str">
        <f t="shared" si="75"/>
        <v/>
      </c>
      <c r="GI44" s="80" t="str">
        <f t="shared" si="76"/>
        <v/>
      </c>
      <c r="GJ44" s="80" t="str">
        <f t="shared" si="77"/>
        <v/>
      </c>
      <c r="GK44" s="3">
        <v>42</v>
      </c>
      <c r="GL44" s="163" t="s">
        <v>156</v>
      </c>
      <c r="GM44" s="146">
        <v>6</v>
      </c>
      <c r="GN44" s="144">
        <v>2</v>
      </c>
      <c r="GO44" s="144">
        <v>7</v>
      </c>
      <c r="GP44" s="144">
        <v>7</v>
      </c>
      <c r="GQ44" s="113">
        <f t="shared" si="78"/>
        <v>22</v>
      </c>
      <c r="GR44" s="144">
        <v>29</v>
      </c>
      <c r="GS44" s="113">
        <f t="shared" si="79"/>
        <v>51</v>
      </c>
      <c r="GT44" s="113">
        <f t="shared" si="80"/>
        <v>28</v>
      </c>
      <c r="GU44" s="113" t="str">
        <f t="shared" si="81"/>
        <v>C</v>
      </c>
      <c r="GV44" s="113" t="str">
        <f t="shared" si="82"/>
        <v>Credit</v>
      </c>
      <c r="GW44" s="3">
        <v>42</v>
      </c>
      <c r="GX44" s="107"/>
      <c r="GY44" s="146">
        <v>10</v>
      </c>
      <c r="GZ44" s="144">
        <v>6</v>
      </c>
      <c r="HA44" s="144">
        <v>5</v>
      </c>
      <c r="HB44" s="144">
        <v>5</v>
      </c>
      <c r="HC44" s="107">
        <f t="shared" si="83"/>
        <v>26</v>
      </c>
      <c r="HD44" s="144">
        <v>41</v>
      </c>
      <c r="HE44" s="107">
        <f t="shared" si="84"/>
        <v>67</v>
      </c>
      <c r="HF44" s="107">
        <f t="shared" si="85"/>
        <v>22</v>
      </c>
      <c r="HG44" s="107" t="str">
        <f t="shared" si="86"/>
        <v>C</v>
      </c>
      <c r="HH44" s="107" t="str">
        <f t="shared" si="87"/>
        <v>Credit</v>
      </c>
    </row>
    <row r="45" spans="1:216" ht="18.75">
      <c r="A45" s="186">
        <v>43</v>
      </c>
      <c r="B45" s="164" t="s">
        <v>157</v>
      </c>
      <c r="C45" s="132">
        <v>3</v>
      </c>
      <c r="D45" s="133">
        <v>7</v>
      </c>
      <c r="E45" s="133">
        <v>9</v>
      </c>
      <c r="F45" s="133">
        <v>8</v>
      </c>
      <c r="G45" s="53">
        <f t="shared" si="92"/>
        <v>27</v>
      </c>
      <c r="H45" s="133">
        <v>29</v>
      </c>
      <c r="I45" s="53">
        <f t="shared" si="93"/>
        <v>56</v>
      </c>
      <c r="J45" s="53">
        <f t="shared" si="3"/>
        <v>34</v>
      </c>
      <c r="K45" s="53" t="str">
        <f t="shared" si="4"/>
        <v>C</v>
      </c>
      <c r="L45" s="53" t="str">
        <f t="shared" si="5"/>
        <v>Credit</v>
      </c>
      <c r="M45" s="44">
        <v>43</v>
      </c>
      <c r="N45" s="59"/>
      <c r="O45" s="137">
        <v>4</v>
      </c>
      <c r="P45" s="138">
        <v>3</v>
      </c>
      <c r="Q45" s="138">
        <v>9</v>
      </c>
      <c r="R45" s="136">
        <v>10</v>
      </c>
      <c r="S45" s="59">
        <f t="shared" si="90"/>
        <v>26</v>
      </c>
      <c r="T45" s="138">
        <v>16</v>
      </c>
      <c r="U45" s="59">
        <f t="shared" si="7"/>
        <v>42</v>
      </c>
      <c r="V45" s="59">
        <f t="shared" si="8"/>
        <v>27</v>
      </c>
      <c r="W45" s="59" t="str">
        <f t="shared" si="9"/>
        <v>F</v>
      </c>
      <c r="X45" s="59" t="str">
        <f t="shared" si="10"/>
        <v>Fail</v>
      </c>
      <c r="Y45" s="3">
        <v>43</v>
      </c>
      <c r="Z45" s="80"/>
      <c r="AA45" s="137">
        <v>8</v>
      </c>
      <c r="AB45" s="138">
        <v>7</v>
      </c>
      <c r="AC45" s="138">
        <v>3</v>
      </c>
      <c r="AD45" s="138">
        <v>5</v>
      </c>
      <c r="AE45" s="80">
        <f t="shared" si="91"/>
        <v>23</v>
      </c>
      <c r="AF45" s="138">
        <v>30</v>
      </c>
      <c r="AG45" s="80">
        <f t="shared" si="11"/>
        <v>53</v>
      </c>
      <c r="AH45" s="80">
        <f t="shared" si="12"/>
        <v>38</v>
      </c>
      <c r="AI45" s="80" t="str">
        <f t="shared" si="13"/>
        <v>C</v>
      </c>
      <c r="AJ45" s="80" t="str">
        <f t="shared" si="14"/>
        <v>Credit</v>
      </c>
      <c r="AK45" s="3">
        <v>43</v>
      </c>
      <c r="AL45" s="164" t="s">
        <v>157</v>
      </c>
      <c r="AM45" s="137"/>
      <c r="AN45" s="138"/>
      <c r="AO45" s="138"/>
      <c r="AP45" s="138"/>
      <c r="AQ45" s="47">
        <f t="shared" si="15"/>
        <v>0</v>
      </c>
      <c r="AR45" s="138"/>
      <c r="AS45" s="47">
        <f t="shared" si="16"/>
        <v>0</v>
      </c>
      <c r="AT45" s="47" t="str">
        <f t="shared" si="17"/>
        <v/>
      </c>
      <c r="AU45" s="47" t="str">
        <f t="shared" si="18"/>
        <v/>
      </c>
      <c r="AV45" s="47" t="str">
        <f t="shared" si="19"/>
        <v/>
      </c>
      <c r="AW45" s="3">
        <v>43</v>
      </c>
      <c r="AX45" s="164" t="s">
        <v>157</v>
      </c>
      <c r="AY45" s="132">
        <v>9</v>
      </c>
      <c r="AZ45" s="133">
        <v>7</v>
      </c>
      <c r="BA45" s="133">
        <v>7</v>
      </c>
      <c r="BB45" s="133">
        <v>8</v>
      </c>
      <c r="BC45" s="85">
        <f t="shared" si="20"/>
        <v>31</v>
      </c>
      <c r="BD45" s="133">
        <v>33</v>
      </c>
      <c r="BE45" s="85">
        <f t="shared" si="21"/>
        <v>64</v>
      </c>
      <c r="BF45" s="85">
        <f t="shared" si="22"/>
        <v>31</v>
      </c>
      <c r="BG45" s="85" t="str">
        <f t="shared" si="23"/>
        <v>C</v>
      </c>
      <c r="BH45" s="85" t="str">
        <f t="shared" si="24"/>
        <v>Credit</v>
      </c>
      <c r="BI45" s="3">
        <v>43</v>
      </c>
      <c r="BJ45" s="90"/>
      <c r="BK45" s="169">
        <v>1</v>
      </c>
      <c r="BL45" s="170">
        <v>8</v>
      </c>
      <c r="BM45" s="170">
        <v>2</v>
      </c>
      <c r="BN45" s="170">
        <v>5</v>
      </c>
      <c r="BO45" s="90">
        <f t="shared" si="25"/>
        <v>16</v>
      </c>
      <c r="BP45" s="174">
        <v>19</v>
      </c>
      <c r="BQ45" s="90">
        <f t="shared" si="26"/>
        <v>35</v>
      </c>
      <c r="BR45" s="90">
        <f t="shared" si="27"/>
        <v>43</v>
      </c>
      <c r="BS45" s="90" t="str">
        <f t="shared" si="28"/>
        <v>F</v>
      </c>
      <c r="BT45" s="90" t="str">
        <f t="shared" si="29"/>
        <v>Fail</v>
      </c>
      <c r="BU45" s="3">
        <v>43</v>
      </c>
      <c r="BV45" s="164" t="s">
        <v>157</v>
      </c>
      <c r="BW45" s="144">
        <v>5</v>
      </c>
      <c r="BX45" s="144">
        <v>3</v>
      </c>
      <c r="BY45" s="144">
        <v>9</v>
      </c>
      <c r="BZ45" s="144">
        <v>9</v>
      </c>
      <c r="CA45" s="94">
        <f t="shared" si="30"/>
        <v>26</v>
      </c>
      <c r="CB45" s="144">
        <v>27</v>
      </c>
      <c r="CC45" s="94">
        <f t="shared" si="31"/>
        <v>53</v>
      </c>
      <c r="CD45" s="94">
        <f t="shared" si="32"/>
        <v>33</v>
      </c>
      <c r="CE45" s="94" t="str">
        <f t="shared" si="33"/>
        <v>C</v>
      </c>
      <c r="CF45" s="94" t="str">
        <f t="shared" si="34"/>
        <v>Credit</v>
      </c>
      <c r="CG45" s="3">
        <v>43</v>
      </c>
      <c r="CH45" s="164" t="s">
        <v>157</v>
      </c>
      <c r="CI45" s="146">
        <v>8</v>
      </c>
      <c r="CJ45" s="144">
        <v>10</v>
      </c>
      <c r="CK45" s="144">
        <v>9</v>
      </c>
      <c r="CL45" s="144">
        <v>8</v>
      </c>
      <c r="CM45" s="66">
        <f t="shared" si="35"/>
        <v>35</v>
      </c>
      <c r="CN45" s="144">
        <v>22</v>
      </c>
      <c r="CO45" s="66">
        <f t="shared" si="89"/>
        <v>57</v>
      </c>
      <c r="CP45" s="66">
        <f t="shared" si="36"/>
        <v>31</v>
      </c>
      <c r="CQ45" s="66" t="str">
        <f t="shared" si="37"/>
        <v>C</v>
      </c>
      <c r="CR45" s="66" t="str">
        <f t="shared" si="38"/>
        <v>Credit</v>
      </c>
      <c r="CS45" s="3">
        <v>43</v>
      </c>
      <c r="CT45" s="164" t="s">
        <v>157</v>
      </c>
      <c r="CU45" s="150">
        <v>6</v>
      </c>
      <c r="CV45" s="151">
        <v>10</v>
      </c>
      <c r="CW45" s="151">
        <v>8</v>
      </c>
      <c r="CX45" s="151">
        <v>10</v>
      </c>
      <c r="CY45" s="70">
        <f t="shared" si="39"/>
        <v>34</v>
      </c>
      <c r="CZ45" s="151">
        <v>29</v>
      </c>
      <c r="DA45" s="70">
        <f t="shared" si="40"/>
        <v>63</v>
      </c>
      <c r="DB45" s="70">
        <f t="shared" si="41"/>
        <v>25</v>
      </c>
      <c r="DC45" s="70" t="str">
        <f t="shared" si="42"/>
        <v>C</v>
      </c>
      <c r="DD45" s="70" t="str">
        <f t="shared" si="43"/>
        <v>Credit</v>
      </c>
      <c r="DE45" s="3">
        <v>43</v>
      </c>
      <c r="DF45" s="59"/>
      <c r="DG45" s="144">
        <v>10</v>
      </c>
      <c r="DH45" s="144">
        <v>10</v>
      </c>
      <c r="DI45" s="144">
        <v>1</v>
      </c>
      <c r="DJ45" s="144">
        <v>9</v>
      </c>
      <c r="DK45" s="59">
        <f t="shared" si="44"/>
        <v>30</v>
      </c>
      <c r="DL45" s="144">
        <v>25</v>
      </c>
      <c r="DM45" s="59">
        <f t="shared" si="45"/>
        <v>55</v>
      </c>
      <c r="DN45" s="59">
        <f t="shared" si="46"/>
        <v>40</v>
      </c>
      <c r="DO45" s="59" t="str">
        <f t="shared" si="47"/>
        <v>C</v>
      </c>
      <c r="DP45" s="59" t="str">
        <f t="shared" si="48"/>
        <v>Credit</v>
      </c>
      <c r="DQ45" s="3">
        <v>43</v>
      </c>
      <c r="DR45" s="164" t="s">
        <v>157</v>
      </c>
      <c r="DS45" s="146">
        <v>7</v>
      </c>
      <c r="DT45" s="144">
        <v>9</v>
      </c>
      <c r="DU45" s="144">
        <v>9</v>
      </c>
      <c r="DV45" s="144">
        <v>9</v>
      </c>
      <c r="DW45" s="102">
        <f t="shared" si="49"/>
        <v>34</v>
      </c>
      <c r="DX45" s="144">
        <v>30</v>
      </c>
      <c r="DY45" s="102">
        <f t="shared" si="50"/>
        <v>64</v>
      </c>
      <c r="DZ45" s="102">
        <f t="shared" si="51"/>
        <v>20</v>
      </c>
      <c r="EA45" s="102" t="str">
        <f t="shared" si="52"/>
        <v>C</v>
      </c>
      <c r="EB45" s="102" t="str">
        <f t="shared" si="53"/>
        <v>Credit</v>
      </c>
      <c r="EC45" s="3">
        <v>43</v>
      </c>
      <c r="ED45" s="75"/>
      <c r="EE45" s="146">
        <v>8</v>
      </c>
      <c r="EF45" s="144">
        <v>9</v>
      </c>
      <c r="EG45" s="144">
        <v>10</v>
      </c>
      <c r="EH45" s="144">
        <v>5</v>
      </c>
      <c r="EI45" s="75">
        <f t="shared" si="54"/>
        <v>32</v>
      </c>
      <c r="EJ45" s="144">
        <v>20</v>
      </c>
      <c r="EK45" s="75">
        <f t="shared" si="94"/>
        <v>52</v>
      </c>
      <c r="EL45" s="75">
        <f t="shared" si="55"/>
        <v>22</v>
      </c>
      <c r="EM45" s="75" t="str">
        <f t="shared" si="56"/>
        <v>C</v>
      </c>
      <c r="EN45" s="75" t="str">
        <f t="shared" si="57"/>
        <v>Credit</v>
      </c>
      <c r="EO45" s="3">
        <v>43</v>
      </c>
      <c r="EP45" s="164" t="s">
        <v>157</v>
      </c>
      <c r="EQ45" s="3">
        <v>3</v>
      </c>
      <c r="ER45" s="3">
        <v>6</v>
      </c>
      <c r="ES45" s="3">
        <v>1</v>
      </c>
      <c r="ET45" s="3">
        <v>1</v>
      </c>
      <c r="EU45" s="98">
        <f t="shared" si="58"/>
        <v>11</v>
      </c>
      <c r="EV45" s="3">
        <v>23</v>
      </c>
      <c r="EW45" s="98">
        <f t="shared" si="59"/>
        <v>34</v>
      </c>
      <c r="EX45" s="98">
        <f t="shared" si="60"/>
        <v>40</v>
      </c>
      <c r="EY45" s="98" t="str">
        <f t="shared" si="61"/>
        <v>F</v>
      </c>
      <c r="EZ45" s="98" t="str">
        <f t="shared" si="62"/>
        <v>Fail</v>
      </c>
      <c r="FA45" s="3">
        <v>43</v>
      </c>
      <c r="FB45" s="113"/>
      <c r="FC45" s="144">
        <v>10</v>
      </c>
      <c r="FD45" s="144">
        <v>10</v>
      </c>
      <c r="FE45" s="144">
        <v>3</v>
      </c>
      <c r="FF45" s="144">
        <v>10</v>
      </c>
      <c r="FG45" s="113">
        <f t="shared" si="63"/>
        <v>33</v>
      </c>
      <c r="FH45" s="144">
        <v>37</v>
      </c>
      <c r="FI45" s="113">
        <f t="shared" si="64"/>
        <v>70</v>
      </c>
      <c r="FJ45" s="113">
        <f t="shared" si="65"/>
        <v>23</v>
      </c>
      <c r="FK45" s="113" t="str">
        <f t="shared" si="66"/>
        <v>A</v>
      </c>
      <c r="FL45" s="113" t="str">
        <f t="shared" si="67"/>
        <v>Excellent</v>
      </c>
      <c r="FM45" s="3">
        <v>43</v>
      </c>
      <c r="FN45" s="53"/>
      <c r="FO45" s="146">
        <v>10</v>
      </c>
      <c r="FP45" s="144">
        <v>10</v>
      </c>
      <c r="FQ45" s="144">
        <v>10</v>
      </c>
      <c r="FR45" s="144">
        <v>1</v>
      </c>
      <c r="FS45" s="53">
        <f t="shared" si="68"/>
        <v>31</v>
      </c>
      <c r="FT45" s="144">
        <v>30</v>
      </c>
      <c r="FU45" s="53">
        <f t="shared" si="69"/>
        <v>61</v>
      </c>
      <c r="FV45" s="53">
        <f t="shared" si="70"/>
        <v>33</v>
      </c>
      <c r="FW45" s="53" t="str">
        <f t="shared" si="71"/>
        <v>C</v>
      </c>
      <c r="FX45" s="53" t="str">
        <f t="shared" si="72"/>
        <v>Credit</v>
      </c>
      <c r="FY45" s="3">
        <v>43</v>
      </c>
      <c r="FZ45" s="80"/>
      <c r="GA45" s="80"/>
      <c r="GB45" s="80"/>
      <c r="GC45" s="80"/>
      <c r="GD45" s="80"/>
      <c r="GE45" s="80">
        <f t="shared" si="73"/>
        <v>0</v>
      </c>
      <c r="GF45" s="80"/>
      <c r="GG45" s="80">
        <f t="shared" si="74"/>
        <v>0</v>
      </c>
      <c r="GH45" s="80" t="str">
        <f t="shared" si="75"/>
        <v/>
      </c>
      <c r="GI45" s="80" t="str">
        <f t="shared" si="76"/>
        <v/>
      </c>
      <c r="GJ45" s="80" t="str">
        <f t="shared" si="77"/>
        <v/>
      </c>
      <c r="GK45" s="3">
        <v>43</v>
      </c>
      <c r="GL45" s="164" t="s">
        <v>157</v>
      </c>
      <c r="GM45" s="146">
        <v>3</v>
      </c>
      <c r="GN45" s="144">
        <v>6</v>
      </c>
      <c r="GO45" s="144">
        <v>8</v>
      </c>
      <c r="GP45" s="144">
        <v>2</v>
      </c>
      <c r="GQ45" s="113">
        <f t="shared" si="78"/>
        <v>19</v>
      </c>
      <c r="GR45" s="144">
        <v>23</v>
      </c>
      <c r="GS45" s="113">
        <f t="shared" si="79"/>
        <v>42</v>
      </c>
      <c r="GT45" s="113">
        <f t="shared" si="80"/>
        <v>42</v>
      </c>
      <c r="GU45" s="113" t="str">
        <f t="shared" si="81"/>
        <v>F</v>
      </c>
      <c r="GV45" s="113" t="str">
        <f t="shared" si="82"/>
        <v>Fail</v>
      </c>
      <c r="GW45" s="3">
        <v>43</v>
      </c>
      <c r="GX45" s="107"/>
      <c r="GY45" s="146">
        <v>8</v>
      </c>
      <c r="GZ45" s="144">
        <v>8</v>
      </c>
      <c r="HA45" s="144">
        <v>5</v>
      </c>
      <c r="HB45" s="144">
        <v>5</v>
      </c>
      <c r="HC45" s="107">
        <f t="shared" si="83"/>
        <v>26</v>
      </c>
      <c r="HD45" s="144">
        <v>31</v>
      </c>
      <c r="HE45" s="107">
        <f t="shared" si="84"/>
        <v>57</v>
      </c>
      <c r="HF45" s="107">
        <f t="shared" si="85"/>
        <v>32</v>
      </c>
      <c r="HG45" s="107" t="str">
        <f t="shared" si="86"/>
        <v>C</v>
      </c>
      <c r="HH45" s="107" t="str">
        <f t="shared" si="87"/>
        <v>Credit</v>
      </c>
    </row>
    <row r="46" spans="1:216" ht="18.75">
      <c r="A46" s="185">
        <v>44</v>
      </c>
      <c r="B46" s="164" t="s">
        <v>158</v>
      </c>
      <c r="C46" s="134">
        <v>9</v>
      </c>
      <c r="D46" s="134">
        <v>8</v>
      </c>
      <c r="E46" s="134">
        <v>8</v>
      </c>
      <c r="F46" s="134">
        <v>10</v>
      </c>
      <c r="G46" s="53">
        <f t="shared" si="92"/>
        <v>35</v>
      </c>
      <c r="H46" s="134">
        <v>36</v>
      </c>
      <c r="I46" s="53">
        <f t="shared" si="93"/>
        <v>71</v>
      </c>
      <c r="J46" s="53">
        <f t="shared" si="3"/>
        <v>9</v>
      </c>
      <c r="K46" s="53" t="str">
        <f t="shared" si="4"/>
        <v>A</v>
      </c>
      <c r="L46" s="53" t="str">
        <f t="shared" si="5"/>
        <v>Excellent</v>
      </c>
      <c r="M46" s="44">
        <v>44</v>
      </c>
      <c r="N46" s="59"/>
      <c r="O46" s="139">
        <v>4</v>
      </c>
      <c r="P46" s="140">
        <v>1</v>
      </c>
      <c r="Q46" s="140">
        <v>10</v>
      </c>
      <c r="R46" s="136">
        <v>10</v>
      </c>
      <c r="S46" s="59">
        <f t="shared" si="90"/>
        <v>25</v>
      </c>
      <c r="T46" s="140">
        <v>26</v>
      </c>
      <c r="U46" s="59">
        <f t="shared" si="7"/>
        <v>51</v>
      </c>
      <c r="V46" s="59">
        <f t="shared" si="8"/>
        <v>11</v>
      </c>
      <c r="W46" s="59" t="str">
        <f t="shared" si="9"/>
        <v>C</v>
      </c>
      <c r="X46" s="59" t="str">
        <f t="shared" si="10"/>
        <v>Credit</v>
      </c>
      <c r="Y46" s="3">
        <v>44</v>
      </c>
      <c r="Z46" s="80"/>
      <c r="AA46" s="141">
        <v>10</v>
      </c>
      <c r="AB46" s="141">
        <v>10</v>
      </c>
      <c r="AC46" s="141">
        <v>7</v>
      </c>
      <c r="AD46" s="141">
        <v>9</v>
      </c>
      <c r="AE46" s="80">
        <f t="shared" si="91"/>
        <v>36</v>
      </c>
      <c r="AF46" s="141">
        <v>41</v>
      </c>
      <c r="AG46" s="80">
        <f t="shared" si="11"/>
        <v>77</v>
      </c>
      <c r="AH46" s="80">
        <f t="shared" si="12"/>
        <v>4</v>
      </c>
      <c r="AI46" s="80" t="str">
        <f t="shared" si="13"/>
        <v>A</v>
      </c>
      <c r="AJ46" s="80" t="str">
        <f t="shared" si="14"/>
        <v>Excellent</v>
      </c>
      <c r="AK46" s="3">
        <v>44</v>
      </c>
      <c r="AL46" s="164" t="s">
        <v>158</v>
      </c>
      <c r="AM46" s="47"/>
      <c r="AN46" s="47"/>
      <c r="AO46" s="47"/>
      <c r="AP46" s="47"/>
      <c r="AQ46" s="47">
        <f t="shared" si="15"/>
        <v>0</v>
      </c>
      <c r="AR46" s="47"/>
      <c r="AS46" s="47">
        <f t="shared" si="16"/>
        <v>0</v>
      </c>
      <c r="AT46" s="47" t="str">
        <f t="shared" si="17"/>
        <v/>
      </c>
      <c r="AU46" s="47" t="str">
        <f t="shared" si="18"/>
        <v/>
      </c>
      <c r="AV46" s="47" t="str">
        <f t="shared" si="19"/>
        <v/>
      </c>
      <c r="AW46" s="3">
        <v>44</v>
      </c>
      <c r="AX46" s="164" t="s">
        <v>158</v>
      </c>
      <c r="AY46" s="142">
        <v>10</v>
      </c>
      <c r="AZ46" s="142">
        <v>10</v>
      </c>
      <c r="BA46" s="142">
        <v>8</v>
      </c>
      <c r="BB46" s="142">
        <v>10</v>
      </c>
      <c r="BC46" s="85">
        <f t="shared" si="20"/>
        <v>38</v>
      </c>
      <c r="BD46" s="142">
        <v>50</v>
      </c>
      <c r="BE46" s="85">
        <f t="shared" si="21"/>
        <v>88</v>
      </c>
      <c r="BF46" s="85">
        <f t="shared" si="22"/>
        <v>2</v>
      </c>
      <c r="BG46" s="85" t="str">
        <f t="shared" si="23"/>
        <v>A</v>
      </c>
      <c r="BH46" s="85" t="str">
        <f t="shared" si="24"/>
        <v>Excellent</v>
      </c>
      <c r="BI46" s="3">
        <v>44</v>
      </c>
      <c r="BJ46" s="90"/>
      <c r="BK46" s="165">
        <v>10</v>
      </c>
      <c r="BL46" s="165">
        <v>8</v>
      </c>
      <c r="BM46" s="165">
        <v>10</v>
      </c>
      <c r="BN46" s="165">
        <v>10</v>
      </c>
      <c r="BO46" s="90">
        <f t="shared" si="25"/>
        <v>38</v>
      </c>
      <c r="BP46" s="171">
        <v>34</v>
      </c>
      <c r="BQ46" s="90">
        <f t="shared" si="26"/>
        <v>72</v>
      </c>
      <c r="BR46" s="90">
        <f t="shared" si="27"/>
        <v>2</v>
      </c>
      <c r="BS46" s="90" t="str">
        <f t="shared" si="28"/>
        <v>A</v>
      </c>
      <c r="BT46" s="90" t="str">
        <f t="shared" si="29"/>
        <v>Excellent</v>
      </c>
      <c r="BU46" s="3">
        <v>44</v>
      </c>
      <c r="BV46" s="164" t="s">
        <v>158</v>
      </c>
      <c r="BW46" s="147">
        <v>7</v>
      </c>
      <c r="BX46" s="147">
        <v>6</v>
      </c>
      <c r="BY46" s="147">
        <v>9</v>
      </c>
      <c r="BZ46" s="147">
        <v>9</v>
      </c>
      <c r="CA46" s="94">
        <f t="shared" si="30"/>
        <v>31</v>
      </c>
      <c r="CB46" s="147">
        <v>42</v>
      </c>
      <c r="CC46" s="94">
        <f t="shared" si="31"/>
        <v>73</v>
      </c>
      <c r="CD46" s="94">
        <f t="shared" si="32"/>
        <v>3</v>
      </c>
      <c r="CE46" s="94" t="str">
        <f t="shared" si="33"/>
        <v>A</v>
      </c>
      <c r="CF46" s="94" t="str">
        <f t="shared" si="34"/>
        <v>Excellent</v>
      </c>
      <c r="CG46" s="3">
        <v>44</v>
      </c>
      <c r="CH46" s="164" t="s">
        <v>158</v>
      </c>
      <c r="CI46" s="11">
        <v>10</v>
      </c>
      <c r="CJ46" s="11">
        <v>10</v>
      </c>
      <c r="CK46" s="11">
        <v>10</v>
      </c>
      <c r="CL46" s="11">
        <v>10</v>
      </c>
      <c r="CM46" s="66">
        <f t="shared" si="35"/>
        <v>40</v>
      </c>
      <c r="CN46" s="11">
        <v>44</v>
      </c>
      <c r="CO46" s="66">
        <f t="shared" si="89"/>
        <v>84</v>
      </c>
      <c r="CP46" s="66">
        <f t="shared" si="36"/>
        <v>5</v>
      </c>
      <c r="CQ46" s="66" t="str">
        <f t="shared" si="37"/>
        <v>A</v>
      </c>
      <c r="CR46" s="66" t="str">
        <f t="shared" si="38"/>
        <v>Excellent</v>
      </c>
      <c r="CS46" s="3">
        <v>44</v>
      </c>
      <c r="CT46" s="164" t="s">
        <v>158</v>
      </c>
      <c r="CU46" s="151">
        <v>9</v>
      </c>
      <c r="CV46" s="151">
        <v>10</v>
      </c>
      <c r="CW46" s="151">
        <v>8</v>
      </c>
      <c r="CX46" s="151">
        <v>10</v>
      </c>
      <c r="CY46" s="70">
        <f t="shared" si="39"/>
        <v>37</v>
      </c>
      <c r="CZ46" s="151">
        <v>44</v>
      </c>
      <c r="DA46" s="70">
        <f t="shared" si="40"/>
        <v>81</v>
      </c>
      <c r="DB46" s="70">
        <f t="shared" si="41"/>
        <v>2</v>
      </c>
      <c r="DC46" s="70" t="str">
        <f t="shared" si="42"/>
        <v>A</v>
      </c>
      <c r="DD46" s="70" t="str">
        <f t="shared" si="43"/>
        <v>Excellent</v>
      </c>
      <c r="DE46" s="3">
        <v>44</v>
      </c>
      <c r="DF46" s="59"/>
      <c r="DG46" s="147">
        <v>10</v>
      </c>
      <c r="DH46" s="147">
        <v>10</v>
      </c>
      <c r="DI46" s="147">
        <v>10</v>
      </c>
      <c r="DJ46" s="147">
        <v>10</v>
      </c>
      <c r="DK46" s="59">
        <f t="shared" si="44"/>
        <v>40</v>
      </c>
      <c r="DL46" s="147">
        <v>26</v>
      </c>
      <c r="DM46" s="59">
        <f t="shared" si="45"/>
        <v>66</v>
      </c>
      <c r="DN46" s="59">
        <f t="shared" si="46"/>
        <v>25</v>
      </c>
      <c r="DO46" s="59" t="str">
        <f t="shared" si="47"/>
        <v>C</v>
      </c>
      <c r="DP46" s="59" t="str">
        <f t="shared" si="48"/>
        <v>Credit</v>
      </c>
      <c r="DQ46" s="3">
        <v>44</v>
      </c>
      <c r="DR46" s="164" t="s">
        <v>158</v>
      </c>
      <c r="DS46" s="11">
        <v>9</v>
      </c>
      <c r="DT46" s="11">
        <v>9</v>
      </c>
      <c r="DU46" s="11">
        <v>9</v>
      </c>
      <c r="DV46" s="11">
        <v>10</v>
      </c>
      <c r="DW46" s="102">
        <f t="shared" si="49"/>
        <v>37</v>
      </c>
      <c r="DX46" s="11">
        <v>36</v>
      </c>
      <c r="DY46" s="102">
        <f t="shared" si="50"/>
        <v>73</v>
      </c>
      <c r="DZ46" s="102">
        <f t="shared" si="51"/>
        <v>2</v>
      </c>
      <c r="EA46" s="102" t="str">
        <f t="shared" si="52"/>
        <v>A</v>
      </c>
      <c r="EB46" s="102" t="str">
        <f t="shared" si="53"/>
        <v>Excellent</v>
      </c>
      <c r="EC46" s="3">
        <v>44</v>
      </c>
      <c r="ED46" s="75"/>
      <c r="EE46" s="152">
        <v>9</v>
      </c>
      <c r="EF46" s="152">
        <v>9</v>
      </c>
      <c r="EG46" s="152">
        <v>9</v>
      </c>
      <c r="EH46" s="152">
        <v>9</v>
      </c>
      <c r="EI46" s="75">
        <f t="shared" si="54"/>
        <v>36</v>
      </c>
      <c r="EJ46" s="152">
        <v>32</v>
      </c>
      <c r="EK46" s="75">
        <f t="shared" si="94"/>
        <v>68</v>
      </c>
      <c r="EL46" s="75">
        <f t="shared" si="55"/>
        <v>3</v>
      </c>
      <c r="EM46" s="75" t="str">
        <f t="shared" si="56"/>
        <v>C</v>
      </c>
      <c r="EN46" s="75" t="str">
        <f t="shared" si="57"/>
        <v>Credit</v>
      </c>
      <c r="EO46" s="3">
        <v>44</v>
      </c>
      <c r="EP46" s="164" t="s">
        <v>158</v>
      </c>
      <c r="EQ46" s="3">
        <v>6</v>
      </c>
      <c r="ER46" s="3">
        <v>7</v>
      </c>
      <c r="ES46" s="3">
        <v>10</v>
      </c>
      <c r="ET46" s="3">
        <v>10</v>
      </c>
      <c r="EU46" s="98">
        <f t="shared" si="58"/>
        <v>33</v>
      </c>
      <c r="EV46" s="3">
        <v>20</v>
      </c>
      <c r="EW46" s="98">
        <f t="shared" si="59"/>
        <v>53</v>
      </c>
      <c r="EX46" s="98">
        <f t="shared" si="60"/>
        <v>12</v>
      </c>
      <c r="EY46" s="98" t="str">
        <f t="shared" si="61"/>
        <v>C</v>
      </c>
      <c r="EZ46" s="98" t="str">
        <f t="shared" si="62"/>
        <v>Credit</v>
      </c>
      <c r="FA46" s="3">
        <v>44</v>
      </c>
      <c r="FB46" s="113"/>
      <c r="FC46" s="147">
        <v>10</v>
      </c>
      <c r="FD46" s="147">
        <v>10</v>
      </c>
      <c r="FE46" s="147">
        <v>9</v>
      </c>
      <c r="FF46" s="147">
        <v>10</v>
      </c>
      <c r="FG46" s="113">
        <f t="shared" si="63"/>
        <v>39</v>
      </c>
      <c r="FH46" s="147">
        <v>50</v>
      </c>
      <c r="FI46" s="113">
        <f t="shared" si="64"/>
        <v>89</v>
      </c>
      <c r="FJ46" s="113">
        <f t="shared" si="65"/>
        <v>3</v>
      </c>
      <c r="FK46" s="113" t="str">
        <f t="shared" si="66"/>
        <v>A</v>
      </c>
      <c r="FL46" s="113" t="str">
        <f t="shared" si="67"/>
        <v>Excellent</v>
      </c>
      <c r="FM46" s="3">
        <v>44</v>
      </c>
      <c r="FN46" s="53"/>
      <c r="FO46" s="152">
        <v>10</v>
      </c>
      <c r="FP46" s="152">
        <v>10</v>
      </c>
      <c r="FQ46" s="152">
        <v>10</v>
      </c>
      <c r="FR46" s="153">
        <v>6</v>
      </c>
      <c r="FS46" s="53">
        <f t="shared" si="68"/>
        <v>36</v>
      </c>
      <c r="FT46" s="153">
        <v>48</v>
      </c>
      <c r="FU46" s="53">
        <f t="shared" si="69"/>
        <v>84</v>
      </c>
      <c r="FV46" s="53">
        <f t="shared" si="70"/>
        <v>1</v>
      </c>
      <c r="FW46" s="53" t="str">
        <f t="shared" si="71"/>
        <v>A</v>
      </c>
      <c r="FX46" s="53" t="str">
        <f t="shared" si="72"/>
        <v>Excellent</v>
      </c>
      <c r="FY46" s="3">
        <v>44</v>
      </c>
      <c r="FZ46" s="80"/>
      <c r="GA46" s="80"/>
      <c r="GB46" s="80"/>
      <c r="GC46" s="80"/>
      <c r="GD46" s="80"/>
      <c r="GE46" s="80">
        <f t="shared" si="73"/>
        <v>0</v>
      </c>
      <c r="GF46" s="80"/>
      <c r="GG46" s="80">
        <f t="shared" si="74"/>
        <v>0</v>
      </c>
      <c r="GH46" s="80" t="str">
        <f t="shared" si="75"/>
        <v/>
      </c>
      <c r="GI46" s="80" t="str">
        <f t="shared" si="76"/>
        <v/>
      </c>
      <c r="GJ46" s="80" t="str">
        <f t="shared" si="77"/>
        <v/>
      </c>
      <c r="GK46" s="3">
        <v>44</v>
      </c>
      <c r="GL46" s="164" t="s">
        <v>158</v>
      </c>
      <c r="GM46" s="155">
        <v>10</v>
      </c>
      <c r="GN46" s="155">
        <v>10</v>
      </c>
      <c r="GO46" s="155">
        <v>10</v>
      </c>
      <c r="GP46" s="155">
        <v>10</v>
      </c>
      <c r="GQ46" s="113">
        <f t="shared" si="78"/>
        <v>40</v>
      </c>
      <c r="GR46" s="155">
        <v>47</v>
      </c>
      <c r="GS46" s="113">
        <f t="shared" si="79"/>
        <v>87</v>
      </c>
      <c r="GT46" s="113">
        <f t="shared" si="80"/>
        <v>1</v>
      </c>
      <c r="GU46" s="113" t="str">
        <f t="shared" si="81"/>
        <v>A</v>
      </c>
      <c r="GV46" s="113" t="str">
        <f t="shared" si="82"/>
        <v>Excellent</v>
      </c>
      <c r="GW46" s="3">
        <v>44</v>
      </c>
      <c r="GX46" s="107"/>
      <c r="GY46" s="152">
        <v>10</v>
      </c>
      <c r="GZ46" s="152">
        <v>8</v>
      </c>
      <c r="HA46" s="152">
        <v>10</v>
      </c>
      <c r="HB46" s="152">
        <v>10</v>
      </c>
      <c r="HC46" s="107">
        <f t="shared" si="83"/>
        <v>38</v>
      </c>
      <c r="HD46" s="152">
        <v>53</v>
      </c>
      <c r="HE46" s="107">
        <f t="shared" si="84"/>
        <v>91</v>
      </c>
      <c r="HF46" s="107">
        <f t="shared" si="85"/>
        <v>1</v>
      </c>
      <c r="HG46" s="107" t="str">
        <f t="shared" si="86"/>
        <v>A</v>
      </c>
      <c r="HH46" s="107" t="str">
        <f t="shared" si="87"/>
        <v>Excellent</v>
      </c>
    </row>
    <row r="47" spans="1:216" ht="18.75">
      <c r="A47" s="186">
        <v>45</v>
      </c>
      <c r="B47" s="164" t="s">
        <v>159</v>
      </c>
      <c r="C47" s="53">
        <v>6</v>
      </c>
      <c r="D47" s="53">
        <v>8</v>
      </c>
      <c r="E47" s="53">
        <v>8</v>
      </c>
      <c r="F47" s="53">
        <v>10</v>
      </c>
      <c r="G47" s="53">
        <f t="shared" si="92"/>
        <v>32</v>
      </c>
      <c r="H47" s="53">
        <v>44</v>
      </c>
      <c r="I47" s="53">
        <f t="shared" si="93"/>
        <v>76</v>
      </c>
      <c r="J47" s="53">
        <f t="shared" si="3"/>
        <v>2</v>
      </c>
      <c r="K47" s="53" t="str">
        <f t="shared" si="4"/>
        <v>A</v>
      </c>
      <c r="L47" s="53" t="str">
        <f t="shared" si="5"/>
        <v>Excellent</v>
      </c>
      <c r="M47" s="44">
        <v>45</v>
      </c>
      <c r="N47" s="59"/>
      <c r="O47" s="63">
        <v>5</v>
      </c>
      <c r="P47" s="63">
        <v>6</v>
      </c>
      <c r="Q47" s="63">
        <v>10</v>
      </c>
      <c r="R47" s="136">
        <v>10</v>
      </c>
      <c r="S47" s="59">
        <f t="shared" si="90"/>
        <v>31</v>
      </c>
      <c r="T47" s="63">
        <v>29</v>
      </c>
      <c r="U47" s="59">
        <f t="shared" si="7"/>
        <v>60</v>
      </c>
      <c r="V47" s="59">
        <f t="shared" si="8"/>
        <v>1</v>
      </c>
      <c r="W47" s="59" t="str">
        <f t="shared" si="9"/>
        <v>C</v>
      </c>
      <c r="X47" s="59" t="str">
        <f t="shared" si="10"/>
        <v>Credit</v>
      </c>
      <c r="Y47" s="3">
        <v>45</v>
      </c>
      <c r="Z47" s="80"/>
      <c r="AA47" s="80">
        <v>10</v>
      </c>
      <c r="AB47" s="80">
        <v>9</v>
      </c>
      <c r="AC47" s="80">
        <v>7</v>
      </c>
      <c r="AD47" s="80">
        <v>7</v>
      </c>
      <c r="AE47" s="80">
        <f t="shared" si="91"/>
        <v>33</v>
      </c>
      <c r="AF47" s="80">
        <v>39</v>
      </c>
      <c r="AG47" s="80">
        <f t="shared" si="11"/>
        <v>72</v>
      </c>
      <c r="AH47" s="80">
        <f t="shared" si="12"/>
        <v>8</v>
      </c>
      <c r="AI47" s="80" t="str">
        <f t="shared" si="13"/>
        <v>A</v>
      </c>
      <c r="AJ47" s="80" t="str">
        <f t="shared" si="14"/>
        <v>Excellent</v>
      </c>
      <c r="AK47" s="3">
        <v>45</v>
      </c>
      <c r="AL47" s="164" t="s">
        <v>159</v>
      </c>
      <c r="AM47" s="47"/>
      <c r="AN47" s="47"/>
      <c r="AO47" s="47"/>
      <c r="AP47" s="47"/>
      <c r="AQ47" s="47">
        <f t="shared" si="15"/>
        <v>0</v>
      </c>
      <c r="AR47" s="47"/>
      <c r="AS47" s="47">
        <f t="shared" si="16"/>
        <v>0</v>
      </c>
      <c r="AT47" s="47" t="str">
        <f t="shared" si="17"/>
        <v/>
      </c>
      <c r="AU47" s="47" t="str">
        <f t="shared" si="18"/>
        <v/>
      </c>
      <c r="AV47" s="47" t="str">
        <f t="shared" si="19"/>
        <v/>
      </c>
      <c r="AW47" s="3">
        <v>45</v>
      </c>
      <c r="AX47" s="164" t="s">
        <v>159</v>
      </c>
      <c r="AY47" s="85">
        <v>10</v>
      </c>
      <c r="AZ47" s="85">
        <v>10</v>
      </c>
      <c r="BA47" s="85">
        <v>5</v>
      </c>
      <c r="BB47" s="85">
        <v>8</v>
      </c>
      <c r="BC47" s="85">
        <f t="shared" si="20"/>
        <v>33</v>
      </c>
      <c r="BD47" s="85">
        <v>46</v>
      </c>
      <c r="BE47" s="85">
        <f t="shared" si="21"/>
        <v>79</v>
      </c>
      <c r="BF47" s="85">
        <f t="shared" si="22"/>
        <v>9</v>
      </c>
      <c r="BG47" s="85" t="str">
        <f t="shared" si="23"/>
        <v>A</v>
      </c>
      <c r="BH47" s="85" t="str">
        <f t="shared" si="24"/>
        <v>Excellent</v>
      </c>
      <c r="BI47" s="3">
        <v>45</v>
      </c>
      <c r="BJ47" s="90"/>
      <c r="BK47" s="166">
        <v>7</v>
      </c>
      <c r="BL47" s="166">
        <v>8</v>
      </c>
      <c r="BM47" s="166">
        <v>2</v>
      </c>
      <c r="BN47" s="166">
        <v>10</v>
      </c>
      <c r="BO47" s="90">
        <f t="shared" si="25"/>
        <v>27</v>
      </c>
      <c r="BP47" s="172">
        <v>34</v>
      </c>
      <c r="BQ47" s="90">
        <f t="shared" si="26"/>
        <v>61</v>
      </c>
      <c r="BR47" s="90">
        <f t="shared" si="27"/>
        <v>8</v>
      </c>
      <c r="BS47" s="90" t="str">
        <f t="shared" si="28"/>
        <v>C</v>
      </c>
      <c r="BT47" s="90" t="str">
        <f t="shared" si="29"/>
        <v>Credit</v>
      </c>
      <c r="BU47" s="3">
        <v>45</v>
      </c>
      <c r="BV47" s="164" t="s">
        <v>159</v>
      </c>
      <c r="BW47" s="94">
        <v>9</v>
      </c>
      <c r="BX47" s="94">
        <v>6</v>
      </c>
      <c r="BY47" s="94">
        <v>9</v>
      </c>
      <c r="BZ47" s="94">
        <v>8</v>
      </c>
      <c r="CA47" s="94">
        <f t="shared" si="30"/>
        <v>32</v>
      </c>
      <c r="CB47" s="94">
        <v>40</v>
      </c>
      <c r="CC47" s="94">
        <f t="shared" si="31"/>
        <v>72</v>
      </c>
      <c r="CD47" s="94">
        <f t="shared" si="32"/>
        <v>4</v>
      </c>
      <c r="CE47" s="94" t="str">
        <f t="shared" si="33"/>
        <v>A</v>
      </c>
      <c r="CF47" s="94" t="str">
        <f t="shared" si="34"/>
        <v>Excellent</v>
      </c>
      <c r="CG47" s="3">
        <v>45</v>
      </c>
      <c r="CH47" s="164" t="s">
        <v>159</v>
      </c>
      <c r="CI47" s="66">
        <v>10</v>
      </c>
      <c r="CJ47" s="66">
        <v>8</v>
      </c>
      <c r="CK47" s="66">
        <v>10</v>
      </c>
      <c r="CL47" s="66">
        <v>9</v>
      </c>
      <c r="CM47" s="66">
        <f t="shared" si="35"/>
        <v>37</v>
      </c>
      <c r="CN47" s="66">
        <v>41</v>
      </c>
      <c r="CO47" s="66">
        <f t="shared" si="89"/>
        <v>78</v>
      </c>
      <c r="CP47" s="66">
        <f t="shared" si="36"/>
        <v>8</v>
      </c>
      <c r="CQ47" s="66" t="str">
        <f t="shared" si="37"/>
        <v>A</v>
      </c>
      <c r="CR47" s="66" t="str">
        <f t="shared" si="38"/>
        <v>Excellent</v>
      </c>
      <c r="CS47" s="3">
        <v>45</v>
      </c>
      <c r="CT47" s="164" t="s">
        <v>159</v>
      </c>
      <c r="CU47" s="70">
        <v>5</v>
      </c>
      <c r="CV47" s="70">
        <v>8</v>
      </c>
      <c r="CW47" s="70">
        <v>8</v>
      </c>
      <c r="CX47" s="70">
        <v>10</v>
      </c>
      <c r="CY47" s="70">
        <f t="shared" si="39"/>
        <v>31</v>
      </c>
      <c r="CZ47" s="70">
        <v>39</v>
      </c>
      <c r="DA47" s="70">
        <f t="shared" si="40"/>
        <v>70</v>
      </c>
      <c r="DB47" s="70">
        <f t="shared" si="41"/>
        <v>12</v>
      </c>
      <c r="DC47" s="70" t="str">
        <f t="shared" si="42"/>
        <v>A</v>
      </c>
      <c r="DD47" s="70" t="str">
        <f t="shared" si="43"/>
        <v>Excellent</v>
      </c>
      <c r="DE47" s="3">
        <v>45</v>
      </c>
      <c r="DF47" s="59"/>
      <c r="DG47" s="59">
        <v>9</v>
      </c>
      <c r="DH47" s="59">
        <v>10</v>
      </c>
      <c r="DI47" s="59">
        <v>8</v>
      </c>
      <c r="DJ47" s="59">
        <v>10</v>
      </c>
      <c r="DK47" s="59">
        <f t="shared" si="44"/>
        <v>37</v>
      </c>
      <c r="DL47" s="59">
        <v>42</v>
      </c>
      <c r="DM47" s="59">
        <f t="shared" si="45"/>
        <v>79</v>
      </c>
      <c r="DN47" s="59">
        <f t="shared" si="46"/>
        <v>7</v>
      </c>
      <c r="DO47" s="59" t="str">
        <f t="shared" si="47"/>
        <v>A</v>
      </c>
      <c r="DP47" s="59" t="str">
        <f t="shared" si="48"/>
        <v>Excellent</v>
      </c>
      <c r="DQ47" s="3">
        <v>45</v>
      </c>
      <c r="DR47" s="164" t="s">
        <v>159</v>
      </c>
      <c r="DS47" s="102">
        <v>10</v>
      </c>
      <c r="DT47" s="102">
        <v>10</v>
      </c>
      <c r="DU47" s="102">
        <v>9</v>
      </c>
      <c r="DV47" s="102">
        <v>10</v>
      </c>
      <c r="DW47" s="102">
        <f t="shared" si="49"/>
        <v>39</v>
      </c>
      <c r="DX47" s="102">
        <v>36</v>
      </c>
      <c r="DY47" s="102">
        <f t="shared" si="50"/>
        <v>75</v>
      </c>
      <c r="DZ47" s="102">
        <f t="shared" si="51"/>
        <v>1</v>
      </c>
      <c r="EA47" s="102" t="str">
        <f t="shared" si="52"/>
        <v>A</v>
      </c>
      <c r="EB47" s="102" t="str">
        <f t="shared" si="53"/>
        <v>Excellent</v>
      </c>
      <c r="EC47" s="3">
        <v>45</v>
      </c>
      <c r="ED47" s="75"/>
      <c r="EE47" s="75">
        <v>7</v>
      </c>
      <c r="EF47" s="75">
        <v>9</v>
      </c>
      <c r="EG47" s="75">
        <v>9</v>
      </c>
      <c r="EH47" s="75">
        <v>4</v>
      </c>
      <c r="EI47" s="75">
        <f t="shared" si="54"/>
        <v>29</v>
      </c>
      <c r="EJ47" s="75">
        <v>25</v>
      </c>
      <c r="EK47" s="75">
        <f t="shared" si="94"/>
        <v>54</v>
      </c>
      <c r="EL47" s="75">
        <f t="shared" si="55"/>
        <v>17</v>
      </c>
      <c r="EM47" s="75" t="str">
        <f t="shared" si="56"/>
        <v>C</v>
      </c>
      <c r="EN47" s="75" t="str">
        <f t="shared" si="57"/>
        <v>Credit</v>
      </c>
      <c r="EO47" s="3">
        <v>45</v>
      </c>
      <c r="EP47" s="164" t="s">
        <v>159</v>
      </c>
      <c r="EQ47" s="98">
        <v>10</v>
      </c>
      <c r="ER47" s="98">
        <v>8</v>
      </c>
      <c r="ES47" s="98">
        <v>8</v>
      </c>
      <c r="ET47" s="98">
        <v>10</v>
      </c>
      <c r="EU47" s="98">
        <f t="shared" si="58"/>
        <v>36</v>
      </c>
      <c r="EV47" s="98">
        <v>35</v>
      </c>
      <c r="EW47" s="98">
        <f t="shared" si="59"/>
        <v>71</v>
      </c>
      <c r="EX47" s="98">
        <f t="shared" si="60"/>
        <v>2</v>
      </c>
      <c r="EY47" s="98" t="str">
        <f t="shared" si="61"/>
        <v>A</v>
      </c>
      <c r="EZ47" s="98" t="str">
        <f t="shared" si="62"/>
        <v>Excellent</v>
      </c>
      <c r="FA47" s="3">
        <v>45</v>
      </c>
      <c r="FB47" s="113"/>
      <c r="FC47" s="113">
        <v>9</v>
      </c>
      <c r="FD47" s="113">
        <v>10</v>
      </c>
      <c r="FE47" s="113">
        <v>9</v>
      </c>
      <c r="FF47" s="113">
        <v>10</v>
      </c>
      <c r="FG47" s="113">
        <f t="shared" si="63"/>
        <v>38</v>
      </c>
      <c r="FH47" s="113">
        <v>51</v>
      </c>
      <c r="FI47" s="113">
        <f t="shared" si="64"/>
        <v>89</v>
      </c>
      <c r="FJ47" s="113">
        <f t="shared" si="65"/>
        <v>3</v>
      </c>
      <c r="FK47" s="113" t="str">
        <f t="shared" si="66"/>
        <v>A</v>
      </c>
      <c r="FL47" s="113" t="str">
        <f t="shared" si="67"/>
        <v>Excellent</v>
      </c>
      <c r="FM47" s="3">
        <v>45</v>
      </c>
      <c r="FN47" s="53"/>
      <c r="FO47" s="53">
        <v>10</v>
      </c>
      <c r="FP47" s="53">
        <v>10</v>
      </c>
      <c r="FQ47" s="53">
        <v>10</v>
      </c>
      <c r="FR47" s="53">
        <v>1</v>
      </c>
      <c r="FS47" s="53">
        <f t="shared" si="68"/>
        <v>31</v>
      </c>
      <c r="FT47" s="53">
        <v>41</v>
      </c>
      <c r="FU47" s="53">
        <f t="shared" si="69"/>
        <v>72</v>
      </c>
      <c r="FV47" s="53">
        <f t="shared" si="70"/>
        <v>14</v>
      </c>
      <c r="FW47" s="53" t="str">
        <f t="shared" si="71"/>
        <v>A</v>
      </c>
      <c r="FX47" s="53" t="str">
        <f t="shared" si="72"/>
        <v>Excellent</v>
      </c>
      <c r="FY47" s="3">
        <v>45</v>
      </c>
      <c r="FZ47" s="80"/>
      <c r="GA47" s="80"/>
      <c r="GB47" s="80"/>
      <c r="GC47" s="80"/>
      <c r="GD47" s="80"/>
      <c r="GE47" s="80">
        <f t="shared" si="73"/>
        <v>0</v>
      </c>
      <c r="GF47" s="80"/>
      <c r="GG47" s="80">
        <f t="shared" si="74"/>
        <v>0</v>
      </c>
      <c r="GH47" s="80" t="str">
        <f t="shared" si="75"/>
        <v/>
      </c>
      <c r="GI47" s="80" t="str">
        <f t="shared" si="76"/>
        <v/>
      </c>
      <c r="GJ47" s="80" t="str">
        <f t="shared" si="77"/>
        <v/>
      </c>
      <c r="GK47" s="3">
        <v>45</v>
      </c>
      <c r="GL47" s="164" t="s">
        <v>159</v>
      </c>
      <c r="GM47" s="113">
        <v>6</v>
      </c>
      <c r="GN47" s="113">
        <v>8</v>
      </c>
      <c r="GO47" s="113">
        <v>8</v>
      </c>
      <c r="GP47" s="113">
        <v>9</v>
      </c>
      <c r="GQ47" s="113">
        <f t="shared" si="78"/>
        <v>31</v>
      </c>
      <c r="GR47" s="113">
        <v>38</v>
      </c>
      <c r="GS47" s="113">
        <f t="shared" si="79"/>
        <v>69</v>
      </c>
      <c r="GT47" s="113">
        <f t="shared" si="80"/>
        <v>10</v>
      </c>
      <c r="GU47" s="113" t="str">
        <f t="shared" si="81"/>
        <v>C</v>
      </c>
      <c r="GV47" s="113" t="str">
        <f t="shared" si="82"/>
        <v>Credit</v>
      </c>
      <c r="GW47" s="3">
        <v>45</v>
      </c>
      <c r="GX47" s="107"/>
      <c r="GY47" s="107">
        <v>10</v>
      </c>
      <c r="GZ47" s="107">
        <v>8</v>
      </c>
      <c r="HA47" s="107">
        <v>10</v>
      </c>
      <c r="HB47" s="107">
        <v>10</v>
      </c>
      <c r="HC47" s="107">
        <f t="shared" si="83"/>
        <v>38</v>
      </c>
      <c r="HD47" s="107">
        <v>49</v>
      </c>
      <c r="HE47" s="107">
        <f t="shared" si="84"/>
        <v>87</v>
      </c>
      <c r="HF47" s="107">
        <f t="shared" si="85"/>
        <v>4</v>
      </c>
      <c r="HG47" s="107" t="str">
        <f t="shared" si="86"/>
        <v>A</v>
      </c>
      <c r="HH47" s="107" t="str">
        <f t="shared" si="87"/>
        <v>Excellent</v>
      </c>
    </row>
    <row r="48" spans="1:216" ht="18.75">
      <c r="A48" s="185">
        <v>46</v>
      </c>
      <c r="B48" s="164" t="s">
        <v>160</v>
      </c>
      <c r="C48" s="53">
        <v>6</v>
      </c>
      <c r="D48" s="53">
        <v>8</v>
      </c>
      <c r="E48" s="53">
        <v>8</v>
      </c>
      <c r="F48" s="53">
        <v>7</v>
      </c>
      <c r="G48" s="53">
        <f t="shared" si="92"/>
        <v>29</v>
      </c>
      <c r="H48" s="53">
        <v>31</v>
      </c>
      <c r="I48" s="53">
        <f t="shared" si="93"/>
        <v>60</v>
      </c>
      <c r="J48" s="53">
        <f t="shared" si="3"/>
        <v>29</v>
      </c>
      <c r="K48" s="53" t="str">
        <f t="shared" si="4"/>
        <v>C</v>
      </c>
      <c r="L48" s="53" t="str">
        <f t="shared" si="5"/>
        <v>Credit</v>
      </c>
      <c r="M48" s="44">
        <v>46</v>
      </c>
      <c r="N48" s="59"/>
      <c r="O48" s="63">
        <v>4</v>
      </c>
      <c r="P48" s="63">
        <v>2</v>
      </c>
      <c r="Q48" s="63">
        <v>8</v>
      </c>
      <c r="R48" s="136">
        <v>10</v>
      </c>
      <c r="S48" s="59">
        <f t="shared" si="90"/>
        <v>24</v>
      </c>
      <c r="T48" s="63">
        <v>17</v>
      </c>
      <c r="U48" s="59">
        <f t="shared" si="7"/>
        <v>41</v>
      </c>
      <c r="V48" s="59">
        <f t="shared" si="8"/>
        <v>28</v>
      </c>
      <c r="W48" s="59" t="str">
        <f t="shared" si="9"/>
        <v>F</v>
      </c>
      <c r="X48" s="59" t="str">
        <f t="shared" si="10"/>
        <v>Fail</v>
      </c>
      <c r="Y48" s="3">
        <v>46</v>
      </c>
      <c r="Z48" s="80"/>
      <c r="AA48" s="80">
        <v>8</v>
      </c>
      <c r="AB48" s="80">
        <v>7</v>
      </c>
      <c r="AC48" s="80">
        <v>3</v>
      </c>
      <c r="AD48" s="80">
        <v>5</v>
      </c>
      <c r="AE48" s="80">
        <f>SUM(AA48:AD48)</f>
        <v>23</v>
      </c>
      <c r="AF48" s="80">
        <v>32</v>
      </c>
      <c r="AG48" s="80">
        <f t="shared" si="11"/>
        <v>55</v>
      </c>
      <c r="AH48" s="80">
        <f t="shared" si="12"/>
        <v>35</v>
      </c>
      <c r="AI48" s="80" t="str">
        <f t="shared" si="13"/>
        <v>C</v>
      </c>
      <c r="AJ48" s="80" t="str">
        <f t="shared" si="14"/>
        <v>Credit</v>
      </c>
      <c r="AK48" s="3">
        <v>46</v>
      </c>
      <c r="AL48" s="164" t="s">
        <v>160</v>
      </c>
      <c r="AM48" s="47"/>
      <c r="AN48" s="47"/>
      <c r="AO48" s="47"/>
      <c r="AP48" s="47"/>
      <c r="AQ48" s="47">
        <f t="shared" si="15"/>
        <v>0</v>
      </c>
      <c r="AR48" s="47"/>
      <c r="AS48" s="47">
        <f t="shared" si="16"/>
        <v>0</v>
      </c>
      <c r="AT48" s="47" t="str">
        <f t="shared" si="17"/>
        <v/>
      </c>
      <c r="AU48" s="47" t="str">
        <f t="shared" si="18"/>
        <v/>
      </c>
      <c r="AV48" s="47" t="str">
        <f t="shared" si="19"/>
        <v/>
      </c>
      <c r="AW48" s="3">
        <v>46</v>
      </c>
      <c r="AX48" s="164" t="s">
        <v>160</v>
      </c>
      <c r="AY48" s="85">
        <v>9</v>
      </c>
      <c r="AZ48" s="85">
        <v>5</v>
      </c>
      <c r="BA48" s="85">
        <v>7</v>
      </c>
      <c r="BB48" s="85">
        <v>10</v>
      </c>
      <c r="BC48" s="85">
        <f t="shared" si="20"/>
        <v>31</v>
      </c>
      <c r="BD48" s="85">
        <v>28</v>
      </c>
      <c r="BE48" s="85">
        <f t="shared" si="21"/>
        <v>59</v>
      </c>
      <c r="BF48" s="85">
        <f t="shared" si="22"/>
        <v>37</v>
      </c>
      <c r="BG48" s="85" t="str">
        <f t="shared" si="23"/>
        <v>C</v>
      </c>
      <c r="BH48" s="85" t="str">
        <f t="shared" si="24"/>
        <v>Credit</v>
      </c>
      <c r="BI48" s="3">
        <v>46</v>
      </c>
      <c r="BJ48" s="90"/>
      <c r="BK48" s="166">
        <v>5</v>
      </c>
      <c r="BL48" s="166">
        <v>6</v>
      </c>
      <c r="BM48" s="166">
        <v>10</v>
      </c>
      <c r="BN48" s="166">
        <v>10</v>
      </c>
      <c r="BO48" s="90">
        <f t="shared" si="25"/>
        <v>31</v>
      </c>
      <c r="BP48" s="172">
        <v>26</v>
      </c>
      <c r="BQ48" s="90">
        <f t="shared" si="26"/>
        <v>57</v>
      </c>
      <c r="BR48" s="90">
        <f t="shared" si="27"/>
        <v>13</v>
      </c>
      <c r="BS48" s="90" t="str">
        <f t="shared" si="28"/>
        <v>C</v>
      </c>
      <c r="BT48" s="90" t="str">
        <f t="shared" si="29"/>
        <v>Credit</v>
      </c>
      <c r="BU48" s="3">
        <v>46</v>
      </c>
      <c r="BV48" s="164" t="s">
        <v>160</v>
      </c>
      <c r="BW48" s="94">
        <v>7</v>
      </c>
      <c r="BX48" s="94">
        <v>4</v>
      </c>
      <c r="BY48" s="94">
        <v>4</v>
      </c>
      <c r="BZ48" s="94">
        <v>9</v>
      </c>
      <c r="CA48" s="94">
        <v>8</v>
      </c>
      <c r="CB48" s="94">
        <v>30</v>
      </c>
      <c r="CC48" s="94">
        <v>30</v>
      </c>
      <c r="CD48" s="94">
        <f t="shared" si="32"/>
        <v>47</v>
      </c>
      <c r="CE48" s="94" t="str">
        <f t="shared" si="33"/>
        <v>F</v>
      </c>
      <c r="CF48" s="94" t="str">
        <f t="shared" si="34"/>
        <v>Fail</v>
      </c>
      <c r="CG48" s="3">
        <v>46</v>
      </c>
      <c r="CH48" s="164" t="s">
        <v>160</v>
      </c>
      <c r="CI48" s="66">
        <v>8</v>
      </c>
      <c r="CJ48" s="66">
        <v>8</v>
      </c>
      <c r="CK48" s="66">
        <v>10</v>
      </c>
      <c r="CL48" s="66">
        <v>8</v>
      </c>
      <c r="CM48" s="66">
        <f t="shared" si="35"/>
        <v>34</v>
      </c>
      <c r="CN48" s="66">
        <v>23</v>
      </c>
      <c r="CO48" s="66">
        <f t="shared" si="89"/>
        <v>57</v>
      </c>
      <c r="CP48" s="66">
        <f t="shared" si="36"/>
        <v>31</v>
      </c>
      <c r="CQ48" s="66" t="str">
        <f t="shared" si="37"/>
        <v>C</v>
      </c>
      <c r="CR48" s="66" t="str">
        <f t="shared" si="38"/>
        <v>Credit</v>
      </c>
      <c r="CS48" s="3">
        <v>46</v>
      </c>
      <c r="CT48" s="164" t="s">
        <v>160</v>
      </c>
      <c r="CU48" s="70">
        <v>6</v>
      </c>
      <c r="CV48" s="70">
        <v>6</v>
      </c>
      <c r="CW48" s="70">
        <v>8</v>
      </c>
      <c r="CX48" s="70">
        <v>10</v>
      </c>
      <c r="CY48" s="70">
        <f t="shared" si="39"/>
        <v>30</v>
      </c>
      <c r="CZ48" s="70">
        <v>30</v>
      </c>
      <c r="DA48" s="70">
        <f t="shared" si="40"/>
        <v>60</v>
      </c>
      <c r="DB48" s="70">
        <f t="shared" si="41"/>
        <v>29</v>
      </c>
      <c r="DC48" s="70" t="str">
        <f t="shared" si="42"/>
        <v>C</v>
      </c>
      <c r="DD48" s="70" t="str">
        <f t="shared" si="43"/>
        <v>Credit</v>
      </c>
      <c r="DE48" s="3">
        <v>46</v>
      </c>
      <c r="DF48" s="59"/>
      <c r="DG48" s="59">
        <v>9</v>
      </c>
      <c r="DH48" s="59">
        <v>10</v>
      </c>
      <c r="DI48" s="59">
        <v>8</v>
      </c>
      <c r="DJ48" s="59">
        <v>10</v>
      </c>
      <c r="DK48" s="59">
        <f t="shared" si="44"/>
        <v>37</v>
      </c>
      <c r="DL48" s="59">
        <v>34</v>
      </c>
      <c r="DM48" s="59">
        <f t="shared" si="45"/>
        <v>71</v>
      </c>
      <c r="DN48" s="59">
        <f t="shared" si="46"/>
        <v>16</v>
      </c>
      <c r="DO48" s="59" t="str">
        <f t="shared" si="47"/>
        <v>A</v>
      </c>
      <c r="DP48" s="59" t="str">
        <f t="shared" si="48"/>
        <v>Excellent</v>
      </c>
      <c r="DQ48" s="3">
        <v>46</v>
      </c>
      <c r="DR48" s="164" t="s">
        <v>160</v>
      </c>
      <c r="DS48" s="102">
        <v>8</v>
      </c>
      <c r="DT48" s="102">
        <v>6</v>
      </c>
      <c r="DU48" s="102">
        <v>10</v>
      </c>
      <c r="DV48" s="102">
        <v>9</v>
      </c>
      <c r="DW48" s="102">
        <f t="shared" si="49"/>
        <v>33</v>
      </c>
      <c r="DX48" s="102">
        <v>28</v>
      </c>
      <c r="DY48" s="102">
        <f t="shared" si="50"/>
        <v>61</v>
      </c>
      <c r="DZ48" s="102">
        <f t="shared" si="51"/>
        <v>28</v>
      </c>
      <c r="EA48" s="102" t="str">
        <f t="shared" si="52"/>
        <v>C</v>
      </c>
      <c r="EB48" s="102" t="str">
        <f t="shared" si="53"/>
        <v>Credit</v>
      </c>
      <c r="EC48" s="3">
        <v>46</v>
      </c>
      <c r="ED48" s="75"/>
      <c r="EE48" s="75">
        <v>8</v>
      </c>
      <c r="EF48" s="75">
        <v>9</v>
      </c>
      <c r="EG48" s="75">
        <v>10</v>
      </c>
      <c r="EH48" s="75">
        <v>7</v>
      </c>
      <c r="EI48" s="75">
        <f t="shared" si="54"/>
        <v>34</v>
      </c>
      <c r="EJ48" s="75">
        <v>22</v>
      </c>
      <c r="EK48" s="75">
        <f t="shared" si="94"/>
        <v>56</v>
      </c>
      <c r="EL48" s="75">
        <f t="shared" si="55"/>
        <v>13</v>
      </c>
      <c r="EM48" s="75" t="str">
        <f t="shared" si="56"/>
        <v>C</v>
      </c>
      <c r="EN48" s="75" t="str">
        <f t="shared" si="57"/>
        <v>Credit</v>
      </c>
      <c r="EO48" s="3">
        <v>46</v>
      </c>
      <c r="EP48" s="164" t="s">
        <v>160</v>
      </c>
      <c r="EQ48" s="98">
        <v>10</v>
      </c>
      <c r="ER48" s="98">
        <v>4</v>
      </c>
      <c r="ES48" s="98">
        <v>8</v>
      </c>
      <c r="ET48" s="98">
        <v>10</v>
      </c>
      <c r="EU48" s="98">
        <f t="shared" si="58"/>
        <v>32</v>
      </c>
      <c r="EV48" s="98">
        <v>20</v>
      </c>
      <c r="EW48" s="98">
        <f t="shared" si="59"/>
        <v>52</v>
      </c>
      <c r="EX48" s="98">
        <f t="shared" si="60"/>
        <v>13</v>
      </c>
      <c r="EY48" s="98" t="str">
        <f t="shared" si="61"/>
        <v>C</v>
      </c>
      <c r="EZ48" s="98" t="str">
        <f t="shared" si="62"/>
        <v>Credit</v>
      </c>
      <c r="FA48" s="3">
        <v>46</v>
      </c>
      <c r="FB48" s="113"/>
      <c r="FC48" s="113">
        <v>10</v>
      </c>
      <c r="FD48" s="113">
        <v>10</v>
      </c>
      <c r="FE48" s="113">
        <v>8</v>
      </c>
      <c r="FF48" s="113">
        <v>10</v>
      </c>
      <c r="FG48" s="113">
        <f t="shared" si="63"/>
        <v>38</v>
      </c>
      <c r="FH48" s="113">
        <v>45</v>
      </c>
      <c r="FI48" s="113">
        <f t="shared" si="64"/>
        <v>83</v>
      </c>
      <c r="FJ48" s="113">
        <f t="shared" si="65"/>
        <v>7</v>
      </c>
      <c r="FK48" s="113" t="str">
        <f t="shared" si="66"/>
        <v>A</v>
      </c>
      <c r="FL48" s="113" t="str">
        <f t="shared" si="67"/>
        <v>Excellent</v>
      </c>
      <c r="FM48" s="3">
        <v>46</v>
      </c>
      <c r="FN48" s="53"/>
      <c r="FO48" s="53">
        <v>8</v>
      </c>
      <c r="FP48" s="53">
        <v>9</v>
      </c>
      <c r="FQ48" s="53">
        <v>10</v>
      </c>
      <c r="FR48" s="53">
        <v>3</v>
      </c>
      <c r="FS48" s="53">
        <f t="shared" si="68"/>
        <v>30</v>
      </c>
      <c r="FT48" s="53">
        <v>29</v>
      </c>
      <c r="FU48" s="53">
        <f t="shared" si="69"/>
        <v>59</v>
      </c>
      <c r="FV48" s="53">
        <f t="shared" si="70"/>
        <v>40</v>
      </c>
      <c r="FW48" s="53" t="str">
        <f t="shared" si="71"/>
        <v>C</v>
      </c>
      <c r="FX48" s="53" t="str">
        <f t="shared" si="72"/>
        <v>Credit</v>
      </c>
      <c r="FY48" s="3">
        <v>46</v>
      </c>
      <c r="FZ48" s="80"/>
      <c r="GA48" s="80"/>
      <c r="GB48" s="80"/>
      <c r="GC48" s="80"/>
      <c r="GD48" s="80"/>
      <c r="GE48" s="80">
        <f t="shared" si="73"/>
        <v>0</v>
      </c>
      <c r="GF48" s="80"/>
      <c r="GG48" s="80">
        <f t="shared" si="74"/>
        <v>0</v>
      </c>
      <c r="GH48" s="80" t="str">
        <f t="shared" si="75"/>
        <v/>
      </c>
      <c r="GI48" s="80" t="str">
        <f t="shared" si="76"/>
        <v/>
      </c>
      <c r="GJ48" s="80" t="str">
        <f t="shared" si="77"/>
        <v/>
      </c>
      <c r="GK48" s="3">
        <v>46</v>
      </c>
      <c r="GL48" s="164" t="s">
        <v>160</v>
      </c>
      <c r="GM48" s="113">
        <v>5</v>
      </c>
      <c r="GN48" s="113">
        <v>7</v>
      </c>
      <c r="GO48" s="113">
        <v>10</v>
      </c>
      <c r="GP48" s="113">
        <v>7</v>
      </c>
      <c r="GQ48" s="113">
        <f t="shared" si="78"/>
        <v>29</v>
      </c>
      <c r="GR48" s="113">
        <v>26</v>
      </c>
      <c r="GS48" s="113">
        <f t="shared" si="79"/>
        <v>55</v>
      </c>
      <c r="GT48" s="113">
        <f t="shared" si="80"/>
        <v>22</v>
      </c>
      <c r="GU48" s="113" t="str">
        <f t="shared" si="81"/>
        <v>C</v>
      </c>
      <c r="GV48" s="113" t="str">
        <f t="shared" si="82"/>
        <v>Credit</v>
      </c>
      <c r="GW48" s="3">
        <v>46</v>
      </c>
      <c r="GX48" s="107"/>
      <c r="GY48" s="107">
        <v>10</v>
      </c>
      <c r="GZ48" s="107">
        <v>10</v>
      </c>
      <c r="HA48" s="107">
        <v>10</v>
      </c>
      <c r="HB48" s="107">
        <v>10</v>
      </c>
      <c r="HC48" s="107">
        <f t="shared" si="83"/>
        <v>40</v>
      </c>
      <c r="HD48" s="107">
        <v>45</v>
      </c>
      <c r="HE48" s="107">
        <f t="shared" si="84"/>
        <v>85</v>
      </c>
      <c r="HF48" s="107">
        <f t="shared" si="85"/>
        <v>6</v>
      </c>
      <c r="HG48" s="107" t="str">
        <f t="shared" si="86"/>
        <v>A</v>
      </c>
      <c r="HH48" s="107" t="str">
        <f t="shared" si="87"/>
        <v>Excellent</v>
      </c>
    </row>
    <row r="49" spans="1:216" ht="18.75">
      <c r="A49" s="186">
        <v>47</v>
      </c>
      <c r="B49" s="164" t="s">
        <v>161</v>
      </c>
      <c r="C49" s="53">
        <v>8</v>
      </c>
      <c r="D49" s="53">
        <v>8</v>
      </c>
      <c r="E49" s="53">
        <v>9</v>
      </c>
      <c r="F49" s="53">
        <v>8</v>
      </c>
      <c r="G49" s="53">
        <f t="shared" si="92"/>
        <v>33</v>
      </c>
      <c r="H49" s="53">
        <v>32</v>
      </c>
      <c r="I49" s="53">
        <f t="shared" si="93"/>
        <v>65</v>
      </c>
      <c r="J49" s="53">
        <f t="shared" si="3"/>
        <v>15</v>
      </c>
      <c r="K49" s="53" t="str">
        <f t="shared" si="4"/>
        <v>C</v>
      </c>
      <c r="L49" s="53" t="str">
        <f t="shared" si="5"/>
        <v>Credit</v>
      </c>
      <c r="M49" s="44">
        <v>47</v>
      </c>
      <c r="N49" s="59"/>
      <c r="O49" s="63"/>
      <c r="P49" s="63"/>
      <c r="Q49" s="63"/>
      <c r="R49" s="63"/>
      <c r="S49" s="59">
        <f t="shared" si="90"/>
        <v>0</v>
      </c>
      <c r="T49" s="63">
        <v>17</v>
      </c>
      <c r="U49" s="59">
        <f t="shared" si="7"/>
        <v>17</v>
      </c>
      <c r="V49" s="59">
        <f t="shared" si="8"/>
        <v>47</v>
      </c>
      <c r="W49" s="59" t="str">
        <f t="shared" si="9"/>
        <v>F</v>
      </c>
      <c r="X49" s="59" t="str">
        <f t="shared" si="10"/>
        <v>Fail</v>
      </c>
      <c r="Y49" s="3">
        <v>47</v>
      </c>
      <c r="Z49" s="80"/>
      <c r="AA49" s="80"/>
      <c r="AB49" s="80">
        <v>4</v>
      </c>
      <c r="AC49" s="80">
        <v>3</v>
      </c>
      <c r="AD49" s="80">
        <v>5</v>
      </c>
      <c r="AE49" s="80">
        <f t="shared" si="91"/>
        <v>12</v>
      </c>
      <c r="AF49" s="80">
        <v>37</v>
      </c>
      <c r="AG49" s="80">
        <f t="shared" si="11"/>
        <v>49</v>
      </c>
      <c r="AH49" s="80">
        <f t="shared" si="12"/>
        <v>42</v>
      </c>
      <c r="AI49" s="80" t="str">
        <f t="shared" si="13"/>
        <v>P</v>
      </c>
      <c r="AJ49" s="80" t="str">
        <f t="shared" si="14"/>
        <v>Pass</v>
      </c>
      <c r="AK49" s="3">
        <v>47</v>
      </c>
      <c r="AL49" s="164" t="s">
        <v>161</v>
      </c>
      <c r="AM49" s="47"/>
      <c r="AN49" s="47"/>
      <c r="AO49" s="47"/>
      <c r="AP49" s="47"/>
      <c r="AQ49" s="47">
        <f t="shared" si="15"/>
        <v>0</v>
      </c>
      <c r="AR49" s="47"/>
      <c r="AS49" s="47">
        <f t="shared" si="16"/>
        <v>0</v>
      </c>
      <c r="AT49" s="47" t="str">
        <f t="shared" si="17"/>
        <v/>
      </c>
      <c r="AU49" s="47" t="str">
        <f t="shared" si="18"/>
        <v/>
      </c>
      <c r="AV49" s="47" t="str">
        <f t="shared" si="19"/>
        <v/>
      </c>
      <c r="AW49" s="3">
        <v>47</v>
      </c>
      <c r="AX49" s="164" t="s">
        <v>161</v>
      </c>
      <c r="AY49" s="85">
        <v>9</v>
      </c>
      <c r="AZ49" s="85">
        <v>8</v>
      </c>
      <c r="BA49" s="85">
        <v>9</v>
      </c>
      <c r="BB49" s="85">
        <v>10</v>
      </c>
      <c r="BC49" s="85">
        <f t="shared" si="20"/>
        <v>36</v>
      </c>
      <c r="BD49" s="85">
        <v>33</v>
      </c>
      <c r="BE49" s="85">
        <f t="shared" si="21"/>
        <v>69</v>
      </c>
      <c r="BF49" s="85">
        <f t="shared" si="22"/>
        <v>24</v>
      </c>
      <c r="BG49" s="85" t="str">
        <f t="shared" si="23"/>
        <v>C</v>
      </c>
      <c r="BH49" s="85" t="str">
        <f t="shared" si="24"/>
        <v>Credit</v>
      </c>
      <c r="BI49" s="3">
        <v>47</v>
      </c>
      <c r="BJ49" s="89"/>
      <c r="BK49" s="166">
        <v>8</v>
      </c>
      <c r="BL49" s="166">
        <v>6</v>
      </c>
      <c r="BM49" s="166">
        <v>2</v>
      </c>
      <c r="BN49" s="166">
        <v>5</v>
      </c>
      <c r="BO49" s="90">
        <f t="shared" si="25"/>
        <v>21</v>
      </c>
      <c r="BP49" s="172">
        <v>29</v>
      </c>
      <c r="BQ49" s="90">
        <f t="shared" si="26"/>
        <v>50</v>
      </c>
      <c r="BR49" s="90">
        <f t="shared" si="27"/>
        <v>20</v>
      </c>
      <c r="BS49" s="90" t="str">
        <f t="shared" si="28"/>
        <v>C</v>
      </c>
      <c r="BT49" s="90" t="str">
        <f t="shared" si="29"/>
        <v>Credit</v>
      </c>
      <c r="BU49" s="3">
        <v>47</v>
      </c>
      <c r="BV49" s="164" t="s">
        <v>161</v>
      </c>
      <c r="BW49" s="94"/>
      <c r="BX49" s="94">
        <v>2</v>
      </c>
      <c r="BY49" s="94"/>
      <c r="BZ49" s="94">
        <v>9</v>
      </c>
      <c r="CA49" s="94">
        <f t="shared" si="30"/>
        <v>11</v>
      </c>
      <c r="CB49" s="94">
        <v>31</v>
      </c>
      <c r="CC49" s="94">
        <f t="shared" si="31"/>
        <v>42</v>
      </c>
      <c r="CD49" s="94">
        <f t="shared" si="32"/>
        <v>43</v>
      </c>
      <c r="CE49" s="94" t="str">
        <f t="shared" si="33"/>
        <v>F</v>
      </c>
      <c r="CF49" s="94" t="str">
        <f t="shared" si="34"/>
        <v>Fail</v>
      </c>
      <c r="CG49" s="3">
        <v>47</v>
      </c>
      <c r="CH49" s="164" t="s">
        <v>161</v>
      </c>
      <c r="CI49" s="66">
        <v>7</v>
      </c>
      <c r="CJ49" s="66">
        <v>6</v>
      </c>
      <c r="CK49" s="66">
        <v>10</v>
      </c>
      <c r="CL49" s="66">
        <v>10</v>
      </c>
      <c r="CM49" s="66">
        <f t="shared" si="35"/>
        <v>33</v>
      </c>
      <c r="CN49" s="66">
        <v>27</v>
      </c>
      <c r="CO49" s="66">
        <f t="shared" si="89"/>
        <v>60</v>
      </c>
      <c r="CP49" s="66">
        <f t="shared" si="36"/>
        <v>26</v>
      </c>
      <c r="CQ49" s="66" t="str">
        <f t="shared" si="37"/>
        <v>C</v>
      </c>
      <c r="CR49" s="66" t="str">
        <f t="shared" si="38"/>
        <v>Credit</v>
      </c>
      <c r="CS49" s="3">
        <v>47</v>
      </c>
      <c r="CT49" s="164" t="s">
        <v>161</v>
      </c>
      <c r="CU49" s="70"/>
      <c r="CV49" s="70">
        <v>8</v>
      </c>
      <c r="CW49" s="70">
        <v>8</v>
      </c>
      <c r="CX49" s="70">
        <v>10</v>
      </c>
      <c r="CY49" s="70">
        <f t="shared" si="39"/>
        <v>26</v>
      </c>
      <c r="CZ49" s="70">
        <v>32</v>
      </c>
      <c r="DA49" s="70">
        <f t="shared" si="40"/>
        <v>58</v>
      </c>
      <c r="DB49" s="70">
        <f t="shared" si="41"/>
        <v>36</v>
      </c>
      <c r="DC49" s="70" t="str">
        <f t="shared" si="42"/>
        <v>C</v>
      </c>
      <c r="DD49" s="70" t="str">
        <f t="shared" si="43"/>
        <v>Credit</v>
      </c>
      <c r="DE49" s="3">
        <v>47</v>
      </c>
      <c r="DF49" s="58"/>
      <c r="DG49" s="59">
        <v>10</v>
      </c>
      <c r="DH49" s="59">
        <v>8</v>
      </c>
      <c r="DI49" s="59">
        <v>1</v>
      </c>
      <c r="DJ49" s="59">
        <v>10</v>
      </c>
      <c r="DK49" s="59">
        <f t="shared" si="44"/>
        <v>29</v>
      </c>
      <c r="DL49" s="59">
        <v>38</v>
      </c>
      <c r="DM49" s="59">
        <f t="shared" si="45"/>
        <v>67</v>
      </c>
      <c r="DN49" s="59">
        <f t="shared" si="46"/>
        <v>23</v>
      </c>
      <c r="DO49" s="59" t="str">
        <f t="shared" si="47"/>
        <v>C</v>
      </c>
      <c r="DP49" s="59" t="str">
        <f t="shared" si="48"/>
        <v>Credit</v>
      </c>
      <c r="DQ49" s="3">
        <v>47</v>
      </c>
      <c r="DR49" s="164" t="s">
        <v>161</v>
      </c>
      <c r="DS49" s="102">
        <v>10</v>
      </c>
      <c r="DT49" s="102">
        <v>8</v>
      </c>
      <c r="DU49" s="102">
        <v>8</v>
      </c>
      <c r="DV49" s="102">
        <v>10</v>
      </c>
      <c r="DW49" s="102">
        <f t="shared" si="49"/>
        <v>36</v>
      </c>
      <c r="DX49" s="102">
        <v>36</v>
      </c>
      <c r="DY49" s="102">
        <f t="shared" si="50"/>
        <v>72</v>
      </c>
      <c r="DZ49" s="102">
        <f t="shared" si="51"/>
        <v>4</v>
      </c>
      <c r="EA49" s="102" t="str">
        <f t="shared" si="52"/>
        <v>A</v>
      </c>
      <c r="EB49" s="102" t="str">
        <f t="shared" si="53"/>
        <v>Excellent</v>
      </c>
      <c r="EC49" s="3">
        <v>47</v>
      </c>
      <c r="ED49" s="74"/>
      <c r="EE49" s="75"/>
      <c r="EF49" s="75">
        <v>5</v>
      </c>
      <c r="EG49" s="75">
        <v>9</v>
      </c>
      <c r="EH49" s="75">
        <v>2</v>
      </c>
      <c r="EI49" s="75">
        <f t="shared" si="54"/>
        <v>16</v>
      </c>
      <c r="EJ49" s="75">
        <v>25</v>
      </c>
      <c r="EK49" s="75">
        <f t="shared" si="94"/>
        <v>41</v>
      </c>
      <c r="EL49" s="75">
        <f t="shared" si="55"/>
        <v>43</v>
      </c>
      <c r="EM49" s="75" t="str">
        <f t="shared" si="56"/>
        <v>F</v>
      </c>
      <c r="EN49" s="75" t="str">
        <f t="shared" si="57"/>
        <v>Fail</v>
      </c>
      <c r="EO49" s="3">
        <v>47</v>
      </c>
      <c r="EP49" s="164" t="s">
        <v>161</v>
      </c>
      <c r="EQ49" s="98">
        <v>5</v>
      </c>
      <c r="ER49" s="98">
        <v>5</v>
      </c>
      <c r="ES49" s="98">
        <v>8</v>
      </c>
      <c r="ET49" s="98">
        <v>8</v>
      </c>
      <c r="EU49" s="98">
        <f t="shared" si="58"/>
        <v>26</v>
      </c>
      <c r="EV49" s="98">
        <v>20</v>
      </c>
      <c r="EW49" s="98">
        <f t="shared" si="59"/>
        <v>46</v>
      </c>
      <c r="EX49" s="98">
        <f t="shared" si="60"/>
        <v>22</v>
      </c>
      <c r="EY49" s="98" t="str">
        <f t="shared" si="61"/>
        <v>P</v>
      </c>
      <c r="EZ49" s="98" t="str">
        <f t="shared" si="62"/>
        <v>Pass</v>
      </c>
      <c r="FA49" s="3">
        <v>47</v>
      </c>
      <c r="FB49" s="112"/>
      <c r="FC49" s="113">
        <v>6</v>
      </c>
      <c r="FD49" s="113">
        <v>10</v>
      </c>
      <c r="FE49" s="113">
        <v>3</v>
      </c>
      <c r="FF49" s="113">
        <v>10</v>
      </c>
      <c r="FG49" s="113">
        <f t="shared" si="63"/>
        <v>29</v>
      </c>
      <c r="FH49" s="113">
        <v>42</v>
      </c>
      <c r="FI49" s="113">
        <f t="shared" si="64"/>
        <v>71</v>
      </c>
      <c r="FJ49" s="113">
        <f t="shared" si="65"/>
        <v>21</v>
      </c>
      <c r="FK49" s="113" t="str">
        <f t="shared" si="66"/>
        <v>A</v>
      </c>
      <c r="FL49" s="113" t="str">
        <f t="shared" si="67"/>
        <v>Excellent</v>
      </c>
      <c r="FM49" s="3">
        <v>47</v>
      </c>
      <c r="FN49" s="51"/>
      <c r="FO49" s="53">
        <v>1</v>
      </c>
      <c r="FP49" s="53">
        <v>7</v>
      </c>
      <c r="FQ49" s="53">
        <v>10</v>
      </c>
      <c r="FR49" s="53">
        <v>1</v>
      </c>
      <c r="FS49" s="53">
        <f t="shared" si="68"/>
        <v>19</v>
      </c>
      <c r="FT49" s="53">
        <v>31</v>
      </c>
      <c r="FU49" s="53">
        <f t="shared" si="69"/>
        <v>50</v>
      </c>
      <c r="FV49" s="53">
        <f t="shared" si="70"/>
        <v>46</v>
      </c>
      <c r="FW49" s="53" t="str">
        <f t="shared" si="71"/>
        <v>C</v>
      </c>
      <c r="FX49" s="53" t="str">
        <f t="shared" si="72"/>
        <v>Credit</v>
      </c>
      <c r="FY49" s="3">
        <v>47</v>
      </c>
      <c r="FZ49" s="79"/>
      <c r="GA49" s="80"/>
      <c r="GB49" s="80"/>
      <c r="GC49" s="80"/>
      <c r="GD49" s="80"/>
      <c r="GE49" s="80">
        <f t="shared" si="73"/>
        <v>0</v>
      </c>
      <c r="GF49" s="80"/>
      <c r="GG49" s="80">
        <f t="shared" si="74"/>
        <v>0</v>
      </c>
      <c r="GH49" s="80" t="str">
        <f t="shared" si="75"/>
        <v/>
      </c>
      <c r="GI49" s="80" t="str">
        <f t="shared" si="76"/>
        <v/>
      </c>
      <c r="GJ49" s="80" t="str">
        <f t="shared" si="77"/>
        <v/>
      </c>
      <c r="GK49" s="3">
        <v>47</v>
      </c>
      <c r="GL49" s="164" t="s">
        <v>161</v>
      </c>
      <c r="GM49" s="113">
        <v>6</v>
      </c>
      <c r="GN49" s="113">
        <v>2</v>
      </c>
      <c r="GO49" s="113">
        <v>4</v>
      </c>
      <c r="GP49" s="113">
        <v>7</v>
      </c>
      <c r="GQ49" s="113">
        <f t="shared" si="78"/>
        <v>19</v>
      </c>
      <c r="GR49" s="113">
        <v>29</v>
      </c>
      <c r="GS49" s="113">
        <f t="shared" si="79"/>
        <v>48</v>
      </c>
      <c r="GT49" s="113">
        <f t="shared" si="80"/>
        <v>31</v>
      </c>
      <c r="GU49" s="113" t="str">
        <f t="shared" si="81"/>
        <v>P</v>
      </c>
      <c r="GV49" s="113" t="str">
        <f t="shared" si="82"/>
        <v>Pass</v>
      </c>
      <c r="GW49" s="3">
        <v>47</v>
      </c>
      <c r="GX49" s="106"/>
      <c r="GY49" s="107"/>
      <c r="GZ49" s="107">
        <v>6</v>
      </c>
      <c r="HA49" s="107">
        <v>5</v>
      </c>
      <c r="HB49" s="107">
        <v>5</v>
      </c>
      <c r="HC49" s="107">
        <f t="shared" si="83"/>
        <v>16</v>
      </c>
      <c r="HD49" s="107">
        <v>45</v>
      </c>
      <c r="HE49" s="107">
        <f t="shared" si="84"/>
        <v>61</v>
      </c>
      <c r="HF49" s="107">
        <f t="shared" si="85"/>
        <v>28</v>
      </c>
      <c r="HG49" s="107" t="str">
        <f t="shared" si="86"/>
        <v>C</v>
      </c>
      <c r="HH49" s="107" t="str">
        <f t="shared" si="87"/>
        <v>Credit</v>
      </c>
    </row>
    <row r="50" spans="1:216" ht="18.75">
      <c r="A50" s="44">
        <v>48</v>
      </c>
      <c r="B50" s="164"/>
      <c r="C50" s="53"/>
      <c r="D50" s="53"/>
      <c r="E50" s="53"/>
      <c r="F50" s="53"/>
      <c r="G50" s="53">
        <f t="shared" si="92"/>
        <v>0</v>
      </c>
      <c r="H50" s="53"/>
      <c r="I50" s="53">
        <f t="shared" si="93"/>
        <v>0</v>
      </c>
      <c r="J50" s="53" t="str">
        <f t="shared" si="3"/>
        <v/>
      </c>
      <c r="K50" s="53" t="str">
        <f t="shared" si="4"/>
        <v/>
      </c>
      <c r="L50" s="53" t="str">
        <f t="shared" si="5"/>
        <v/>
      </c>
      <c r="M50" s="44">
        <v>48</v>
      </c>
      <c r="N50" s="59"/>
      <c r="O50" s="63"/>
      <c r="P50" s="63"/>
      <c r="Q50" s="63"/>
      <c r="R50" s="63"/>
      <c r="S50" s="59">
        <f t="shared" si="90"/>
        <v>0</v>
      </c>
      <c r="T50" s="63"/>
      <c r="U50" s="59">
        <f t="shared" si="7"/>
        <v>0</v>
      </c>
      <c r="V50" s="59" t="str">
        <f t="shared" si="8"/>
        <v/>
      </c>
      <c r="W50" s="59" t="str">
        <f t="shared" si="9"/>
        <v/>
      </c>
      <c r="X50" s="59" t="str">
        <f t="shared" si="10"/>
        <v/>
      </c>
      <c r="Y50" s="3">
        <v>48</v>
      </c>
      <c r="Z50" s="80"/>
      <c r="AA50" s="80"/>
      <c r="AB50" s="80"/>
      <c r="AC50" s="80"/>
      <c r="AD50" s="80"/>
      <c r="AE50" s="80">
        <f t="shared" si="91"/>
        <v>0</v>
      </c>
      <c r="AF50" s="80"/>
      <c r="AG50" s="80">
        <f t="shared" si="11"/>
        <v>0</v>
      </c>
      <c r="AH50" s="80" t="str">
        <f t="shared" si="12"/>
        <v/>
      </c>
      <c r="AI50" s="80" t="str">
        <f t="shared" si="13"/>
        <v/>
      </c>
      <c r="AJ50" s="80" t="str">
        <f t="shared" si="14"/>
        <v/>
      </c>
      <c r="AK50" s="3">
        <v>48</v>
      </c>
      <c r="AL50" s="47"/>
      <c r="AM50" s="47"/>
      <c r="AN50" s="47"/>
      <c r="AO50" s="47"/>
      <c r="AP50" s="47"/>
      <c r="AQ50" s="47">
        <f t="shared" si="15"/>
        <v>0</v>
      </c>
      <c r="AR50" s="47"/>
      <c r="AS50" s="47">
        <f t="shared" si="16"/>
        <v>0</v>
      </c>
      <c r="AT50" s="47" t="str">
        <f t="shared" si="17"/>
        <v/>
      </c>
      <c r="AU50" s="47" t="str">
        <f t="shared" si="18"/>
        <v/>
      </c>
      <c r="AV50" s="47" t="str">
        <f t="shared" si="19"/>
        <v/>
      </c>
      <c r="AW50" s="3">
        <v>48</v>
      </c>
      <c r="AX50" s="85"/>
      <c r="AY50" s="85"/>
      <c r="AZ50" s="85"/>
      <c r="BA50" s="85"/>
      <c r="BB50" s="85"/>
      <c r="BC50" s="85">
        <f t="shared" si="20"/>
        <v>0</v>
      </c>
      <c r="BD50" s="85"/>
      <c r="BE50" s="85">
        <f t="shared" si="21"/>
        <v>0</v>
      </c>
      <c r="BF50" s="85" t="str">
        <f t="shared" si="22"/>
        <v/>
      </c>
      <c r="BG50" s="85" t="str">
        <f t="shared" si="23"/>
        <v/>
      </c>
      <c r="BH50" s="85" t="str">
        <f t="shared" si="24"/>
        <v/>
      </c>
      <c r="BI50" s="3">
        <v>48</v>
      </c>
      <c r="BJ50" s="90"/>
      <c r="BK50" s="166"/>
      <c r="BL50" s="166"/>
      <c r="BM50" s="166"/>
      <c r="BN50" s="166"/>
      <c r="BO50" s="90">
        <f t="shared" si="25"/>
        <v>0</v>
      </c>
      <c r="BP50" s="172"/>
      <c r="BQ50" s="90">
        <f t="shared" si="26"/>
        <v>0</v>
      </c>
      <c r="BR50" s="90" t="str">
        <f t="shared" si="27"/>
        <v/>
      </c>
      <c r="BS50" s="90" t="str">
        <f t="shared" si="28"/>
        <v/>
      </c>
      <c r="BT50" s="90" t="str">
        <f t="shared" si="29"/>
        <v/>
      </c>
      <c r="BU50" s="3">
        <v>48</v>
      </c>
      <c r="BV50" s="164"/>
      <c r="BW50" s="94"/>
      <c r="BX50" s="94"/>
      <c r="BY50" s="94"/>
      <c r="BZ50" s="94"/>
      <c r="CA50" s="94">
        <f t="shared" si="30"/>
        <v>0</v>
      </c>
      <c r="CB50" s="94"/>
      <c r="CC50" s="94">
        <f t="shared" si="31"/>
        <v>0</v>
      </c>
      <c r="CD50" s="94" t="str">
        <f t="shared" si="32"/>
        <v/>
      </c>
      <c r="CE50" s="94" t="str">
        <f t="shared" si="33"/>
        <v/>
      </c>
      <c r="CF50" s="94" t="str">
        <f t="shared" si="34"/>
        <v/>
      </c>
      <c r="CG50" s="3">
        <v>48</v>
      </c>
      <c r="CH50" s="66"/>
      <c r="CI50" s="66"/>
      <c r="CJ50" s="66"/>
      <c r="CK50" s="66"/>
      <c r="CL50" s="66"/>
      <c r="CM50" s="66">
        <f t="shared" si="35"/>
        <v>0</v>
      </c>
      <c r="CN50" s="66"/>
      <c r="CO50" s="66">
        <f t="shared" si="89"/>
        <v>0</v>
      </c>
      <c r="CP50" s="66" t="str">
        <f t="shared" si="36"/>
        <v/>
      </c>
      <c r="CQ50" s="66" t="str">
        <f t="shared" si="37"/>
        <v/>
      </c>
      <c r="CR50" s="66" t="str">
        <f t="shared" si="38"/>
        <v/>
      </c>
      <c r="CS50" s="3">
        <v>48</v>
      </c>
      <c r="CT50" s="70"/>
      <c r="CU50" s="70"/>
      <c r="CV50" s="70"/>
      <c r="CW50" s="70"/>
      <c r="CX50" s="70"/>
      <c r="CY50" s="70">
        <f t="shared" si="39"/>
        <v>0</v>
      </c>
      <c r="CZ50" s="70"/>
      <c r="DA50" s="70">
        <f t="shared" si="40"/>
        <v>0</v>
      </c>
      <c r="DB50" s="70" t="str">
        <f t="shared" si="41"/>
        <v/>
      </c>
      <c r="DC50" s="70" t="str">
        <f t="shared" si="42"/>
        <v/>
      </c>
      <c r="DD50" s="70" t="str">
        <f t="shared" si="43"/>
        <v/>
      </c>
      <c r="DE50" s="3">
        <v>48</v>
      </c>
      <c r="DF50" s="59"/>
      <c r="DG50" s="59"/>
      <c r="DH50" s="59"/>
      <c r="DI50" s="59"/>
      <c r="DJ50" s="59"/>
      <c r="DK50" s="59">
        <f t="shared" si="44"/>
        <v>0</v>
      </c>
      <c r="DL50" s="59"/>
      <c r="DM50" s="59">
        <f t="shared" si="45"/>
        <v>0</v>
      </c>
      <c r="DN50" s="59" t="str">
        <f t="shared" si="46"/>
        <v/>
      </c>
      <c r="DO50" s="59" t="str">
        <f t="shared" si="47"/>
        <v/>
      </c>
      <c r="DP50" s="59" t="str">
        <f t="shared" si="48"/>
        <v/>
      </c>
      <c r="DQ50" s="3">
        <v>48</v>
      </c>
      <c r="DR50" s="102"/>
      <c r="DS50" s="102"/>
      <c r="DT50" s="102"/>
      <c r="DU50" s="102"/>
      <c r="DV50" s="102"/>
      <c r="DW50" s="102">
        <f t="shared" si="49"/>
        <v>0</v>
      </c>
      <c r="DX50" s="102"/>
      <c r="DY50" s="102">
        <f t="shared" si="50"/>
        <v>0</v>
      </c>
      <c r="DZ50" s="102" t="str">
        <f t="shared" si="51"/>
        <v/>
      </c>
      <c r="EA50" s="102" t="str">
        <f t="shared" si="52"/>
        <v/>
      </c>
      <c r="EB50" s="102" t="str">
        <f t="shared" si="53"/>
        <v/>
      </c>
      <c r="EC50" s="3">
        <v>48</v>
      </c>
      <c r="ED50" s="75"/>
      <c r="EE50" s="75"/>
      <c r="EF50" s="75"/>
      <c r="EG50" s="75"/>
      <c r="EH50" s="75"/>
      <c r="EI50" s="75">
        <f t="shared" si="54"/>
        <v>0</v>
      </c>
      <c r="EJ50" s="75"/>
      <c r="EK50" s="75">
        <f t="shared" si="94"/>
        <v>0</v>
      </c>
      <c r="EL50" s="75" t="str">
        <f t="shared" si="55"/>
        <v/>
      </c>
      <c r="EM50" s="75" t="str">
        <f t="shared" si="56"/>
        <v/>
      </c>
      <c r="EN50" s="75" t="str">
        <f t="shared" si="57"/>
        <v/>
      </c>
      <c r="EO50" s="3">
        <v>48</v>
      </c>
      <c r="EP50" s="98"/>
      <c r="EQ50" s="98"/>
      <c r="ER50" s="98"/>
      <c r="ES50" s="98"/>
      <c r="ET50" s="98"/>
      <c r="EU50" s="98">
        <f t="shared" si="58"/>
        <v>0</v>
      </c>
      <c r="EV50" s="98"/>
      <c r="EW50" s="98">
        <f t="shared" si="59"/>
        <v>0</v>
      </c>
      <c r="EX50" s="98" t="str">
        <f t="shared" si="60"/>
        <v/>
      </c>
      <c r="EY50" s="98" t="str">
        <f t="shared" si="61"/>
        <v/>
      </c>
      <c r="EZ50" s="98" t="str">
        <f t="shared" si="62"/>
        <v/>
      </c>
      <c r="FA50" s="3">
        <v>48</v>
      </c>
      <c r="FB50" s="113"/>
      <c r="FC50" s="113"/>
      <c r="FD50" s="113"/>
      <c r="FE50" s="113"/>
      <c r="FF50" s="113"/>
      <c r="FG50" s="113">
        <f t="shared" si="63"/>
        <v>0</v>
      </c>
      <c r="FH50" s="113"/>
      <c r="FI50" s="113">
        <f t="shared" si="64"/>
        <v>0</v>
      </c>
      <c r="FJ50" s="113" t="str">
        <f t="shared" si="65"/>
        <v/>
      </c>
      <c r="FK50" s="113" t="str">
        <f t="shared" si="66"/>
        <v/>
      </c>
      <c r="FL50" s="113" t="str">
        <f t="shared" si="67"/>
        <v/>
      </c>
      <c r="FM50" s="3">
        <v>48</v>
      </c>
      <c r="FN50" s="53"/>
      <c r="FO50" s="53"/>
      <c r="FP50" s="53"/>
      <c r="FQ50" s="53"/>
      <c r="FR50" s="53"/>
      <c r="FS50" s="53">
        <f t="shared" si="68"/>
        <v>0</v>
      </c>
      <c r="FT50" s="53"/>
      <c r="FU50" s="53">
        <f t="shared" si="69"/>
        <v>0</v>
      </c>
      <c r="FV50" s="53" t="str">
        <f t="shared" si="70"/>
        <v/>
      </c>
      <c r="FW50" s="53" t="str">
        <f t="shared" si="71"/>
        <v/>
      </c>
      <c r="FX50" s="53" t="str">
        <f t="shared" si="72"/>
        <v/>
      </c>
      <c r="FY50" s="3">
        <v>48</v>
      </c>
      <c r="FZ50" s="80"/>
      <c r="GA50" s="80"/>
      <c r="GB50" s="80"/>
      <c r="GC50" s="80"/>
      <c r="GD50" s="80"/>
      <c r="GE50" s="80">
        <f t="shared" si="73"/>
        <v>0</v>
      </c>
      <c r="GF50" s="80"/>
      <c r="GG50" s="80">
        <f t="shared" si="74"/>
        <v>0</v>
      </c>
      <c r="GH50" s="80" t="str">
        <f t="shared" si="75"/>
        <v/>
      </c>
      <c r="GI50" s="80" t="str">
        <f t="shared" si="76"/>
        <v/>
      </c>
      <c r="GJ50" s="80" t="str">
        <f t="shared" si="77"/>
        <v/>
      </c>
      <c r="GK50" s="3">
        <v>48</v>
      </c>
      <c r="GL50" s="98"/>
      <c r="GM50" s="113"/>
      <c r="GN50" s="113"/>
      <c r="GO50" s="113"/>
      <c r="GP50" s="113"/>
      <c r="GQ50" s="113">
        <f t="shared" si="78"/>
        <v>0</v>
      </c>
      <c r="GR50" s="113"/>
      <c r="GS50" s="113">
        <f t="shared" si="79"/>
        <v>0</v>
      </c>
      <c r="GT50" s="113" t="str">
        <f t="shared" si="80"/>
        <v/>
      </c>
      <c r="GU50" s="113" t="str">
        <f t="shared" si="81"/>
        <v/>
      </c>
      <c r="GV50" s="113" t="str">
        <f t="shared" si="82"/>
        <v/>
      </c>
      <c r="GW50" s="3">
        <v>48</v>
      </c>
      <c r="GX50" s="107"/>
      <c r="GY50" s="107"/>
      <c r="GZ50" s="107"/>
      <c r="HA50" s="107"/>
      <c r="HB50" s="107"/>
      <c r="HC50" s="107">
        <f t="shared" si="83"/>
        <v>0</v>
      </c>
      <c r="HD50" s="107"/>
      <c r="HE50" s="107">
        <f t="shared" si="84"/>
        <v>0</v>
      </c>
      <c r="HF50" s="107" t="str">
        <f t="shared" si="85"/>
        <v/>
      </c>
      <c r="HG50" s="107" t="str">
        <f t="shared" si="86"/>
        <v/>
      </c>
      <c r="HH50" s="107" t="str">
        <f t="shared" si="87"/>
        <v/>
      </c>
    </row>
    <row r="51" spans="1:216" ht="18.75">
      <c r="A51" s="44">
        <v>49</v>
      </c>
      <c r="B51" s="164"/>
      <c r="C51" s="53"/>
      <c r="D51" s="53"/>
      <c r="E51" s="53"/>
      <c r="F51" s="53"/>
      <c r="G51" s="53">
        <f t="shared" si="92"/>
        <v>0</v>
      </c>
      <c r="H51" s="53"/>
      <c r="I51" s="53">
        <f t="shared" si="93"/>
        <v>0</v>
      </c>
      <c r="J51" s="53" t="str">
        <f t="shared" si="3"/>
        <v/>
      </c>
      <c r="K51" s="53" t="str">
        <f t="shared" si="4"/>
        <v/>
      </c>
      <c r="L51" s="53" t="str">
        <f t="shared" si="5"/>
        <v/>
      </c>
      <c r="M51" s="44">
        <v>49</v>
      </c>
      <c r="N51" s="59"/>
      <c r="O51" s="63"/>
      <c r="P51" s="63"/>
      <c r="Q51" s="63"/>
      <c r="R51" s="63"/>
      <c r="S51" s="59">
        <f t="shared" si="90"/>
        <v>0</v>
      </c>
      <c r="T51" s="63"/>
      <c r="U51" s="59">
        <f t="shared" si="7"/>
        <v>0</v>
      </c>
      <c r="V51" s="59" t="str">
        <f t="shared" si="8"/>
        <v/>
      </c>
      <c r="W51" s="59" t="str">
        <f t="shared" si="9"/>
        <v/>
      </c>
      <c r="X51" s="59" t="str">
        <f t="shared" si="10"/>
        <v/>
      </c>
      <c r="Y51" s="3">
        <v>49</v>
      </c>
      <c r="Z51" s="80"/>
      <c r="AA51" s="80"/>
      <c r="AB51" s="80"/>
      <c r="AC51" s="80"/>
      <c r="AD51" s="80"/>
      <c r="AE51" s="80">
        <f t="shared" si="91"/>
        <v>0</v>
      </c>
      <c r="AF51" s="80"/>
      <c r="AG51" s="80">
        <f t="shared" si="11"/>
        <v>0</v>
      </c>
      <c r="AH51" s="80" t="str">
        <f t="shared" si="12"/>
        <v/>
      </c>
      <c r="AI51" s="80" t="str">
        <f t="shared" si="13"/>
        <v/>
      </c>
      <c r="AJ51" s="80" t="str">
        <f t="shared" si="14"/>
        <v/>
      </c>
      <c r="AK51" s="3">
        <v>49</v>
      </c>
      <c r="AL51" s="47"/>
      <c r="AM51" s="47"/>
      <c r="AN51" s="47"/>
      <c r="AO51" s="47"/>
      <c r="AP51" s="47"/>
      <c r="AQ51" s="47">
        <f t="shared" si="15"/>
        <v>0</v>
      </c>
      <c r="AR51" s="47"/>
      <c r="AS51" s="47">
        <f t="shared" si="16"/>
        <v>0</v>
      </c>
      <c r="AT51" s="47" t="str">
        <f t="shared" si="17"/>
        <v/>
      </c>
      <c r="AU51" s="47" t="str">
        <f t="shared" si="18"/>
        <v/>
      </c>
      <c r="AV51" s="47" t="str">
        <f t="shared" si="19"/>
        <v/>
      </c>
      <c r="AW51" s="3">
        <v>49</v>
      </c>
      <c r="AX51" s="85"/>
      <c r="AY51" s="85"/>
      <c r="AZ51" s="85"/>
      <c r="BA51" s="85"/>
      <c r="BB51" s="85"/>
      <c r="BC51" s="85">
        <f t="shared" si="20"/>
        <v>0</v>
      </c>
      <c r="BD51" s="85"/>
      <c r="BE51" s="85">
        <f t="shared" si="21"/>
        <v>0</v>
      </c>
      <c r="BF51" s="85" t="str">
        <f t="shared" si="22"/>
        <v/>
      </c>
      <c r="BG51" s="85" t="str">
        <f t="shared" si="23"/>
        <v/>
      </c>
      <c r="BH51" s="85" t="str">
        <f t="shared" si="24"/>
        <v/>
      </c>
      <c r="BI51" s="3">
        <v>49</v>
      </c>
      <c r="BJ51" s="90"/>
      <c r="BK51" s="166"/>
      <c r="BL51" s="166"/>
      <c r="BM51" s="166"/>
      <c r="BN51" s="166"/>
      <c r="BO51" s="90">
        <f t="shared" si="25"/>
        <v>0</v>
      </c>
      <c r="BP51" s="172"/>
      <c r="BQ51" s="90">
        <f t="shared" si="26"/>
        <v>0</v>
      </c>
      <c r="BR51" s="90" t="str">
        <f t="shared" si="27"/>
        <v/>
      </c>
      <c r="BS51" s="90" t="str">
        <f t="shared" si="28"/>
        <v/>
      </c>
      <c r="BT51" s="90" t="str">
        <f t="shared" si="29"/>
        <v/>
      </c>
      <c r="BU51" s="3">
        <v>49</v>
      </c>
      <c r="BV51" s="94"/>
      <c r="BW51" s="94"/>
      <c r="BX51" s="94"/>
      <c r="BY51" s="94"/>
      <c r="BZ51" s="94"/>
      <c r="CA51" s="94">
        <f t="shared" si="30"/>
        <v>0</v>
      </c>
      <c r="CB51" s="94"/>
      <c r="CC51" s="94">
        <f t="shared" si="31"/>
        <v>0</v>
      </c>
      <c r="CD51" s="94" t="str">
        <f t="shared" si="32"/>
        <v/>
      </c>
      <c r="CE51" s="94" t="str">
        <f t="shared" si="33"/>
        <v/>
      </c>
      <c r="CF51" s="94" t="str">
        <f t="shared" si="34"/>
        <v/>
      </c>
      <c r="CG51" s="3">
        <v>49</v>
      </c>
      <c r="CH51" s="66"/>
      <c r="CI51" s="66"/>
      <c r="CJ51" s="66"/>
      <c r="CK51" s="66"/>
      <c r="CL51" s="66"/>
      <c r="CM51" s="66">
        <f t="shared" si="35"/>
        <v>0</v>
      </c>
      <c r="CN51" s="66"/>
      <c r="CO51" s="66">
        <f t="shared" si="89"/>
        <v>0</v>
      </c>
      <c r="CP51" s="66" t="str">
        <f t="shared" si="36"/>
        <v/>
      </c>
      <c r="CQ51" s="66" t="str">
        <f t="shared" si="37"/>
        <v/>
      </c>
      <c r="CR51" s="66" t="str">
        <f t="shared" si="38"/>
        <v/>
      </c>
      <c r="CS51" s="3">
        <v>49</v>
      </c>
      <c r="CT51" s="70"/>
      <c r="CU51" s="70"/>
      <c r="CV51" s="70"/>
      <c r="CW51" s="70"/>
      <c r="CX51" s="70"/>
      <c r="CY51" s="70">
        <f t="shared" si="39"/>
        <v>0</v>
      </c>
      <c r="CZ51" s="70"/>
      <c r="DA51" s="70">
        <f t="shared" si="40"/>
        <v>0</v>
      </c>
      <c r="DB51" s="70" t="str">
        <f t="shared" si="41"/>
        <v/>
      </c>
      <c r="DC51" s="70" t="str">
        <f t="shared" si="42"/>
        <v/>
      </c>
      <c r="DD51" s="70" t="str">
        <f t="shared" si="43"/>
        <v/>
      </c>
      <c r="DE51" s="3">
        <v>49</v>
      </c>
      <c r="DF51" s="59"/>
      <c r="DG51" s="59"/>
      <c r="DH51" s="59"/>
      <c r="DI51" s="59"/>
      <c r="DJ51" s="59"/>
      <c r="DK51" s="59">
        <f t="shared" si="44"/>
        <v>0</v>
      </c>
      <c r="DL51" s="59"/>
      <c r="DM51" s="59">
        <f t="shared" si="45"/>
        <v>0</v>
      </c>
      <c r="DN51" s="59" t="str">
        <f t="shared" si="46"/>
        <v/>
      </c>
      <c r="DO51" s="59" t="str">
        <f t="shared" si="47"/>
        <v/>
      </c>
      <c r="DP51" s="59" t="str">
        <f t="shared" si="48"/>
        <v/>
      </c>
      <c r="DQ51" s="3">
        <v>49</v>
      </c>
      <c r="DR51" s="102"/>
      <c r="DS51" s="102"/>
      <c r="DT51" s="102"/>
      <c r="DU51" s="102"/>
      <c r="DV51" s="102"/>
      <c r="DW51" s="102">
        <f t="shared" si="49"/>
        <v>0</v>
      </c>
      <c r="DX51" s="102"/>
      <c r="DY51" s="102">
        <f t="shared" si="50"/>
        <v>0</v>
      </c>
      <c r="DZ51" s="102" t="str">
        <f t="shared" si="51"/>
        <v/>
      </c>
      <c r="EA51" s="102" t="str">
        <f t="shared" si="52"/>
        <v/>
      </c>
      <c r="EB51" s="102" t="str">
        <f t="shared" si="53"/>
        <v/>
      </c>
      <c r="EC51" s="3">
        <v>49</v>
      </c>
      <c r="ED51" s="75"/>
      <c r="EE51" s="75"/>
      <c r="EF51" s="75"/>
      <c r="EG51" s="75"/>
      <c r="EH51" s="75"/>
      <c r="EI51" s="75">
        <f t="shared" si="54"/>
        <v>0</v>
      </c>
      <c r="EJ51" s="75"/>
      <c r="EK51" s="75">
        <f t="shared" si="94"/>
        <v>0</v>
      </c>
      <c r="EL51" s="75" t="str">
        <f t="shared" si="55"/>
        <v/>
      </c>
      <c r="EM51" s="75" t="str">
        <f t="shared" si="56"/>
        <v/>
      </c>
      <c r="EN51" s="75" t="str">
        <f t="shared" si="57"/>
        <v/>
      </c>
      <c r="EO51" s="3">
        <v>49</v>
      </c>
      <c r="EP51" s="98"/>
      <c r="EQ51" s="98"/>
      <c r="ER51" s="98"/>
      <c r="ES51" s="98"/>
      <c r="ET51" s="98"/>
      <c r="EU51" s="98">
        <f t="shared" si="58"/>
        <v>0</v>
      </c>
      <c r="EV51" s="98"/>
      <c r="EW51" s="98">
        <f t="shared" si="59"/>
        <v>0</v>
      </c>
      <c r="EX51" s="98" t="str">
        <f t="shared" si="60"/>
        <v/>
      </c>
      <c r="EY51" s="98" t="str">
        <f t="shared" si="61"/>
        <v/>
      </c>
      <c r="EZ51" s="98" t="str">
        <f t="shared" si="62"/>
        <v/>
      </c>
      <c r="FA51" s="3">
        <v>49</v>
      </c>
      <c r="FB51" s="113"/>
      <c r="FC51" s="113"/>
      <c r="FD51" s="113"/>
      <c r="FE51" s="113"/>
      <c r="FF51" s="113"/>
      <c r="FG51" s="113">
        <f t="shared" si="63"/>
        <v>0</v>
      </c>
      <c r="FH51" s="113"/>
      <c r="FI51" s="113">
        <f t="shared" si="64"/>
        <v>0</v>
      </c>
      <c r="FJ51" s="113" t="str">
        <f t="shared" si="65"/>
        <v/>
      </c>
      <c r="FK51" s="113" t="str">
        <f t="shared" si="66"/>
        <v/>
      </c>
      <c r="FL51" s="113" t="str">
        <f t="shared" si="67"/>
        <v/>
      </c>
      <c r="FM51" s="3">
        <v>49</v>
      </c>
      <c r="FN51" s="53"/>
      <c r="FO51" s="53"/>
      <c r="FP51" s="53"/>
      <c r="FQ51" s="53"/>
      <c r="FR51" s="53"/>
      <c r="FS51" s="53">
        <f t="shared" si="68"/>
        <v>0</v>
      </c>
      <c r="FT51" s="53"/>
      <c r="FU51" s="53">
        <f t="shared" si="69"/>
        <v>0</v>
      </c>
      <c r="FV51" s="53" t="str">
        <f t="shared" si="70"/>
        <v/>
      </c>
      <c r="FW51" s="53" t="str">
        <f t="shared" si="71"/>
        <v/>
      </c>
      <c r="FX51" s="53" t="str">
        <f t="shared" si="72"/>
        <v/>
      </c>
      <c r="FY51" s="3">
        <v>49</v>
      </c>
      <c r="FZ51" s="80"/>
      <c r="GA51" s="80"/>
      <c r="GB51" s="80"/>
      <c r="GC51" s="80"/>
      <c r="GD51" s="80"/>
      <c r="GE51" s="80">
        <f t="shared" si="73"/>
        <v>0</v>
      </c>
      <c r="GF51" s="80"/>
      <c r="GG51" s="80">
        <f t="shared" si="74"/>
        <v>0</v>
      </c>
      <c r="GH51" s="80" t="str">
        <f t="shared" si="75"/>
        <v/>
      </c>
      <c r="GI51" s="80" t="str">
        <f t="shared" si="76"/>
        <v/>
      </c>
      <c r="GJ51" s="80" t="str">
        <f t="shared" si="77"/>
        <v/>
      </c>
      <c r="GK51" s="3">
        <v>49</v>
      </c>
      <c r="GL51" s="113"/>
      <c r="GM51" s="113"/>
      <c r="GN51" s="113"/>
      <c r="GO51" s="113"/>
      <c r="GP51" s="113"/>
      <c r="GQ51" s="113">
        <f t="shared" si="78"/>
        <v>0</v>
      </c>
      <c r="GR51" s="113"/>
      <c r="GS51" s="113">
        <f t="shared" si="79"/>
        <v>0</v>
      </c>
      <c r="GT51" s="113" t="str">
        <f t="shared" si="80"/>
        <v/>
      </c>
      <c r="GU51" s="113" t="str">
        <f t="shared" si="81"/>
        <v/>
      </c>
      <c r="GV51" s="113" t="str">
        <f t="shared" si="82"/>
        <v/>
      </c>
      <c r="GW51" s="3">
        <v>49</v>
      </c>
      <c r="GX51" s="107"/>
      <c r="GY51" s="107"/>
      <c r="GZ51" s="107"/>
      <c r="HA51" s="107"/>
      <c r="HB51" s="107"/>
      <c r="HC51" s="107">
        <f t="shared" si="83"/>
        <v>0</v>
      </c>
      <c r="HD51" s="107"/>
      <c r="HE51" s="107">
        <f t="shared" si="84"/>
        <v>0</v>
      </c>
      <c r="HF51" s="107" t="str">
        <f t="shared" si="85"/>
        <v/>
      </c>
      <c r="HG51" s="107" t="str">
        <f t="shared" si="86"/>
        <v/>
      </c>
      <c r="HH51" s="107" t="str">
        <f t="shared" si="87"/>
        <v/>
      </c>
    </row>
    <row r="52" spans="1:216" ht="18.75">
      <c r="A52" s="44">
        <v>50</v>
      </c>
      <c r="B52" s="164"/>
      <c r="C52" s="53"/>
      <c r="D52" s="53"/>
      <c r="E52" s="53"/>
      <c r="F52" s="53"/>
      <c r="G52" s="53">
        <f t="shared" si="92"/>
        <v>0</v>
      </c>
      <c r="H52" s="53"/>
      <c r="I52" s="53">
        <f t="shared" si="93"/>
        <v>0</v>
      </c>
      <c r="J52" s="53" t="str">
        <f t="shared" si="3"/>
        <v/>
      </c>
      <c r="K52" s="53" t="str">
        <f t="shared" si="4"/>
        <v/>
      </c>
      <c r="L52" s="53" t="str">
        <f t="shared" si="5"/>
        <v/>
      </c>
      <c r="M52" s="44">
        <v>50</v>
      </c>
      <c r="N52" s="59"/>
      <c r="O52" s="63"/>
      <c r="P52" s="63"/>
      <c r="Q52" s="63"/>
      <c r="R52" s="63"/>
      <c r="S52" s="59">
        <f t="shared" si="90"/>
        <v>0</v>
      </c>
      <c r="T52" s="63"/>
      <c r="U52" s="59">
        <f t="shared" si="7"/>
        <v>0</v>
      </c>
      <c r="V52" s="59" t="str">
        <f t="shared" si="8"/>
        <v/>
      </c>
      <c r="W52" s="59" t="str">
        <f t="shared" si="9"/>
        <v/>
      </c>
      <c r="X52" s="59" t="str">
        <f t="shared" si="10"/>
        <v/>
      </c>
      <c r="Y52" s="3">
        <v>50</v>
      </c>
      <c r="Z52" s="80"/>
      <c r="AA52" s="80"/>
      <c r="AB52" s="80"/>
      <c r="AC52" s="80"/>
      <c r="AD52" s="80"/>
      <c r="AE52" s="80">
        <f t="shared" si="91"/>
        <v>0</v>
      </c>
      <c r="AF52" s="80"/>
      <c r="AG52" s="80">
        <f t="shared" si="11"/>
        <v>0</v>
      </c>
      <c r="AH52" s="80" t="str">
        <f t="shared" si="12"/>
        <v/>
      </c>
      <c r="AI52" s="80" t="str">
        <f t="shared" si="13"/>
        <v/>
      </c>
      <c r="AJ52" s="80" t="str">
        <f t="shared" si="14"/>
        <v/>
      </c>
      <c r="AK52" s="3">
        <v>50</v>
      </c>
      <c r="AL52" s="47"/>
      <c r="AM52" s="47"/>
      <c r="AN52" s="47"/>
      <c r="AO52" s="47"/>
      <c r="AP52" s="47"/>
      <c r="AQ52" s="47">
        <f t="shared" si="15"/>
        <v>0</v>
      </c>
      <c r="AR52" s="47"/>
      <c r="AS52" s="47">
        <f t="shared" si="16"/>
        <v>0</v>
      </c>
      <c r="AT52" s="47" t="str">
        <f t="shared" si="17"/>
        <v/>
      </c>
      <c r="AU52" s="47" t="str">
        <f t="shared" si="18"/>
        <v/>
      </c>
      <c r="AV52" s="47" t="str">
        <f t="shared" si="19"/>
        <v/>
      </c>
      <c r="AW52" s="3">
        <v>50</v>
      </c>
      <c r="AX52" s="85"/>
      <c r="AY52" s="85"/>
      <c r="AZ52" s="85"/>
      <c r="BA52" s="85"/>
      <c r="BB52" s="85"/>
      <c r="BC52" s="85">
        <f t="shared" si="20"/>
        <v>0</v>
      </c>
      <c r="BD52" s="85"/>
      <c r="BE52" s="85">
        <f t="shared" si="21"/>
        <v>0</v>
      </c>
      <c r="BF52" s="85" t="str">
        <f t="shared" si="22"/>
        <v/>
      </c>
      <c r="BG52" s="85" t="str">
        <f t="shared" si="23"/>
        <v/>
      </c>
      <c r="BH52" s="85" t="str">
        <f t="shared" si="24"/>
        <v/>
      </c>
      <c r="BI52" s="3">
        <v>50</v>
      </c>
      <c r="BJ52" s="90"/>
      <c r="BK52" s="166"/>
      <c r="BL52" s="166"/>
      <c r="BM52" s="166"/>
      <c r="BN52" s="166"/>
      <c r="BO52" s="90">
        <f t="shared" si="25"/>
        <v>0</v>
      </c>
      <c r="BP52" s="172"/>
      <c r="BQ52" s="90">
        <f t="shared" si="26"/>
        <v>0</v>
      </c>
      <c r="BR52" s="90" t="str">
        <f t="shared" si="27"/>
        <v/>
      </c>
      <c r="BS52" s="90" t="str">
        <f t="shared" si="28"/>
        <v/>
      </c>
      <c r="BT52" s="90" t="str">
        <f t="shared" si="29"/>
        <v/>
      </c>
      <c r="BU52" s="3">
        <v>50</v>
      </c>
      <c r="BV52" s="94"/>
      <c r="BW52" s="94"/>
      <c r="BX52" s="94"/>
      <c r="BY52" s="94"/>
      <c r="BZ52" s="94"/>
      <c r="CA52" s="94">
        <f t="shared" si="30"/>
        <v>0</v>
      </c>
      <c r="CB52" s="94"/>
      <c r="CC52" s="94">
        <f t="shared" si="31"/>
        <v>0</v>
      </c>
      <c r="CD52" s="94" t="str">
        <f t="shared" si="32"/>
        <v/>
      </c>
      <c r="CE52" s="94" t="str">
        <f t="shared" si="33"/>
        <v/>
      </c>
      <c r="CF52" s="94" t="str">
        <f t="shared" si="34"/>
        <v/>
      </c>
      <c r="CG52" s="3">
        <v>50</v>
      </c>
      <c r="CH52" s="66"/>
      <c r="CI52" s="66"/>
      <c r="CJ52" s="66"/>
      <c r="CK52" s="66"/>
      <c r="CL52" s="66"/>
      <c r="CM52" s="66">
        <f t="shared" si="35"/>
        <v>0</v>
      </c>
      <c r="CN52" s="66"/>
      <c r="CO52" s="66">
        <f t="shared" si="89"/>
        <v>0</v>
      </c>
      <c r="CP52" s="66" t="str">
        <f t="shared" si="36"/>
        <v/>
      </c>
      <c r="CQ52" s="66" t="str">
        <f t="shared" si="37"/>
        <v/>
      </c>
      <c r="CR52" s="66" t="str">
        <f t="shared" si="38"/>
        <v/>
      </c>
      <c r="CS52" s="3">
        <v>50</v>
      </c>
      <c r="CT52" s="70"/>
      <c r="CU52" s="70"/>
      <c r="CV52" s="70"/>
      <c r="CW52" s="70"/>
      <c r="CX52" s="70"/>
      <c r="CY52" s="70">
        <f t="shared" si="39"/>
        <v>0</v>
      </c>
      <c r="CZ52" s="70"/>
      <c r="DA52" s="70">
        <f t="shared" si="40"/>
        <v>0</v>
      </c>
      <c r="DB52" s="70" t="str">
        <f t="shared" si="41"/>
        <v/>
      </c>
      <c r="DC52" s="70" t="str">
        <f t="shared" si="42"/>
        <v/>
      </c>
      <c r="DD52" s="70" t="str">
        <f t="shared" si="43"/>
        <v/>
      </c>
      <c r="DE52" s="3">
        <v>50</v>
      </c>
      <c r="DF52" s="59"/>
      <c r="DG52" s="59"/>
      <c r="DH52" s="59"/>
      <c r="DI52" s="59"/>
      <c r="DJ52" s="59"/>
      <c r="DK52" s="59">
        <f t="shared" si="44"/>
        <v>0</v>
      </c>
      <c r="DL52" s="59"/>
      <c r="DM52" s="59">
        <f t="shared" si="45"/>
        <v>0</v>
      </c>
      <c r="DN52" s="59" t="str">
        <f t="shared" si="46"/>
        <v/>
      </c>
      <c r="DO52" s="59" t="str">
        <f t="shared" si="47"/>
        <v/>
      </c>
      <c r="DP52" s="59" t="str">
        <f t="shared" si="48"/>
        <v/>
      </c>
      <c r="DQ52" s="3">
        <v>50</v>
      </c>
      <c r="DR52" s="102"/>
      <c r="DS52" s="102"/>
      <c r="DT52" s="102"/>
      <c r="DU52" s="102"/>
      <c r="DV52" s="102"/>
      <c r="DW52" s="102">
        <f t="shared" si="49"/>
        <v>0</v>
      </c>
      <c r="DX52" s="102"/>
      <c r="DY52" s="102">
        <f t="shared" si="50"/>
        <v>0</v>
      </c>
      <c r="DZ52" s="102" t="str">
        <f t="shared" si="51"/>
        <v/>
      </c>
      <c r="EA52" s="102" t="str">
        <f t="shared" si="52"/>
        <v/>
      </c>
      <c r="EB52" s="102" t="str">
        <f t="shared" si="53"/>
        <v/>
      </c>
      <c r="EC52" s="3">
        <v>50</v>
      </c>
      <c r="ED52" s="75"/>
      <c r="EE52" s="75"/>
      <c r="EF52" s="75"/>
      <c r="EG52" s="75"/>
      <c r="EH52" s="75"/>
      <c r="EI52" s="75">
        <f t="shared" si="54"/>
        <v>0</v>
      </c>
      <c r="EJ52" s="75"/>
      <c r="EK52" s="75">
        <f t="shared" si="94"/>
        <v>0</v>
      </c>
      <c r="EL52" s="75" t="str">
        <f t="shared" si="55"/>
        <v/>
      </c>
      <c r="EM52" s="75" t="str">
        <f t="shared" si="56"/>
        <v/>
      </c>
      <c r="EN52" s="75" t="str">
        <f t="shared" si="57"/>
        <v/>
      </c>
      <c r="EO52" s="3">
        <v>50</v>
      </c>
      <c r="EP52" s="98"/>
      <c r="EQ52" s="98"/>
      <c r="ER52" s="98"/>
      <c r="ES52" s="98"/>
      <c r="ET52" s="98"/>
      <c r="EU52" s="98">
        <f t="shared" si="58"/>
        <v>0</v>
      </c>
      <c r="EV52" s="98"/>
      <c r="EW52" s="98">
        <f t="shared" si="59"/>
        <v>0</v>
      </c>
      <c r="EX52" s="98" t="str">
        <f t="shared" si="60"/>
        <v/>
      </c>
      <c r="EY52" s="98" t="str">
        <f t="shared" si="61"/>
        <v/>
      </c>
      <c r="EZ52" s="98" t="str">
        <f t="shared" si="62"/>
        <v/>
      </c>
      <c r="FA52" s="3">
        <v>50</v>
      </c>
      <c r="FB52" s="113"/>
      <c r="FC52" s="113"/>
      <c r="FD52" s="113"/>
      <c r="FE52" s="113"/>
      <c r="FF52" s="113"/>
      <c r="FG52" s="113">
        <f t="shared" si="63"/>
        <v>0</v>
      </c>
      <c r="FH52" s="113"/>
      <c r="FI52" s="113">
        <f t="shared" si="64"/>
        <v>0</v>
      </c>
      <c r="FJ52" s="113" t="str">
        <f t="shared" si="65"/>
        <v/>
      </c>
      <c r="FK52" s="113" t="str">
        <f t="shared" si="66"/>
        <v/>
      </c>
      <c r="FL52" s="113" t="str">
        <f t="shared" si="67"/>
        <v/>
      </c>
      <c r="FM52" s="3">
        <v>50</v>
      </c>
      <c r="FN52" s="53"/>
      <c r="FO52" s="53"/>
      <c r="FP52" s="53"/>
      <c r="FQ52" s="53"/>
      <c r="FR52" s="53"/>
      <c r="FS52" s="53">
        <f t="shared" si="68"/>
        <v>0</v>
      </c>
      <c r="FT52" s="53"/>
      <c r="FU52" s="53">
        <f t="shared" si="69"/>
        <v>0</v>
      </c>
      <c r="FV52" s="53" t="str">
        <f t="shared" si="70"/>
        <v/>
      </c>
      <c r="FW52" s="53" t="str">
        <f t="shared" si="71"/>
        <v/>
      </c>
      <c r="FX52" s="53" t="str">
        <f t="shared" si="72"/>
        <v/>
      </c>
      <c r="FY52" s="3">
        <v>50</v>
      </c>
      <c r="FZ52" s="80"/>
      <c r="GA52" s="80"/>
      <c r="GB52" s="80"/>
      <c r="GC52" s="80"/>
      <c r="GD52" s="80"/>
      <c r="GE52" s="80">
        <f t="shared" si="73"/>
        <v>0</v>
      </c>
      <c r="GF52" s="80"/>
      <c r="GG52" s="80">
        <f t="shared" si="74"/>
        <v>0</v>
      </c>
      <c r="GH52" s="80" t="str">
        <f t="shared" si="75"/>
        <v/>
      </c>
      <c r="GI52" s="80" t="str">
        <f t="shared" si="76"/>
        <v/>
      </c>
      <c r="GJ52" s="80" t="str">
        <f t="shared" si="77"/>
        <v/>
      </c>
      <c r="GK52" s="3">
        <v>50</v>
      </c>
      <c r="GL52" s="113"/>
      <c r="GM52" s="113"/>
      <c r="GN52" s="113"/>
      <c r="GO52" s="113"/>
      <c r="GP52" s="113"/>
      <c r="GQ52" s="113">
        <f t="shared" si="78"/>
        <v>0</v>
      </c>
      <c r="GR52" s="113"/>
      <c r="GS52" s="113">
        <f t="shared" si="79"/>
        <v>0</v>
      </c>
      <c r="GT52" s="113" t="str">
        <f t="shared" si="80"/>
        <v/>
      </c>
      <c r="GU52" s="113" t="str">
        <f t="shared" si="81"/>
        <v/>
      </c>
      <c r="GV52" s="113" t="str">
        <f t="shared" si="82"/>
        <v/>
      </c>
      <c r="GW52" s="3">
        <v>50</v>
      </c>
      <c r="GX52" s="107"/>
      <c r="GY52" s="107"/>
      <c r="GZ52" s="107"/>
      <c r="HA52" s="107"/>
      <c r="HB52" s="107"/>
      <c r="HC52" s="107">
        <f t="shared" si="83"/>
        <v>0</v>
      </c>
      <c r="HD52" s="107"/>
      <c r="HE52" s="107">
        <f t="shared" si="84"/>
        <v>0</v>
      </c>
      <c r="HF52" s="107" t="str">
        <f t="shared" si="85"/>
        <v/>
      </c>
      <c r="HG52" s="107" t="str">
        <f t="shared" si="86"/>
        <v/>
      </c>
      <c r="HH52" s="107" t="str">
        <f t="shared" si="87"/>
        <v/>
      </c>
    </row>
    <row r="53" spans="1:216">
      <c r="V53" s="65"/>
      <c r="AA53" s="84"/>
      <c r="AB53" s="84"/>
      <c r="AC53" s="84"/>
      <c r="AD53" s="84"/>
      <c r="AF53" s="84"/>
    </row>
    <row r="54" spans="1:216">
      <c r="V54" s="65"/>
      <c r="AA54" s="84"/>
      <c r="AB54" s="84"/>
      <c r="AC54" s="84"/>
      <c r="AD54" s="84"/>
      <c r="AF54" s="84"/>
    </row>
    <row r="55" spans="1:216">
      <c r="V55" s="65"/>
      <c r="AA55" s="84"/>
      <c r="AB55" s="84"/>
      <c r="AC55" s="84"/>
      <c r="AD55" s="84"/>
      <c r="AF55" s="84"/>
    </row>
    <row r="56" spans="1:216">
      <c r="V56" s="65"/>
      <c r="AA56" s="84"/>
      <c r="AB56" s="84"/>
      <c r="AC56" s="84"/>
      <c r="AD56" s="84"/>
      <c r="AF56" s="84"/>
    </row>
    <row r="57" spans="1:216">
      <c r="V57" s="65"/>
      <c r="AA57" s="84"/>
      <c r="AB57" s="84"/>
      <c r="AC57" s="84"/>
      <c r="AD57" s="84"/>
      <c r="AF57" s="84"/>
    </row>
    <row r="58" spans="1:216">
      <c r="V58" s="65"/>
      <c r="AA58" s="84"/>
      <c r="AB58" s="84"/>
      <c r="AC58" s="84"/>
      <c r="AD58" s="84"/>
      <c r="AF58" s="84"/>
    </row>
    <row r="59" spans="1:216">
      <c r="V59" s="65"/>
      <c r="AA59" s="84"/>
      <c r="AB59" s="84"/>
      <c r="AC59" s="84"/>
      <c r="AD59" s="84"/>
      <c r="AF59" s="84"/>
    </row>
    <row r="60" spans="1:216">
      <c r="V60" s="65"/>
      <c r="AA60" s="84"/>
      <c r="AB60" s="84"/>
      <c r="AC60" s="84"/>
      <c r="AD60" s="84"/>
      <c r="AF60" s="84"/>
    </row>
    <row r="61" spans="1:216">
      <c r="AA61" s="84"/>
      <c r="AB61" s="84"/>
      <c r="AC61" s="84"/>
      <c r="AD61" s="84"/>
      <c r="AF61" s="84"/>
    </row>
  </sheetData>
  <mergeCells count="17">
    <mergeCell ref="B1:G1"/>
    <mergeCell ref="AA1:AG1"/>
    <mergeCell ref="AY1:BE1"/>
    <mergeCell ref="BK1:BQ1"/>
    <mergeCell ref="P1:V1"/>
    <mergeCell ref="BW1:CC1"/>
    <mergeCell ref="CI1:CO1"/>
    <mergeCell ref="CU1:DA1"/>
    <mergeCell ref="DG1:DM1"/>
    <mergeCell ref="DS1:DY1"/>
    <mergeCell ref="GY1:HE1"/>
    <mergeCell ref="GM1:GS1"/>
    <mergeCell ref="EE1:EK1"/>
    <mergeCell ref="EQ1:EW1"/>
    <mergeCell ref="FC1:FI1"/>
    <mergeCell ref="FO1:FU1"/>
    <mergeCell ref="GA1:GG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4" zoomScale="70" zoomScaleNormal="80" zoomScaleSheetLayoutView="7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7" customFormat="1" ht="18" customHeight="1" thickBot="1"/>
    <row r="2" spans="1:14" ht="18" customHeight="1">
      <c r="A2" s="2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1"/>
    </row>
    <row r="3" spans="1:14" ht="18" customHeight="1">
      <c r="A3" s="7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8"/>
    </row>
    <row r="4" spans="1:14" ht="18" customHeight="1">
      <c r="A4" s="7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8"/>
    </row>
    <row r="5" spans="1:14" ht="18" customHeight="1">
      <c r="A5" s="7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8"/>
    </row>
    <row r="6" spans="1:14" ht="18" customHeight="1">
      <c r="A6" s="7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8"/>
    </row>
    <row r="7" spans="1:14" ht="18" customHeight="1" thickBot="1">
      <c r="A7" s="2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9"/>
      <c r="C8" s="19"/>
      <c r="D8" s="19"/>
      <c r="E8" s="19"/>
      <c r="F8" s="19"/>
      <c r="G8" s="19"/>
      <c r="H8" s="22"/>
      <c r="I8" s="19"/>
      <c r="J8" s="19"/>
      <c r="K8" s="19"/>
      <c r="L8" s="19"/>
      <c r="M8" s="19"/>
      <c r="N8" s="18"/>
    </row>
    <row r="9" spans="1:14" ht="18" customHeight="1">
      <c r="A9" s="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8"/>
    </row>
    <row r="10" spans="1:14" ht="18" customHeight="1">
      <c r="A10" s="37" t="s">
        <v>38</v>
      </c>
      <c r="B10" s="240" t="str">
        <f>VLOOKUP(B14,Data!A1:G51,2,0)</f>
        <v>BAJELE IBRAHIM</v>
      </c>
      <c r="C10" s="240"/>
      <c r="D10" s="240"/>
      <c r="E10" s="240"/>
      <c r="F10" s="240"/>
      <c r="G10" s="240"/>
      <c r="H10" s="32"/>
      <c r="I10" s="32"/>
      <c r="J10" s="32"/>
      <c r="K10" s="238" t="s">
        <v>39</v>
      </c>
      <c r="L10" s="238"/>
      <c r="M10" s="240" t="str">
        <f>VLOOKUP(B14,Data!A2:G51,7,0)</f>
        <v xml:space="preserve">1st </v>
      </c>
      <c r="N10" s="241"/>
    </row>
    <row r="11" spans="1:14" ht="18" customHeight="1">
      <c r="A11" s="37" t="s">
        <v>40</v>
      </c>
      <c r="B11" s="238">
        <f>VLOOKUP(B14,Data!A2:G51,4,0)</f>
        <v>14</v>
      </c>
      <c r="C11" s="238"/>
      <c r="D11" s="238"/>
      <c r="E11" s="238"/>
      <c r="F11" s="238"/>
      <c r="G11" s="238"/>
      <c r="H11" s="32"/>
      <c r="I11" s="32"/>
      <c r="J11" s="32"/>
      <c r="K11" s="238" t="s">
        <v>41</v>
      </c>
      <c r="L11" s="238"/>
      <c r="M11" s="240" t="str">
        <f>VLOOKUP(B14,Data!A2:G51,3,0)</f>
        <v>JSS3 A</v>
      </c>
      <c r="N11" s="241"/>
    </row>
    <row r="12" spans="1:14" ht="18" customHeight="1">
      <c r="A12" s="37" t="s">
        <v>42</v>
      </c>
      <c r="B12" s="240" t="str">
        <f>VLOOKUP(B14,Data!A2:G51,5,0)</f>
        <v>BORNO</v>
      </c>
      <c r="C12" s="240"/>
      <c r="D12" s="240"/>
      <c r="E12" s="240"/>
      <c r="F12" s="240"/>
      <c r="G12" s="240"/>
      <c r="H12" s="32"/>
      <c r="I12" s="32"/>
      <c r="J12" s="32"/>
      <c r="K12" s="238" t="s">
        <v>43</v>
      </c>
      <c r="L12" s="238"/>
      <c r="M12" s="240" t="e">
        <f>VLOOKUP(B14,Data!A2:G51,8,0)</f>
        <v>#REF!</v>
      </c>
      <c r="N12" s="241"/>
    </row>
    <row r="13" spans="1:14" ht="18" customHeight="1">
      <c r="A13" s="37" t="s">
        <v>44</v>
      </c>
      <c r="B13" s="240" t="str">
        <f>VLOOKUP(B14,Data!A2:G51,6,0)</f>
        <v>BAMA</v>
      </c>
      <c r="C13" s="240"/>
      <c r="D13" s="240"/>
      <c r="E13" s="240"/>
      <c r="F13" s="240"/>
      <c r="G13" s="240"/>
      <c r="H13" s="32"/>
      <c r="I13" s="32"/>
      <c r="J13" s="32"/>
      <c r="K13" s="238" t="s">
        <v>45</v>
      </c>
      <c r="L13" s="238"/>
      <c r="M13" s="240" t="str">
        <f>IF(M20&gt;=40,"Passed","Failed")</f>
        <v>Passed</v>
      </c>
      <c r="N13" s="241"/>
    </row>
    <row r="14" spans="1:14" ht="18" customHeight="1">
      <c r="A14" s="37" t="s">
        <v>46</v>
      </c>
      <c r="B14" s="238">
        <v>13</v>
      </c>
      <c r="C14" s="238"/>
      <c r="D14" s="33"/>
      <c r="E14" s="33"/>
      <c r="F14" s="33"/>
      <c r="G14" s="33"/>
      <c r="H14" s="32"/>
      <c r="I14" s="32"/>
      <c r="J14" s="32"/>
      <c r="K14" s="239"/>
      <c r="L14" s="239"/>
      <c r="M14" s="240"/>
      <c r="N14" s="241"/>
    </row>
    <row r="15" spans="1:14" ht="18" customHeight="1">
      <c r="A15" s="37" t="s">
        <v>47</v>
      </c>
      <c r="B15" s="34">
        <f>COUNTIF(H23:H40,"&gt;5")</f>
        <v>16</v>
      </c>
      <c r="C15" s="33"/>
      <c r="D15" s="33"/>
      <c r="E15" s="33"/>
      <c r="F15" s="33"/>
      <c r="G15" s="33"/>
      <c r="H15" s="32"/>
      <c r="I15" s="32"/>
      <c r="J15" s="32"/>
      <c r="K15" s="242"/>
      <c r="L15" s="242"/>
      <c r="M15" s="239"/>
      <c r="N15" s="243"/>
    </row>
    <row r="16" spans="1:14" ht="18" customHeight="1">
      <c r="A16" s="37" t="s">
        <v>48</v>
      </c>
      <c r="B16" s="34">
        <f>COUNTIF(H23:H40,"&gt;=45")</f>
        <v>15</v>
      </c>
      <c r="C16" s="33"/>
      <c r="D16" s="33"/>
      <c r="E16" s="33"/>
      <c r="F16" s="33"/>
      <c r="G16" s="33"/>
      <c r="H16" s="32"/>
      <c r="I16" s="32"/>
      <c r="J16" s="32"/>
      <c r="K16" s="35"/>
      <c r="L16" s="35"/>
      <c r="M16" s="32"/>
      <c r="N16" s="36"/>
    </row>
    <row r="17" spans="1:14" ht="18" customHeight="1">
      <c r="A17" s="23"/>
      <c r="B17" s="16"/>
      <c r="C17" s="16"/>
      <c r="D17" s="16"/>
      <c r="E17" s="16"/>
      <c r="F17" s="16"/>
      <c r="G17" s="16"/>
      <c r="H17" s="16"/>
      <c r="I17" s="16"/>
      <c r="J17" s="16"/>
      <c r="K17" s="5"/>
      <c r="L17" s="5"/>
      <c r="M17" s="16"/>
      <c r="N17" s="17"/>
    </row>
    <row r="18" spans="1:14" ht="18" customHeight="1">
      <c r="A18" s="209" t="s">
        <v>7</v>
      </c>
      <c r="B18" s="211" t="s">
        <v>49</v>
      </c>
      <c r="C18" s="211" t="s">
        <v>50</v>
      </c>
      <c r="D18" s="211" t="s">
        <v>51</v>
      </c>
      <c r="E18" s="211" t="s">
        <v>52</v>
      </c>
      <c r="F18" s="213" t="s">
        <v>53</v>
      </c>
      <c r="G18" s="211" t="s">
        <v>54</v>
      </c>
      <c r="H18" s="211" t="s">
        <v>15</v>
      </c>
      <c r="I18" s="213" t="s">
        <v>16</v>
      </c>
      <c r="J18" s="215" t="s">
        <v>17</v>
      </c>
      <c r="K18" s="230" t="s">
        <v>55</v>
      </c>
      <c r="L18" s="231"/>
      <c r="M18" s="232">
        <f>100*(COUNTIF(H23:H40,"&gt;5"))</f>
        <v>1600</v>
      </c>
      <c r="N18" s="233"/>
    </row>
    <row r="19" spans="1:14" ht="18" customHeight="1">
      <c r="A19" s="210"/>
      <c r="B19" s="212"/>
      <c r="C19" s="212"/>
      <c r="D19" s="212"/>
      <c r="E19" s="212"/>
      <c r="F19" s="214"/>
      <c r="G19" s="212"/>
      <c r="H19" s="212"/>
      <c r="I19" s="214"/>
      <c r="J19" s="216"/>
      <c r="K19" s="234" t="s">
        <v>56</v>
      </c>
      <c r="L19" s="235"/>
      <c r="M19" s="222">
        <f>SUM(H23:H40)</f>
        <v>906</v>
      </c>
      <c r="N19" s="223"/>
    </row>
    <row r="20" spans="1:14" ht="18" customHeight="1">
      <c r="A20" s="210"/>
      <c r="B20" s="212"/>
      <c r="C20" s="212"/>
      <c r="D20" s="212"/>
      <c r="E20" s="212"/>
      <c r="F20" s="214"/>
      <c r="G20" s="212"/>
      <c r="H20" s="212"/>
      <c r="I20" s="214"/>
      <c r="J20" s="216"/>
      <c r="K20" s="234" t="s">
        <v>57</v>
      </c>
      <c r="L20" s="235"/>
      <c r="M20" s="236">
        <f>VLOOKUP(B14,Bsheet!A2:V51,21,0)</f>
        <v>56.625</v>
      </c>
      <c r="N20" s="237"/>
    </row>
    <row r="21" spans="1:14" ht="18" customHeight="1">
      <c r="A21" s="210"/>
      <c r="B21" s="212"/>
      <c r="C21" s="212"/>
      <c r="D21" s="212"/>
      <c r="E21" s="212"/>
      <c r="F21" s="214"/>
      <c r="G21" s="212"/>
      <c r="H21" s="212"/>
      <c r="I21" s="214"/>
      <c r="J21" s="217"/>
      <c r="K21" s="224" t="s">
        <v>58</v>
      </c>
      <c r="L21" s="225"/>
      <c r="M21" s="226">
        <f>VLOOKUP(B14,Bsheet!A2:V51,22,0)</f>
        <v>29</v>
      </c>
      <c r="N21" s="227"/>
    </row>
    <row r="22" spans="1:14" ht="18" customHeight="1">
      <c r="A22" s="210"/>
      <c r="B22" s="30" t="s">
        <v>59</v>
      </c>
      <c r="C22" s="30" t="s">
        <v>59</v>
      </c>
      <c r="D22" s="30" t="s">
        <v>59</v>
      </c>
      <c r="E22" s="30" t="s">
        <v>59</v>
      </c>
      <c r="F22" s="30" t="s">
        <v>60</v>
      </c>
      <c r="G22" s="30" t="s">
        <v>61</v>
      </c>
      <c r="H22" s="30" t="s">
        <v>62</v>
      </c>
      <c r="I22" s="121"/>
      <c r="J22" s="122"/>
      <c r="K22" s="228" t="s">
        <v>18</v>
      </c>
      <c r="L22" s="228"/>
      <c r="M22" s="228"/>
      <c r="N22" s="229"/>
    </row>
    <row r="23" spans="1:14" ht="18" customHeight="1">
      <c r="A23" s="31" t="s">
        <v>36</v>
      </c>
      <c r="B23" s="29">
        <f>VLOOKUP(B14,Scoresheet!A3:V52,3,0)</f>
        <v>9</v>
      </c>
      <c r="C23" s="29">
        <f>VLOOKUP(B14,Scoresheet!A3:L52,4,0)</f>
        <v>8</v>
      </c>
      <c r="D23" s="29">
        <f>VLOOKUP(B14,Scoresheet!A3:L52,5,0)</f>
        <v>8</v>
      </c>
      <c r="E23" s="29">
        <f>VLOOKUP(B14,Scoresheet!A3:L52,6,0)</f>
        <v>9</v>
      </c>
      <c r="F23" s="29">
        <f>VLOOKUP(B14,Scoresheet!A3:L52,7,0)</f>
        <v>34</v>
      </c>
      <c r="G23" s="29">
        <f>VLOOKUP(B14,Scoresheet!A3:L52,8,0)</f>
        <v>28</v>
      </c>
      <c r="H23" s="29">
        <f>VLOOKUP(B14,Scoresheet!A3:K52,9,0)</f>
        <v>62</v>
      </c>
      <c r="I23" s="29">
        <f>VLOOKUP(B14,Scoresheet!A3:K52,10,0)</f>
        <v>25</v>
      </c>
      <c r="J23" s="29" t="str">
        <f>VLOOKUP(B14,Scoresheet!A3:K52,11,0)</f>
        <v>C</v>
      </c>
      <c r="K23" s="221" t="str">
        <f>VLOOKUP(B14,Scoresheet!A3:L52,12,0)</f>
        <v>Credit</v>
      </c>
      <c r="L23" s="222"/>
      <c r="M23" s="222"/>
      <c r="N23" s="223"/>
    </row>
    <row r="24" spans="1:14" ht="18" customHeight="1">
      <c r="A24" s="31" t="s">
        <v>63</v>
      </c>
      <c r="B24" s="29">
        <f>VLOOKUP(B14,Scoresheet!M3:W52,3,0)</f>
        <v>4</v>
      </c>
      <c r="C24" s="29">
        <f>VLOOKUP(B14,Scoresheet!M3:W52,4,0)</f>
        <v>1</v>
      </c>
      <c r="D24" s="29">
        <f>VLOOKUP(B14,Scoresheet!M3:W52,5,0)</f>
        <v>5</v>
      </c>
      <c r="E24" s="29">
        <f>VLOOKUP(B14,Scoresheet!M3:W52,6,0)</f>
        <v>10</v>
      </c>
      <c r="F24" s="29">
        <f>VLOOKUP(B14,Scoresheet!M3:W52,7,0)</f>
        <v>20</v>
      </c>
      <c r="G24" s="29">
        <f>VLOOKUP(B14,Scoresheet!M3:W52,8,0)</f>
        <v>25</v>
      </c>
      <c r="H24" s="29">
        <f>VLOOKUP(B14,Scoresheet!M3:W52,9,0)</f>
        <v>45</v>
      </c>
      <c r="I24" s="29">
        <f>VLOOKUP(B14,Scoresheet!M3:W52,10,0)</f>
        <v>23</v>
      </c>
      <c r="J24" s="29" t="str">
        <f>VLOOKUP(B14,Scoresheet!M3:W52,11,0)</f>
        <v>P</v>
      </c>
      <c r="K24" s="221" t="str">
        <f>VLOOKUP(B14,Scoresheet!M3:X52,12,0)</f>
        <v>Pass</v>
      </c>
      <c r="L24" s="222"/>
      <c r="M24" s="222"/>
      <c r="N24" s="223"/>
    </row>
    <row r="25" spans="1:14" ht="18" customHeight="1">
      <c r="A25" s="31" t="s">
        <v>86</v>
      </c>
      <c r="B25" s="29">
        <f>VLOOKUP(B14,Scoresheet!Y3:AI52,3,0)</f>
        <v>8</v>
      </c>
      <c r="C25" s="29">
        <f>VLOOKUP(B14,Scoresheet!Y3:AI52,4,0)</f>
        <v>7</v>
      </c>
      <c r="D25" s="29">
        <f>VLOOKUP(B14,Scoresheet!Y3:AI52,5,0)</f>
        <v>9</v>
      </c>
      <c r="E25" s="29">
        <f>VLOOKUP(B14,Scoresheet!Y3:AI52,6,0)</f>
        <v>5</v>
      </c>
      <c r="F25" s="29">
        <f>VLOOKUP(B14,Scoresheet!Y3:AI52,7,0)</f>
        <v>29</v>
      </c>
      <c r="G25" s="29">
        <f>VLOOKUP(B14,Scoresheet!Y3:AI52,8,0)</f>
        <v>28</v>
      </c>
      <c r="H25" s="29">
        <f>VLOOKUP(B14,Scoresheet!Y3:AI52,9,0)</f>
        <v>57</v>
      </c>
      <c r="I25" s="29">
        <f>VLOOKUP(B14,Scoresheet!Y3:AI52,10,0)</f>
        <v>32</v>
      </c>
      <c r="J25" s="29" t="str">
        <f>VLOOKUP(B14,Scoresheet!Y3:AI52,11,0)</f>
        <v>C</v>
      </c>
      <c r="K25" s="221" t="str">
        <f>VLOOKUP(B14,Scoresheet!Y3:AJ52,12,0)</f>
        <v>Credit</v>
      </c>
      <c r="L25" s="222"/>
      <c r="M25" s="222"/>
      <c r="N25" s="223"/>
    </row>
    <row r="26" spans="1:14" ht="18" customHeight="1">
      <c r="A26" s="31" t="s">
        <v>87</v>
      </c>
      <c r="B26" s="29">
        <f>VLOOKUP(B14,Scoresheet!AK3:AU52,3,0)</f>
        <v>0</v>
      </c>
      <c r="C26" s="29">
        <f>VLOOKUP(B14,Scoresheet!AK3:AU52,4,0)</f>
        <v>0</v>
      </c>
      <c r="D26" s="29">
        <f>VLOOKUP(B14,Scoresheet!AK3:AU52,5,0)</f>
        <v>0</v>
      </c>
      <c r="E26" s="29">
        <f>VLOOKUP(B14,Scoresheet!AK3:AU52,6,0)</f>
        <v>0</v>
      </c>
      <c r="F26" s="29">
        <f>VLOOKUP(B14,Scoresheet!AK3:AU52,7,0)</f>
        <v>0</v>
      </c>
      <c r="G26" s="29">
        <f>VLOOKUP(B14,Scoresheet!AK3:AU52,8,0)</f>
        <v>0</v>
      </c>
      <c r="H26" s="29">
        <f>VLOOKUP(B14,Scoresheet!AK3:AU52,9,0)</f>
        <v>0</v>
      </c>
      <c r="I26" s="29" t="str">
        <f>VLOOKUP(B14,Scoresheet!AK3:AU52,10,0)</f>
        <v/>
      </c>
      <c r="J26" s="29" t="str">
        <f>VLOOKUP(B14,Scoresheet!AK3:AU52,11,0)</f>
        <v/>
      </c>
      <c r="K26" s="221" t="str">
        <f>VLOOKUP(B14,Scoresheet!AK3:AV52,12,0)</f>
        <v/>
      </c>
      <c r="L26" s="222"/>
      <c r="M26" s="222"/>
      <c r="N26" s="223"/>
    </row>
    <row r="27" spans="1:14" ht="18" customHeight="1">
      <c r="A27" s="31" t="s">
        <v>94</v>
      </c>
      <c r="B27" s="29">
        <f>VLOOKUP(Report!B14,Scoresheet!AW3:BG52,3,0)</f>
        <v>10</v>
      </c>
      <c r="C27" s="29">
        <f>VLOOKUP(B14,Scoresheet!AW3:BG52,4,0)</f>
        <v>7</v>
      </c>
      <c r="D27" s="29">
        <f>VLOOKUP(B14,Scoresheet!AW3:BG52,5,0)</f>
        <v>9</v>
      </c>
      <c r="E27" s="29">
        <f>VLOOKUP(B14,Scoresheet!AW3:BI52,6,0)</f>
        <v>9</v>
      </c>
      <c r="F27" s="29">
        <f>VLOOKUP(B14,Scoresheet!AW3:BG52,7,0)</f>
        <v>35</v>
      </c>
      <c r="G27" s="29">
        <f>VLOOKUP(B14,Scoresheet!AW3:BG52,8,0)</f>
        <v>30</v>
      </c>
      <c r="H27" s="29">
        <f>VLOOKUP(B14,Scoresheet!AW3:BG52,9,0)</f>
        <v>65</v>
      </c>
      <c r="I27" s="29">
        <f>VLOOKUP(B14,Scoresheet!AW3:BG52,10,0)</f>
        <v>28</v>
      </c>
      <c r="J27" s="29" t="str">
        <f>VLOOKUP(B14,Scoresheet!AW3:BG52,11,0)</f>
        <v>C</v>
      </c>
      <c r="K27" s="221" t="str">
        <f>VLOOKUP(B14,Scoresheet!AW3:BH52,12,0)</f>
        <v>Credit</v>
      </c>
      <c r="L27" s="222"/>
      <c r="M27" s="222"/>
      <c r="N27" s="223"/>
    </row>
    <row r="28" spans="1:14" ht="18" customHeight="1">
      <c r="A28" s="31" t="s">
        <v>65</v>
      </c>
      <c r="B28" s="29">
        <f>VLOOKUP(B14,Scoresheet!BI3:BS52,3,0)</f>
        <v>5</v>
      </c>
      <c r="C28" s="29">
        <f>VLOOKUP(B14,Scoresheet!BI3:BS52,4,0)</f>
        <v>8</v>
      </c>
      <c r="D28" s="29">
        <f>VLOOKUP(B14,Scoresheet!BI3:BS52,5,0)</f>
        <v>2</v>
      </c>
      <c r="E28" s="29">
        <f>VLOOKUP(B14,Scoresheet!BI3:BS52,6,0)</f>
        <v>9</v>
      </c>
      <c r="F28" s="29">
        <f>VLOOKUP(B14,Scoresheet!BI3:BS52,7,0)</f>
        <v>24</v>
      </c>
      <c r="G28" s="29">
        <f>VLOOKUP(B14,Scoresheet!BI3:BS52,8,0)</f>
        <v>17</v>
      </c>
      <c r="H28" s="29">
        <f>VLOOKUP(B14,Scoresheet!BI3:BS52,9,0)</f>
        <v>41</v>
      </c>
      <c r="I28" s="29">
        <f>VLOOKUP(B14,Scoresheet!BI3:BS52,10,0)</f>
        <v>32</v>
      </c>
      <c r="J28" s="29" t="str">
        <f>VLOOKUP(B14,Scoresheet!BI3:BU52,11,0)</f>
        <v>F</v>
      </c>
      <c r="K28" s="221" t="str">
        <f>VLOOKUP(B14,Scoresheet!BI3:BT52,12,0)</f>
        <v>Fail</v>
      </c>
      <c r="L28" s="222"/>
      <c r="M28" s="222"/>
      <c r="N28" s="223"/>
    </row>
    <row r="29" spans="1:14" ht="18" customHeight="1">
      <c r="A29" s="31" t="s">
        <v>88</v>
      </c>
      <c r="B29" s="29">
        <f>VLOOKUP(B14,Scoresheet!BU3:CE52,3,0)</f>
        <v>5</v>
      </c>
      <c r="C29" s="29">
        <f>VLOOKUP(B14,Scoresheet!BU3:CE52,4,0)</f>
        <v>3</v>
      </c>
      <c r="D29" s="29">
        <f>VLOOKUP(B14,Scoresheet!BU3:CE52,5,0)</f>
        <v>7</v>
      </c>
      <c r="E29" s="29">
        <f>VLOOKUP(B14,Scoresheet!BU3:CE52,6,0)</f>
        <v>9</v>
      </c>
      <c r="F29" s="29">
        <f>VLOOKUP(B14,Scoresheet!BU3:CE52,7,0)</f>
        <v>24</v>
      </c>
      <c r="G29" s="29">
        <f>VLOOKUP(B14,Scoresheet!BU3:CE52,8,0)</f>
        <v>26</v>
      </c>
      <c r="H29" s="29">
        <f>VLOOKUP(B14,Scoresheet!BU3:CE52,9,0)</f>
        <v>50</v>
      </c>
      <c r="I29" s="29">
        <f>VLOOKUP(B14,Scoresheet!BU3:CE52,10,0)</f>
        <v>36</v>
      </c>
      <c r="J29" s="29" t="str">
        <f>VLOOKUP(B14,Scoresheet!BU3:CE52,11,0)</f>
        <v>C</v>
      </c>
      <c r="K29" s="221" t="str">
        <f>VLOOKUP(B14,Scoresheet!BU3:CF52,12,0)</f>
        <v>Credit</v>
      </c>
      <c r="L29" s="222"/>
      <c r="M29" s="222"/>
      <c r="N29" s="223"/>
    </row>
    <row r="30" spans="1:14" ht="18" customHeight="1">
      <c r="A30" s="31" t="s">
        <v>89</v>
      </c>
      <c r="B30" s="29">
        <f>VLOOKUP(B14,Scoresheet!CG3:CQ52,3,0)</f>
        <v>7</v>
      </c>
      <c r="C30" s="29">
        <f>VLOOKUP(B14,Scoresheet!CG3:CQ52,4,0)</f>
        <v>10</v>
      </c>
      <c r="D30" s="29">
        <f>VLOOKUP(B14,Scoresheet!CG3:CQ52,5,0)</f>
        <v>8</v>
      </c>
      <c r="E30" s="29">
        <f>VLOOKUP(B14,Scoresheet!CG3:CQ52,6,0)</f>
        <v>8</v>
      </c>
      <c r="F30" s="29">
        <f>VLOOKUP(B14,Scoresheet!CG3:CQ52,7,0)</f>
        <v>33</v>
      </c>
      <c r="G30" s="29">
        <f>VLOOKUP(B14,Scoresheet!CG3:CQ52,8,0)</f>
        <v>28</v>
      </c>
      <c r="H30" s="29">
        <f>VLOOKUP(B14,Scoresheet!CG3:CQ52,9,0)</f>
        <v>61</v>
      </c>
      <c r="I30" s="29">
        <f>VLOOKUP(B14,Scoresheet!CG3:CQ52,10,0)</f>
        <v>23</v>
      </c>
      <c r="J30" s="29" t="str">
        <f>VLOOKUP(B14,Scoresheet!CG3:CQ52,11,0)</f>
        <v>C</v>
      </c>
      <c r="K30" s="221" t="str">
        <f>VLOOKUP(B14,Scoresheet!CG3:CR52,12,0)</f>
        <v>Credit</v>
      </c>
      <c r="L30" s="222"/>
      <c r="M30" s="222"/>
      <c r="N30" s="223"/>
    </row>
    <row r="31" spans="1:14" ht="18" customHeight="1">
      <c r="A31" s="31" t="s">
        <v>68</v>
      </c>
      <c r="B31" s="29">
        <f>VLOOKUP(B14,Scoresheet!CS3:DC52,3,0)</f>
        <v>6</v>
      </c>
      <c r="C31" s="29">
        <f>VLOOKUP(B14,Scoresheet!CS3:DC52,4,0)</f>
        <v>7</v>
      </c>
      <c r="D31" s="29">
        <f>VLOOKUP(B14,Scoresheet!CS3:DC52,5,0)</f>
        <v>8</v>
      </c>
      <c r="E31" s="29">
        <f>VLOOKUP(B14,Scoresheet!CS3:DC52,6,0)</f>
        <v>10</v>
      </c>
      <c r="F31" s="29">
        <f>VLOOKUP(B14,Scoresheet!CS3:DC52,7,0)</f>
        <v>31</v>
      </c>
      <c r="G31" s="29">
        <f>VLOOKUP(B14,Scoresheet!CS3:DC52,8,0)</f>
        <v>34</v>
      </c>
      <c r="H31" s="29">
        <f>VLOOKUP(B14,Scoresheet!CS3:DC52,9,0)</f>
        <v>65</v>
      </c>
      <c r="I31" s="29">
        <f>VLOOKUP(B14,Scoresheet!CS3:DC52,10,0)</f>
        <v>22</v>
      </c>
      <c r="J31" s="29" t="str">
        <f>VLOOKUP(B14,Scoresheet!CS3:DC52,11,0)</f>
        <v>C</v>
      </c>
      <c r="K31" s="221" t="str">
        <f>VLOOKUP(B14,Scoresheet!CS3:DD52,12,0)</f>
        <v>Credit</v>
      </c>
      <c r="L31" s="222"/>
      <c r="M31" s="222"/>
      <c r="N31" s="223"/>
    </row>
    <row r="32" spans="1:14" ht="18" customHeight="1">
      <c r="A32" s="31" t="s">
        <v>90</v>
      </c>
      <c r="B32" s="29">
        <f>VLOOKUP(B14,Scoresheet!DE3:DO52,3,0)</f>
        <v>9</v>
      </c>
      <c r="C32" s="29">
        <f>VLOOKUP(B14,Scoresheet!DE3:DO52,4,0)</f>
        <v>7</v>
      </c>
      <c r="D32" s="29">
        <f>VLOOKUP(B14,Scoresheet!DE3:DO52,5,0)</f>
        <v>1</v>
      </c>
      <c r="E32" s="29">
        <f>VLOOKUP(B14,Scoresheet!DE3:DO52,6,0)</f>
        <v>9</v>
      </c>
      <c r="F32" s="29">
        <f>VLOOKUP(B14,Scoresheet!DE3:DO52,7,0)</f>
        <v>26</v>
      </c>
      <c r="G32" s="29">
        <f>VLOOKUP(B14,Scoresheet!DE3:DO52,8,0)</f>
        <v>36</v>
      </c>
      <c r="H32" s="29">
        <f>VLOOKUP(B14,Scoresheet!DE3:DO52,9,0)</f>
        <v>62</v>
      </c>
      <c r="I32" s="29">
        <f>VLOOKUP(B14,Scoresheet!DE3:DO52,10,0)</f>
        <v>31</v>
      </c>
      <c r="J32" s="29" t="str">
        <f>VLOOKUP(B14,Scoresheet!DE3:DO52,11,0)</f>
        <v>C</v>
      </c>
      <c r="K32" s="221" t="str">
        <f>VLOOKUP(B14,Scoresheet!DE3:DP52,12,0)</f>
        <v>Credit</v>
      </c>
      <c r="L32" s="222"/>
      <c r="M32" s="222"/>
      <c r="N32" s="223"/>
    </row>
    <row r="33" spans="1:15" ht="18" customHeight="1">
      <c r="A33" s="31" t="s">
        <v>91</v>
      </c>
      <c r="B33" s="29">
        <f>VLOOKUP(B14,Scoresheet!DQ3:EA52,3,0)</f>
        <v>8</v>
      </c>
      <c r="C33" s="29">
        <f>VLOOKUP(B14,Scoresheet!DQ3:EA52,4,0)</f>
        <v>6</v>
      </c>
      <c r="D33" s="29">
        <f>VLOOKUP(B14,Scoresheet!DQ3:EA52,5,0)</f>
        <v>9</v>
      </c>
      <c r="E33" s="29">
        <f>VLOOKUP(B14,Scoresheet!DQ3:EA52,6,0)</f>
        <v>10</v>
      </c>
      <c r="F33" s="29">
        <f>VLOOKUP(B14,Scoresheet!DQ3:EA52,7,0)</f>
        <v>33</v>
      </c>
      <c r="G33" s="29">
        <f>VLOOKUP(B14,Scoresheet!DQ3:EA52,8,0)</f>
        <v>26</v>
      </c>
      <c r="H33" s="29">
        <f>VLOOKUP(B14,Scoresheet!DQ3:EA52,9,0)</f>
        <v>59</v>
      </c>
      <c r="I33" s="29">
        <f>VLOOKUP(B14,Scoresheet!DQ3:EA52,10,0)</f>
        <v>32</v>
      </c>
      <c r="J33" s="29" t="str">
        <f>VLOOKUP(B14,Scoresheet!DQ3:EA52,11,0)</f>
        <v>C</v>
      </c>
      <c r="K33" s="221" t="str">
        <f>VLOOKUP(B14,Scoresheet!DQ3:EB52,12,0)</f>
        <v>Credit</v>
      </c>
      <c r="L33" s="222"/>
      <c r="M33" s="222"/>
      <c r="N33" s="223"/>
    </row>
    <row r="34" spans="1:15" ht="18" customHeight="1">
      <c r="A34" s="31" t="s">
        <v>66</v>
      </c>
      <c r="B34" s="29">
        <f>VLOOKUP(B14,Scoresheet!EC3:EM52,3,0)</f>
        <v>6</v>
      </c>
      <c r="C34" s="29">
        <f>VLOOKUP(B14,Scoresheet!EC3:EM52,4,0)</f>
        <v>7</v>
      </c>
      <c r="D34" s="29">
        <f>VLOOKUP(B14,Scoresheet!EC3:EM52,5,0)</f>
        <v>9</v>
      </c>
      <c r="E34" s="29">
        <f>VLOOKUP(B14,Scoresheet!EC3:EM52,6,0)</f>
        <v>6</v>
      </c>
      <c r="F34" s="29">
        <f>VLOOKUP(B14,Scoresheet!EC3:EM52,7,0)</f>
        <v>28</v>
      </c>
      <c r="G34" s="29">
        <f>VLOOKUP(B14,Scoresheet!EC3:EM52,8,0)</f>
        <v>24</v>
      </c>
      <c r="H34" s="29">
        <f>VLOOKUP(B14,Scoresheet!EC3:EM52,9,0)</f>
        <v>52</v>
      </c>
      <c r="I34" s="29">
        <f>VLOOKUP(B14,Scoresheet!EC3:EM52,10,0)</f>
        <v>22</v>
      </c>
      <c r="J34" s="29" t="str">
        <f>VLOOKUP(B14,Scoresheet!EC3:EM52,11,0)</f>
        <v>C</v>
      </c>
      <c r="K34" s="221" t="str">
        <f>VLOOKUP(B14,Scoresheet!EC3:EN52,12,0)</f>
        <v>Credit</v>
      </c>
      <c r="L34" s="222"/>
      <c r="M34" s="222"/>
      <c r="N34" s="223"/>
    </row>
    <row r="35" spans="1:15" ht="18" customHeight="1">
      <c r="A35" s="31" t="s">
        <v>69</v>
      </c>
      <c r="B35" s="29">
        <f>VLOOKUP(B14,Scoresheet!EO3:EY52,3,0)</f>
        <v>7</v>
      </c>
      <c r="C35" s="29">
        <f>VLOOKUP(B14,Scoresheet!EO3:EY52,4,0)</f>
        <v>2</v>
      </c>
      <c r="D35" s="29">
        <f>VLOOKUP(B14,Scoresheet!EO3:EY52,5,0)</f>
        <v>8</v>
      </c>
      <c r="E35" s="29">
        <f>VLOOKUP(B14,Scoresheet!EO3:EY52,6,0)</f>
        <v>8</v>
      </c>
      <c r="F35" s="29">
        <f>VLOOKUP(B14,Scoresheet!EO3:EY52,7,0)</f>
        <v>25</v>
      </c>
      <c r="G35" s="29">
        <f>VLOOKUP(B14,Scoresheet!EO3:FA52,8,0)</f>
        <v>20</v>
      </c>
      <c r="H35" s="29">
        <f>VLOOKUP(B14,Scoresheet!EO3:EY52,9,0)</f>
        <v>45</v>
      </c>
      <c r="I35" s="29">
        <f>VLOOKUP(B14,Scoresheet!EO3:EY52,10,0)</f>
        <v>25</v>
      </c>
      <c r="J35" s="29" t="str">
        <f>VLOOKUP(B14,Scoresheet!EO3:EY52,11,0)</f>
        <v>P</v>
      </c>
      <c r="K35" s="221" t="str">
        <f>VLOOKUP(B14,Scoresheet!EO3:EZ52,12,0)</f>
        <v>Pass</v>
      </c>
      <c r="L35" s="222"/>
      <c r="M35" s="222"/>
      <c r="N35" s="223"/>
    </row>
    <row r="36" spans="1:15" ht="18" customHeight="1">
      <c r="A36" s="31" t="s">
        <v>67</v>
      </c>
      <c r="B36" s="29">
        <f>VLOOKUP(B14,Scoresheet!FA3:FK52,3,0)</f>
        <v>9</v>
      </c>
      <c r="C36" s="29">
        <f>VLOOKUP(B14,Scoresheet!FA3:FK52,4,0)</f>
        <v>10</v>
      </c>
      <c r="D36" s="29">
        <f>VLOOKUP(B14,Scoresheet!FA3:FK52,5,0)</f>
        <v>3</v>
      </c>
      <c r="E36" s="29">
        <f>VLOOKUP(B14,Scoresheet!FA3:FK52,6,0)</f>
        <v>10</v>
      </c>
      <c r="F36" s="29">
        <f>VLOOKUP(B14,Scoresheet!FA3:FK52,7,0)</f>
        <v>32</v>
      </c>
      <c r="G36" s="29">
        <f>VLOOKUP(B14,Scoresheet!FA3:FL52,8,0)</f>
        <v>36</v>
      </c>
      <c r="H36" s="29">
        <f>VLOOKUP(B14,Scoresheet!FA3:FK52,9,0)</f>
        <v>68</v>
      </c>
      <c r="I36" s="29">
        <f>VLOOKUP(B14,Scoresheet!FA3:FK52,10,0)</f>
        <v>28</v>
      </c>
      <c r="J36" s="29" t="str">
        <f>VLOOKUP(B14,Scoresheet!FA3:FK52,11,0)</f>
        <v>C</v>
      </c>
      <c r="K36" s="221" t="str">
        <f>VLOOKUP(B14,Scoresheet!FA3:FL52,12,0)</f>
        <v>Credit</v>
      </c>
      <c r="L36" s="222"/>
      <c r="M36" s="222"/>
      <c r="N36" s="223"/>
    </row>
    <row r="37" spans="1:15" ht="18" customHeight="1">
      <c r="A37" s="31" t="s">
        <v>70</v>
      </c>
      <c r="B37" s="29">
        <f>VLOOKUP(B14,Scoresheet!FM3:FW52,3,0)</f>
        <v>10</v>
      </c>
      <c r="C37" s="29">
        <f>VLOOKUP(B14,Scoresheet!FM3:FW52,4,0)</f>
        <v>8</v>
      </c>
      <c r="D37" s="29">
        <f>VLOOKUP(B14,Scoresheet!FM3:FW52,5,0)</f>
        <v>10</v>
      </c>
      <c r="E37" s="29">
        <f>VLOOKUP(B14,Scoresheet!FM3:FW52,5,0)</f>
        <v>10</v>
      </c>
      <c r="F37" s="29">
        <f>VLOOKUP(B14,Scoresheet!FM3:FW52,7,0)</f>
        <v>33</v>
      </c>
      <c r="G37" s="29">
        <f>VLOOKUP(B14,Scoresheet!FM3:FW52,8,0)</f>
        <v>28</v>
      </c>
      <c r="H37" s="29">
        <f>VLOOKUP(B14,Scoresheet!FM3:FW52,9,0)</f>
        <v>61</v>
      </c>
      <c r="I37" s="29">
        <f>VLOOKUP(B14,Scoresheet!FM3:FW52,10,0)</f>
        <v>33</v>
      </c>
      <c r="J37" s="29" t="str">
        <f>VLOOKUP(B14,Scoresheet!FM3:FW52,11,0)</f>
        <v>C</v>
      </c>
      <c r="K37" s="221" t="str">
        <f>VLOOKUP(B14,Scoresheet!FM3:FX52,12,0)</f>
        <v>Credit</v>
      </c>
      <c r="L37" s="222"/>
      <c r="M37" s="222"/>
      <c r="N37" s="223"/>
    </row>
    <row r="38" spans="1:15" ht="18" customHeight="1">
      <c r="A38" s="31" t="s">
        <v>92</v>
      </c>
      <c r="B38" s="29">
        <f>VLOOKUP(B14,Scoresheet!FY3:GI52,3,0)</f>
        <v>0</v>
      </c>
      <c r="C38" s="29">
        <f>VLOOKUP(B14,Scoresheet!FY3:GI52,4,0)</f>
        <v>0</v>
      </c>
      <c r="D38" s="29">
        <f>VLOOKUP(B14,Scoresheet!FY3:GI52,5,0)</f>
        <v>0</v>
      </c>
      <c r="E38" s="29">
        <f>VLOOKUP(B14,Scoresheet!FY3:GI52,6,0)</f>
        <v>0</v>
      </c>
      <c r="F38" s="29">
        <f>VLOOKUP(B14,Scoresheet!FY3:GI52,7,0)</f>
        <v>0</v>
      </c>
      <c r="G38" s="29">
        <f>VLOOKUP(B14,Scoresheet!FY3:GI52,8,0)</f>
        <v>0</v>
      </c>
      <c r="H38" s="29">
        <f>VLOOKUP(B14,Scoresheet!FY3:GI52,9,0)</f>
        <v>0</v>
      </c>
      <c r="I38" s="29" t="str">
        <f>VLOOKUP(B14,Scoresheet!FY3:GI52,10,0)</f>
        <v/>
      </c>
      <c r="J38" s="29" t="str">
        <f>VLOOKUP(B14,Scoresheet!FY3:GI52,11,0)</f>
        <v/>
      </c>
      <c r="K38" s="221" t="str">
        <f>VLOOKUP(B14,Scoresheet!FY3:GJ52,12,0)</f>
        <v/>
      </c>
      <c r="L38" s="222"/>
      <c r="M38" s="222"/>
      <c r="N38" s="223"/>
    </row>
    <row r="39" spans="1:15" ht="18" customHeight="1">
      <c r="A39" s="31" t="s">
        <v>64</v>
      </c>
      <c r="B39" s="29">
        <f>VLOOKUP(B14,Scoresheet!GK3:GV52,3,0)</f>
        <v>10</v>
      </c>
      <c r="C39" s="29">
        <f>VLOOKUP(B14,Scoresheet!GK3:GV52,4,0)</f>
        <v>4</v>
      </c>
      <c r="D39" s="29">
        <f>VLOOKUP(B14,Scoresheet!GK3:GV52,5,0)</f>
        <v>10</v>
      </c>
      <c r="E39" s="29">
        <f>VLOOKUP(B14,Scoresheet!GK3:GV52,6,0)</f>
        <v>6</v>
      </c>
      <c r="F39" s="29">
        <f>VLOOKUP(B14,Scoresheet!GK3:GV52,7,0)</f>
        <v>30</v>
      </c>
      <c r="G39" s="29">
        <f>VLOOKUP(B14,Scoresheet!GK3:GV52,8,0)</f>
        <v>24</v>
      </c>
      <c r="H39" s="29">
        <f>VLOOKUP(B14,Scoresheet!GK3:GV52,9,0)</f>
        <v>54</v>
      </c>
      <c r="I39" s="29">
        <f>VLOOKUP(B14,Scoresheet!GK3:GV52,10,0)</f>
        <v>23</v>
      </c>
      <c r="J39" s="29" t="str">
        <f>VLOOKUP(B14,Scoresheet!GK3:GV52,11,0)</f>
        <v>C</v>
      </c>
      <c r="K39" s="221" t="str">
        <f>VLOOKUP(B14,Scoresheet!GK3:GW52,12,0)</f>
        <v>Credit</v>
      </c>
      <c r="L39" s="222"/>
      <c r="M39" s="222"/>
      <c r="N39" s="223"/>
    </row>
    <row r="40" spans="1:15" ht="18" customHeight="1">
      <c r="A40" s="31" t="s">
        <v>84</v>
      </c>
      <c r="B40" s="29">
        <f>VLOOKUP(B14,Scoresheet!GW3:HH52,3,0)</f>
        <v>7</v>
      </c>
      <c r="C40" s="29">
        <f>VLOOKUP(B14,Scoresheet!GW3:HH52,4,0)</f>
        <v>6</v>
      </c>
      <c r="D40" s="29">
        <f>VLOOKUP(B14,Scoresheet!GW3:HH52,5,0)</f>
        <v>5</v>
      </c>
      <c r="E40" s="29">
        <f>VLOOKUP(B14,Scoresheet!GW3:HH52,6,0)</f>
        <v>5</v>
      </c>
      <c r="F40" s="29">
        <f>VLOOKUP(B14,Scoresheet!GW3:HH52,7,0)</f>
        <v>23</v>
      </c>
      <c r="G40" s="29">
        <f>VLOOKUP(B14,Scoresheet!GW3:HH52,8,0)</f>
        <v>36</v>
      </c>
      <c r="H40" s="29">
        <f>VLOOKUP(B14,Scoresheet!GW3:HH52,9,0)</f>
        <v>59</v>
      </c>
      <c r="I40" s="29">
        <f>VLOOKUP(B14,Scoresheet!GW3:HH52,10,0)</f>
        <v>29</v>
      </c>
      <c r="J40" s="29" t="str">
        <f>VLOOKUP(B14,Scoresheet!GW3:HH52,11,0)</f>
        <v>C</v>
      </c>
      <c r="K40" s="221" t="str">
        <f>VLOOKUP(B14,Scoresheet!GW3:HH52,12,0)</f>
        <v>Credit</v>
      </c>
      <c r="L40" s="222"/>
      <c r="M40" s="222"/>
      <c r="N40" s="223"/>
    </row>
    <row r="41" spans="1:15" ht="18" customHeight="1">
      <c r="A41" s="2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8" t="s">
        <v>71</v>
      </c>
      <c r="B42" s="39"/>
      <c r="C42" s="4"/>
      <c r="D42" s="219" t="s">
        <v>72</v>
      </c>
      <c r="E42" s="219"/>
      <c r="F42" s="41"/>
      <c r="G42" s="42"/>
      <c r="H42" s="220" t="s">
        <v>73</v>
      </c>
      <c r="I42" s="220"/>
      <c r="J42" s="220"/>
      <c r="K42" s="220"/>
      <c r="L42" s="220"/>
      <c r="M42" s="220"/>
      <c r="N42" s="43"/>
      <c r="O42" s="19"/>
    </row>
    <row r="43" spans="1:15" ht="18" customHeight="1">
      <c r="A43" s="38" t="s">
        <v>23</v>
      </c>
      <c r="B43" s="40">
        <f>VLOOKUP(B14,Behaviour!A2:I51,3,0)</f>
        <v>5</v>
      </c>
      <c r="C43" s="4"/>
      <c r="D43" s="219" t="s">
        <v>31</v>
      </c>
      <c r="E43" s="219"/>
      <c r="F43" s="41">
        <f>VLOOKUP(B14,Skills!A2:H51,3,0)</f>
        <v>3</v>
      </c>
      <c r="G43" s="42"/>
      <c r="H43" s="220" t="s">
        <v>74</v>
      </c>
      <c r="I43" s="220"/>
      <c r="J43" s="220"/>
      <c r="K43" s="220"/>
      <c r="L43" s="220"/>
      <c r="M43" s="220"/>
      <c r="N43" s="43"/>
      <c r="O43" s="19"/>
    </row>
    <row r="44" spans="1:15" ht="18" customHeight="1">
      <c r="A44" s="38" t="s">
        <v>24</v>
      </c>
      <c r="B44" s="40">
        <f>VLOOKUP(B14,Behaviour!A2:I51,4,0)</f>
        <v>3</v>
      </c>
      <c r="C44" s="4"/>
      <c r="D44" s="219" t="s">
        <v>32</v>
      </c>
      <c r="E44" s="219"/>
      <c r="F44" s="41">
        <f>VLOOKUP(B14,Skills!A2:H51,4,0)</f>
        <v>3</v>
      </c>
      <c r="G44" s="42"/>
      <c r="H44" s="220" t="s">
        <v>75</v>
      </c>
      <c r="I44" s="220"/>
      <c r="J44" s="220"/>
      <c r="K44" s="220"/>
      <c r="L44" s="220"/>
      <c r="M44" s="220"/>
      <c r="N44" s="43"/>
      <c r="O44" s="19"/>
    </row>
    <row r="45" spans="1:15" ht="18" customHeight="1">
      <c r="A45" s="38" t="s">
        <v>25</v>
      </c>
      <c r="B45" s="40">
        <f>VLOOKUP(B14,Behaviour!A2:I51,5,0)</f>
        <v>3</v>
      </c>
      <c r="C45" s="4"/>
      <c r="D45" s="219" t="s">
        <v>33</v>
      </c>
      <c r="E45" s="219"/>
      <c r="F45" s="41">
        <f>VLOOKUP(B14,Skills!A2:H51,5,0)</f>
        <v>5</v>
      </c>
      <c r="G45" s="42"/>
      <c r="H45" s="220" t="s">
        <v>76</v>
      </c>
      <c r="I45" s="220"/>
      <c r="J45" s="220"/>
      <c r="K45" s="220"/>
      <c r="L45" s="220"/>
      <c r="M45" s="220"/>
      <c r="N45" s="43"/>
      <c r="O45" s="19"/>
    </row>
    <row r="46" spans="1:15" ht="18" customHeight="1">
      <c r="A46" s="38" t="s">
        <v>26</v>
      </c>
      <c r="B46" s="40">
        <f>VLOOKUP(B14,Behaviour!A2:I51,6,0)</f>
        <v>2</v>
      </c>
      <c r="C46" s="4"/>
      <c r="D46" s="219" t="s">
        <v>34</v>
      </c>
      <c r="E46" s="219"/>
      <c r="F46" s="41">
        <f>VLOOKUP(B14,Skills!A2:H51,6,0)</f>
        <v>2</v>
      </c>
      <c r="G46" s="42"/>
      <c r="H46" s="220" t="s">
        <v>77</v>
      </c>
      <c r="I46" s="220"/>
      <c r="J46" s="220"/>
      <c r="K46" s="220"/>
      <c r="L46" s="220"/>
      <c r="M46" s="220"/>
      <c r="N46" s="43"/>
      <c r="O46" s="19"/>
    </row>
    <row r="47" spans="1:15" ht="18" customHeight="1">
      <c r="A47" s="38" t="s">
        <v>27</v>
      </c>
      <c r="B47" s="40">
        <f>VLOOKUP(B14,Behaviour!A2:I51,7,0)</f>
        <v>4</v>
      </c>
      <c r="C47" s="4"/>
      <c r="D47" s="219" t="s">
        <v>35</v>
      </c>
      <c r="E47" s="219"/>
      <c r="F47" s="41">
        <f>VLOOKUP(B16,Skills!A2:H51,7,0)</f>
        <v>0</v>
      </c>
      <c r="G47" s="42"/>
      <c r="H47" s="220" t="s">
        <v>78</v>
      </c>
      <c r="I47" s="220"/>
      <c r="J47" s="220"/>
      <c r="K47" s="220"/>
      <c r="L47" s="220"/>
      <c r="M47" s="220"/>
      <c r="N47" s="43"/>
      <c r="O47" s="19"/>
    </row>
    <row r="48" spans="1:15" ht="18" customHeight="1">
      <c r="A48" s="38" t="s">
        <v>28</v>
      </c>
      <c r="B48" s="40">
        <f>VLOOKUP(B14,Behaviour!A2:I51,8,0)</f>
        <v>2</v>
      </c>
      <c r="C48" s="4"/>
      <c r="D48" s="25"/>
      <c r="E48" s="25"/>
      <c r="F48" s="25"/>
      <c r="G48" s="25"/>
      <c r="H48" s="25"/>
      <c r="I48" s="19"/>
      <c r="J48" s="19"/>
      <c r="K48" s="19"/>
      <c r="L48" s="19"/>
      <c r="M48" s="19"/>
      <c r="N48" s="18"/>
      <c r="O48" s="19"/>
    </row>
    <row r="49" spans="1:20" ht="18" customHeight="1">
      <c r="A49" s="38" t="s">
        <v>29</v>
      </c>
      <c r="B49" s="40">
        <f>VLOOKUP(B14,Behaviour!A2:I51,9,0)</f>
        <v>4</v>
      </c>
      <c r="C49" s="4"/>
      <c r="D49" s="25"/>
      <c r="E49" s="25"/>
      <c r="F49" s="25"/>
      <c r="G49" s="25"/>
      <c r="H49" s="25"/>
      <c r="I49" s="19"/>
      <c r="J49" s="19"/>
      <c r="K49" s="19"/>
      <c r="L49" s="19"/>
      <c r="M49" s="19"/>
      <c r="N49" s="18"/>
      <c r="O49" s="19"/>
    </row>
    <row r="50" spans="1:20" ht="18" customHeight="1">
      <c r="A50" s="38" t="s">
        <v>30</v>
      </c>
      <c r="B50" s="40" t="e">
        <f>VLOOKUP(B14,Behaviour!A2:I51,10,0)</f>
        <v>#REF!</v>
      </c>
      <c r="C50" s="4"/>
      <c r="D50" s="25"/>
      <c r="E50" s="25"/>
      <c r="F50" s="25"/>
      <c r="G50" s="25"/>
      <c r="H50" s="25"/>
      <c r="I50" s="19"/>
      <c r="J50" s="19"/>
      <c r="K50" s="19"/>
      <c r="L50" s="19"/>
      <c r="M50" s="19"/>
      <c r="N50" s="18"/>
      <c r="O50" s="19"/>
    </row>
    <row r="51" spans="1:20" ht="18" customHeight="1">
      <c r="A51" s="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8"/>
      <c r="O51" s="19"/>
    </row>
    <row r="52" spans="1:20" ht="18" customHeight="1">
      <c r="A52" s="7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/>
      <c r="O52" s="19"/>
    </row>
    <row r="53" spans="1:20" ht="18" customHeight="1">
      <c r="A53" s="206" t="s">
        <v>79</v>
      </c>
      <c r="B53" s="207"/>
      <c r="C53" s="207"/>
      <c r="D53" s="19" t="s">
        <v>80</v>
      </c>
      <c r="E53" s="19" t="e">
        <f>VLOOKUP(B14,Comments!A2:C51,4,0)</f>
        <v>#REF!</v>
      </c>
      <c r="F53" s="19"/>
      <c r="G53" s="19"/>
      <c r="H53" s="19"/>
      <c r="I53" s="19"/>
      <c r="J53" s="19"/>
      <c r="K53" s="19"/>
      <c r="L53" s="19"/>
      <c r="M53" s="19"/>
      <c r="N53" s="18"/>
      <c r="O53" s="19"/>
      <c r="R53" s="208"/>
      <c r="S53" s="208"/>
      <c r="T53" s="208"/>
    </row>
    <row r="54" spans="1:20" ht="18" customHeight="1">
      <c r="A54" s="206" t="s">
        <v>81</v>
      </c>
      <c r="B54" s="207"/>
      <c r="C54" s="207"/>
      <c r="D54" s="19" t="s">
        <v>80</v>
      </c>
      <c r="E54" s="19"/>
      <c r="F54" s="19"/>
      <c r="G54" s="19"/>
      <c r="H54" s="19"/>
      <c r="I54" s="19"/>
      <c r="J54" s="19"/>
      <c r="K54" s="19"/>
      <c r="L54" s="19"/>
      <c r="M54" s="19"/>
      <c r="N54" s="18"/>
      <c r="O54" s="19"/>
      <c r="R54" s="208"/>
      <c r="S54" s="208"/>
      <c r="T54" s="208"/>
    </row>
    <row r="55" spans="1:20" ht="18" customHeight="1">
      <c r="A55" s="206" t="s">
        <v>82</v>
      </c>
      <c r="B55" s="207"/>
      <c r="C55" s="207"/>
      <c r="D55" s="19" t="s">
        <v>80</v>
      </c>
      <c r="E55" s="218" t="str">
        <f>VLOOKUP(B14,Comments!A2:C51,3,0)</f>
        <v>Nil</v>
      </c>
      <c r="F55" s="218"/>
      <c r="G55" s="218"/>
      <c r="H55" s="218"/>
      <c r="I55" s="218"/>
      <c r="J55" s="218"/>
      <c r="K55" s="19"/>
      <c r="L55" s="19"/>
      <c r="M55" s="19"/>
      <c r="N55" s="18"/>
      <c r="O55" s="19"/>
      <c r="R55" s="208"/>
      <c r="S55" s="208"/>
      <c r="T55" s="208"/>
    </row>
    <row r="56" spans="1:20" ht="18" customHeight="1">
      <c r="A56" s="206" t="s">
        <v>83</v>
      </c>
      <c r="B56" s="207"/>
      <c r="C56" s="207"/>
      <c r="D56" s="19" t="s">
        <v>80</v>
      </c>
      <c r="E56" s="19" t="str">
        <f>IF(M20&gt;=75,"An Impressive performance, Keep it up",IF(M20&gt;=65,"The Performance is not upto par, sit up",IF(M20&lt;=64.9,"Sit up and work harder")))</f>
        <v>Sit up and work harder</v>
      </c>
      <c r="F56" s="19"/>
      <c r="G56" s="19"/>
      <c r="H56" s="19"/>
      <c r="I56" s="19"/>
      <c r="J56" s="19"/>
      <c r="K56" s="19"/>
      <c r="L56" s="19"/>
      <c r="M56" s="19"/>
      <c r="N56" s="18"/>
      <c r="O56" s="19"/>
      <c r="R56" s="208"/>
      <c r="S56" s="208"/>
      <c r="T56" s="208"/>
    </row>
    <row r="57" spans="1:20" ht="18" customHeight="1" thickBot="1">
      <c r="A57" s="26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9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B10:G10"/>
    <mergeCell ref="K10:L10"/>
    <mergeCell ref="M10:N10"/>
    <mergeCell ref="B11:G11"/>
    <mergeCell ref="K11:L11"/>
    <mergeCell ref="M11:N11"/>
    <mergeCell ref="B12:G12"/>
    <mergeCell ref="K12:L12"/>
    <mergeCell ref="M12:N12"/>
    <mergeCell ref="B13:G13"/>
    <mergeCell ref="K13:L13"/>
    <mergeCell ref="M13:N13"/>
    <mergeCell ref="B14:C14"/>
    <mergeCell ref="K14:L14"/>
    <mergeCell ref="M14:N14"/>
    <mergeCell ref="K15:L15"/>
    <mergeCell ref="M15:N15"/>
    <mergeCell ref="K18:L18"/>
    <mergeCell ref="M18:N18"/>
    <mergeCell ref="K19:L19"/>
    <mergeCell ref="M19:N19"/>
    <mergeCell ref="K20:L20"/>
    <mergeCell ref="M20:N20"/>
    <mergeCell ref="K21:L21"/>
    <mergeCell ref="M21:N21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7:N37"/>
    <mergeCell ref="K38:N38"/>
    <mergeCell ref="K39:N39"/>
    <mergeCell ref="K40:N40"/>
    <mergeCell ref="K32:N32"/>
    <mergeCell ref="K33:N33"/>
    <mergeCell ref="K34:N34"/>
    <mergeCell ref="K35:N35"/>
    <mergeCell ref="K36:N36"/>
    <mergeCell ref="D42:E42"/>
    <mergeCell ref="H42:M42"/>
    <mergeCell ref="D43:E43"/>
    <mergeCell ref="H43:M43"/>
    <mergeCell ref="D44:E44"/>
    <mergeCell ref="H44:M4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selection activeCell="B1" sqref="B1:F1"/>
    </sheetView>
  </sheetViews>
  <sheetFormatPr defaultColWidth="9" defaultRowHeight="15"/>
  <cols>
    <col min="1" max="1" width="4.28515625" customWidth="1"/>
    <col min="2" max="2" width="19.285156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</cols>
  <sheetData>
    <row r="1" spans="1:12">
      <c r="A1" s="11"/>
      <c r="B1" s="244" t="s">
        <v>7</v>
      </c>
      <c r="C1" s="244"/>
      <c r="D1" s="244"/>
      <c r="E1" s="244"/>
      <c r="F1" s="244"/>
      <c r="H1" s="12"/>
      <c r="I1" s="12"/>
      <c r="J1" s="11"/>
      <c r="K1" s="11"/>
      <c r="L1" s="11"/>
    </row>
    <row r="2" spans="1:12" ht="53.25">
      <c r="A2" s="11" t="s">
        <v>8</v>
      </c>
      <c r="B2" s="11" t="s">
        <v>0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  <c r="J2" s="13" t="s">
        <v>16</v>
      </c>
      <c r="K2" s="13" t="s">
        <v>17</v>
      </c>
      <c r="L2" s="14" t="s">
        <v>18</v>
      </c>
    </row>
    <row r="3" spans="1:12">
      <c r="A3" s="11">
        <v>1</v>
      </c>
      <c r="B3" s="11"/>
      <c r="C3" s="11"/>
      <c r="D3" s="11"/>
      <c r="E3" s="11"/>
      <c r="F3" s="11"/>
      <c r="G3" s="11">
        <f>SUM(C3:F3)</f>
        <v>0</v>
      </c>
      <c r="H3" s="11"/>
      <c r="I3" s="11">
        <f>G3+H3</f>
        <v>0</v>
      </c>
      <c r="J3" s="11" t="str">
        <f>IF(I3&lt;10,"",RANK(I3,I$3:I$52))</f>
        <v/>
      </c>
      <c r="K3" s="11" t="str">
        <f>IF(I3&gt;=75,"A",IF(I3&gt;=70,"B2",IF(I3&gt;=50,"C",IF(I3&gt;=45,"D",IF(I3&gt;=40,"E",IF(I3&gt;=6,"F",IF(I3&lt;5,"")))))))</f>
        <v/>
      </c>
      <c r="L3" s="11" t="str">
        <f>IF(I3&gt;=75,"Excellent",IF(I3&gt;=70,"V.Good",IF(I3&gt;=65,"Good",IF(I3&gt;=60,"Credit",IF(I3&gt;=55,"Credit",IF(I3&gt;=50,"Credit",IF(I3&gt;=45,"Pass",IF(I3&gt;=40,"Pass",IF(I3&gt;=6,"Fail",IF(I3&lt;5,""))))))))))</f>
        <v/>
      </c>
    </row>
    <row r="4" spans="1:12">
      <c r="A4" s="11">
        <v>2</v>
      </c>
      <c r="B4" s="11"/>
      <c r="C4" s="11"/>
      <c r="D4" s="11"/>
      <c r="E4" s="11"/>
      <c r="F4" s="11"/>
      <c r="G4" s="11">
        <f t="shared" ref="G4:G30" si="0">SUM(C4:F4)</f>
        <v>0</v>
      </c>
      <c r="H4" s="11"/>
      <c r="I4" s="11">
        <f t="shared" ref="I4:I52" si="1">G4+H4</f>
        <v>0</v>
      </c>
      <c r="J4" s="11" t="str">
        <f t="shared" ref="J4:J52" si="2">IF(I4&lt;10,"",RANK(I4,I$3:I$52))</f>
        <v/>
      </c>
      <c r="K4" s="11" t="str">
        <f t="shared" ref="K4:K52" si="3">IF(I4&gt;=75,"A",IF(I4&gt;=70,"B2",IF(I4&gt;=50,"C",IF(I4&gt;=45,"D",IF(I4&gt;=40,"E",IF(I4&gt;=6,"F",IF(I4&lt;5,"")))))))</f>
        <v/>
      </c>
      <c r="L4" s="11" t="str">
        <f t="shared" ref="L4:L52" si="4"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>
      <c r="A5" s="11">
        <v>3</v>
      </c>
      <c r="B5" s="11"/>
      <c r="C5" s="11"/>
      <c r="D5" s="11"/>
      <c r="E5" s="11"/>
      <c r="F5" s="11"/>
      <c r="G5" s="11">
        <f t="shared" si="0"/>
        <v>0</v>
      </c>
      <c r="H5" s="11"/>
      <c r="I5" s="11">
        <f t="shared" si="1"/>
        <v>0</v>
      </c>
      <c r="J5" s="11" t="str">
        <f t="shared" si="2"/>
        <v/>
      </c>
      <c r="K5" s="11" t="str">
        <f t="shared" si="3"/>
        <v/>
      </c>
      <c r="L5" s="11" t="str">
        <f t="shared" si="4"/>
        <v/>
      </c>
    </row>
    <row r="6" spans="1:12">
      <c r="A6" s="11">
        <v>4</v>
      </c>
      <c r="B6" s="11"/>
      <c r="C6" s="11"/>
      <c r="D6" s="11"/>
      <c r="E6" s="11"/>
      <c r="F6" s="11"/>
      <c r="G6" s="11">
        <f t="shared" si="0"/>
        <v>0</v>
      </c>
      <c r="H6" s="11"/>
      <c r="I6" s="11">
        <f t="shared" si="1"/>
        <v>0</v>
      </c>
      <c r="J6" s="11" t="str">
        <f t="shared" si="2"/>
        <v/>
      </c>
      <c r="K6" s="11" t="str">
        <f t="shared" si="3"/>
        <v/>
      </c>
      <c r="L6" s="11" t="str">
        <f t="shared" si="4"/>
        <v/>
      </c>
    </row>
    <row r="7" spans="1:12">
      <c r="A7" s="11">
        <v>5</v>
      </c>
      <c r="B7" s="11"/>
      <c r="C7" s="11"/>
      <c r="D7" s="11"/>
      <c r="E7" s="11"/>
      <c r="F7" s="11"/>
      <c r="G7" s="11">
        <f t="shared" si="0"/>
        <v>0</v>
      </c>
      <c r="H7" s="11"/>
      <c r="I7" s="11">
        <f t="shared" si="1"/>
        <v>0</v>
      </c>
      <c r="J7" s="11" t="str">
        <f t="shared" si="2"/>
        <v/>
      </c>
      <c r="K7" s="11" t="str">
        <f t="shared" si="3"/>
        <v/>
      </c>
      <c r="L7" s="11" t="str">
        <f t="shared" si="4"/>
        <v/>
      </c>
    </row>
    <row r="8" spans="1:12">
      <c r="A8" s="11">
        <v>6</v>
      </c>
      <c r="B8" s="11"/>
      <c r="C8" s="11"/>
      <c r="D8" s="11"/>
      <c r="E8" s="11"/>
      <c r="F8" s="11"/>
      <c r="G8" s="11">
        <f t="shared" si="0"/>
        <v>0</v>
      </c>
      <c r="H8" s="11"/>
      <c r="I8" s="11">
        <f t="shared" si="1"/>
        <v>0</v>
      </c>
      <c r="J8" s="11" t="str">
        <f t="shared" si="2"/>
        <v/>
      </c>
      <c r="K8" s="11" t="str">
        <f t="shared" si="3"/>
        <v/>
      </c>
      <c r="L8" s="11" t="str">
        <f t="shared" si="4"/>
        <v/>
      </c>
    </row>
    <row r="9" spans="1:12">
      <c r="A9" s="11">
        <v>7</v>
      </c>
      <c r="B9" s="11"/>
      <c r="C9" s="11"/>
      <c r="D9" s="11"/>
      <c r="E9" s="11"/>
      <c r="F9" s="11"/>
      <c r="G9" s="11">
        <f t="shared" si="0"/>
        <v>0</v>
      </c>
      <c r="H9" s="11"/>
      <c r="I9" s="11">
        <f t="shared" si="1"/>
        <v>0</v>
      </c>
      <c r="J9" s="11" t="str">
        <f t="shared" si="2"/>
        <v/>
      </c>
      <c r="K9" s="11" t="str">
        <f t="shared" si="3"/>
        <v/>
      </c>
      <c r="L9" s="11" t="str">
        <f t="shared" si="4"/>
        <v/>
      </c>
    </row>
    <row r="10" spans="1:12">
      <c r="A10" s="11">
        <v>8</v>
      </c>
      <c r="B10" s="11"/>
      <c r="C10" s="11"/>
      <c r="D10" s="11"/>
      <c r="E10" s="11"/>
      <c r="F10" s="11"/>
      <c r="G10" s="11">
        <f t="shared" si="0"/>
        <v>0</v>
      </c>
      <c r="H10" s="11"/>
      <c r="I10" s="11">
        <f t="shared" si="1"/>
        <v>0</v>
      </c>
      <c r="J10" s="11" t="str">
        <f t="shared" si="2"/>
        <v/>
      </c>
      <c r="K10" s="11" t="str">
        <f t="shared" si="3"/>
        <v/>
      </c>
      <c r="L10" s="11" t="str">
        <f t="shared" si="4"/>
        <v/>
      </c>
    </row>
    <row r="11" spans="1:12">
      <c r="A11" s="11">
        <v>9</v>
      </c>
      <c r="B11" s="11"/>
      <c r="C11" s="11"/>
      <c r="D11" s="11"/>
      <c r="E11" s="11"/>
      <c r="F11" s="11"/>
      <c r="G11" s="11">
        <f t="shared" si="0"/>
        <v>0</v>
      </c>
      <c r="H11" s="11"/>
      <c r="I11" s="11">
        <f t="shared" si="1"/>
        <v>0</v>
      </c>
      <c r="J11" s="11" t="str">
        <f t="shared" si="2"/>
        <v/>
      </c>
      <c r="K11" s="11" t="str">
        <f t="shared" si="3"/>
        <v/>
      </c>
      <c r="L11" s="11" t="str">
        <f t="shared" si="4"/>
        <v/>
      </c>
    </row>
    <row r="12" spans="1:12">
      <c r="A12" s="11">
        <v>10</v>
      </c>
      <c r="B12" s="11"/>
      <c r="C12" s="11"/>
      <c r="D12" s="11"/>
      <c r="E12" s="11"/>
      <c r="F12" s="11"/>
      <c r="G12" s="11">
        <f t="shared" si="0"/>
        <v>0</v>
      </c>
      <c r="H12" s="11"/>
      <c r="I12" s="11">
        <f t="shared" si="1"/>
        <v>0</v>
      </c>
      <c r="J12" s="11" t="str">
        <f t="shared" si="2"/>
        <v/>
      </c>
      <c r="K12" s="11" t="str">
        <f t="shared" si="3"/>
        <v/>
      </c>
      <c r="L12" s="11" t="str">
        <f t="shared" si="4"/>
        <v/>
      </c>
    </row>
    <row r="13" spans="1:12">
      <c r="A13" s="11">
        <v>11</v>
      </c>
      <c r="B13" s="11"/>
      <c r="C13" s="11"/>
      <c r="D13" s="11"/>
      <c r="E13" s="11"/>
      <c r="F13" s="11"/>
      <c r="G13" s="11">
        <f t="shared" si="0"/>
        <v>0</v>
      </c>
      <c r="H13" s="11"/>
      <c r="I13" s="11">
        <f t="shared" si="1"/>
        <v>0</v>
      </c>
      <c r="J13" s="11" t="str">
        <f t="shared" si="2"/>
        <v/>
      </c>
      <c r="K13" s="11" t="str">
        <f t="shared" si="3"/>
        <v/>
      </c>
      <c r="L13" s="11" t="str">
        <f t="shared" si="4"/>
        <v/>
      </c>
    </row>
    <row r="14" spans="1:12">
      <c r="A14" s="11">
        <v>12</v>
      </c>
      <c r="B14" s="11"/>
      <c r="C14" s="11"/>
      <c r="D14" s="11"/>
      <c r="E14" s="11"/>
      <c r="F14" s="11"/>
      <c r="G14" s="11">
        <f t="shared" si="0"/>
        <v>0</v>
      </c>
      <c r="H14" s="11"/>
      <c r="I14" s="11">
        <f t="shared" si="1"/>
        <v>0</v>
      </c>
      <c r="J14" s="11" t="str">
        <f t="shared" si="2"/>
        <v/>
      </c>
      <c r="K14" s="11" t="str">
        <f t="shared" si="3"/>
        <v/>
      </c>
      <c r="L14" s="11" t="str">
        <f t="shared" si="4"/>
        <v/>
      </c>
    </row>
    <row r="15" spans="1:12">
      <c r="A15" s="11">
        <v>13</v>
      </c>
      <c r="B15" s="11"/>
      <c r="C15" s="11"/>
      <c r="D15" s="11"/>
      <c r="E15" s="11"/>
      <c r="F15" s="11"/>
      <c r="G15" s="11">
        <f t="shared" si="0"/>
        <v>0</v>
      </c>
      <c r="H15" s="11"/>
      <c r="I15" s="11">
        <f t="shared" si="1"/>
        <v>0</v>
      </c>
      <c r="J15" s="11" t="str">
        <f t="shared" si="2"/>
        <v/>
      </c>
      <c r="K15" s="11" t="str">
        <f t="shared" si="3"/>
        <v/>
      </c>
      <c r="L15" s="11" t="str">
        <f t="shared" si="4"/>
        <v/>
      </c>
    </row>
    <row r="16" spans="1:12">
      <c r="A16" s="11">
        <v>14</v>
      </c>
      <c r="B16" s="11"/>
      <c r="C16" s="11"/>
      <c r="D16" s="11"/>
      <c r="E16" s="11"/>
      <c r="F16" s="11"/>
      <c r="G16" s="11">
        <f t="shared" si="0"/>
        <v>0</v>
      </c>
      <c r="H16" s="11"/>
      <c r="I16" s="11">
        <f t="shared" si="1"/>
        <v>0</v>
      </c>
      <c r="J16" s="11" t="str">
        <f t="shared" si="2"/>
        <v/>
      </c>
      <c r="K16" s="11" t="str">
        <f t="shared" si="3"/>
        <v/>
      </c>
      <c r="L16" s="11" t="str">
        <f t="shared" si="4"/>
        <v/>
      </c>
    </row>
    <row r="17" spans="1:12">
      <c r="A17" s="11">
        <v>15</v>
      </c>
      <c r="B17" s="11"/>
      <c r="C17" s="11"/>
      <c r="D17" s="11"/>
      <c r="E17" s="11"/>
      <c r="F17" s="11"/>
      <c r="G17" s="11">
        <f t="shared" si="0"/>
        <v>0</v>
      </c>
      <c r="H17" s="11"/>
      <c r="I17" s="11">
        <f t="shared" si="1"/>
        <v>0</v>
      </c>
      <c r="J17" s="11" t="str">
        <f t="shared" si="2"/>
        <v/>
      </c>
      <c r="K17" s="11" t="str">
        <f t="shared" si="3"/>
        <v/>
      </c>
      <c r="L17" s="11" t="str">
        <f t="shared" si="4"/>
        <v/>
      </c>
    </row>
    <row r="18" spans="1:12">
      <c r="A18" s="11">
        <v>16</v>
      </c>
      <c r="B18" s="11"/>
      <c r="C18" s="11"/>
      <c r="D18" s="11"/>
      <c r="E18" s="11"/>
      <c r="F18" s="11"/>
      <c r="G18" s="11">
        <f t="shared" si="0"/>
        <v>0</v>
      </c>
      <c r="H18" s="11"/>
      <c r="I18" s="11">
        <f t="shared" si="1"/>
        <v>0</v>
      </c>
      <c r="J18" s="11" t="str">
        <f t="shared" si="2"/>
        <v/>
      </c>
      <c r="K18" s="11" t="str">
        <f t="shared" si="3"/>
        <v/>
      </c>
      <c r="L18" s="11" t="str">
        <f t="shared" si="4"/>
        <v/>
      </c>
    </row>
    <row r="19" spans="1:12">
      <c r="A19" s="11">
        <v>17</v>
      </c>
      <c r="B19" s="11"/>
      <c r="C19" s="11"/>
      <c r="D19" s="11"/>
      <c r="E19" s="11"/>
      <c r="F19" s="11"/>
      <c r="G19" s="11">
        <f t="shared" si="0"/>
        <v>0</v>
      </c>
      <c r="H19" s="11"/>
      <c r="I19" s="11">
        <f t="shared" si="1"/>
        <v>0</v>
      </c>
      <c r="J19" s="11" t="str">
        <f t="shared" si="2"/>
        <v/>
      </c>
      <c r="K19" s="11" t="str">
        <f t="shared" si="3"/>
        <v/>
      </c>
      <c r="L19" s="11" t="str">
        <f t="shared" si="4"/>
        <v/>
      </c>
    </row>
    <row r="20" spans="1:12">
      <c r="A20" s="11">
        <v>18</v>
      </c>
      <c r="B20" s="11"/>
      <c r="C20" s="11"/>
      <c r="D20" s="11"/>
      <c r="E20" s="11"/>
      <c r="F20" s="11"/>
      <c r="G20" s="11">
        <f t="shared" si="0"/>
        <v>0</v>
      </c>
      <c r="H20" s="11"/>
      <c r="I20" s="11">
        <f t="shared" si="1"/>
        <v>0</v>
      </c>
      <c r="J20" s="11" t="str">
        <f t="shared" si="2"/>
        <v/>
      </c>
      <c r="K20" s="11" t="str">
        <f t="shared" si="3"/>
        <v/>
      </c>
      <c r="L20" s="11" t="str">
        <f t="shared" si="4"/>
        <v/>
      </c>
    </row>
    <row r="21" spans="1:12">
      <c r="A21" s="11">
        <v>19</v>
      </c>
      <c r="B21" s="11"/>
      <c r="C21" s="11"/>
      <c r="D21" s="11"/>
      <c r="E21" s="11"/>
      <c r="F21" s="11"/>
      <c r="G21" s="11">
        <f t="shared" si="0"/>
        <v>0</v>
      </c>
      <c r="H21" s="11"/>
      <c r="I21" s="11">
        <f t="shared" si="1"/>
        <v>0</v>
      </c>
      <c r="J21" s="11" t="str">
        <f t="shared" si="2"/>
        <v/>
      </c>
      <c r="K21" s="11" t="str">
        <f t="shared" si="3"/>
        <v/>
      </c>
      <c r="L21" s="11" t="str">
        <f t="shared" si="4"/>
        <v/>
      </c>
    </row>
    <row r="22" spans="1:12">
      <c r="A22" s="11">
        <v>20</v>
      </c>
      <c r="B22" s="11"/>
      <c r="C22" s="11"/>
      <c r="D22" s="11"/>
      <c r="E22" s="11"/>
      <c r="F22" s="11"/>
      <c r="G22" s="11">
        <f t="shared" si="0"/>
        <v>0</v>
      </c>
      <c r="H22" s="11"/>
      <c r="I22" s="11">
        <f t="shared" si="1"/>
        <v>0</v>
      </c>
      <c r="J22" s="11" t="str">
        <f t="shared" si="2"/>
        <v/>
      </c>
      <c r="K22" s="11" t="str">
        <f t="shared" si="3"/>
        <v/>
      </c>
      <c r="L22" s="11" t="str">
        <f t="shared" si="4"/>
        <v/>
      </c>
    </row>
    <row r="23" spans="1:12">
      <c r="A23" s="11">
        <v>21</v>
      </c>
      <c r="B23" s="11"/>
      <c r="C23" s="11"/>
      <c r="D23" s="11"/>
      <c r="E23" s="11"/>
      <c r="F23" s="11"/>
      <c r="G23" s="11">
        <f t="shared" si="0"/>
        <v>0</v>
      </c>
      <c r="H23" s="11"/>
      <c r="I23" s="11">
        <f t="shared" si="1"/>
        <v>0</v>
      </c>
      <c r="J23" s="11" t="str">
        <f t="shared" si="2"/>
        <v/>
      </c>
      <c r="K23" s="11" t="str">
        <f t="shared" si="3"/>
        <v/>
      </c>
      <c r="L23" s="11" t="str">
        <f t="shared" si="4"/>
        <v/>
      </c>
    </row>
    <row r="24" spans="1:12">
      <c r="A24" s="11">
        <v>22</v>
      </c>
      <c r="B24" s="11"/>
      <c r="C24" s="11"/>
      <c r="D24" s="11"/>
      <c r="E24" s="11"/>
      <c r="F24" s="11"/>
      <c r="G24" s="11">
        <f t="shared" si="0"/>
        <v>0</v>
      </c>
      <c r="H24" s="11"/>
      <c r="I24" s="11">
        <f t="shared" si="1"/>
        <v>0</v>
      </c>
      <c r="J24" s="11" t="str">
        <f t="shared" si="2"/>
        <v/>
      </c>
      <c r="K24" s="11" t="str">
        <f t="shared" si="3"/>
        <v/>
      </c>
      <c r="L24" s="11" t="str">
        <f t="shared" si="4"/>
        <v/>
      </c>
    </row>
    <row r="25" spans="1:12">
      <c r="A25" s="11">
        <v>23</v>
      </c>
      <c r="B25" s="11"/>
      <c r="C25" s="11"/>
      <c r="D25" s="11"/>
      <c r="E25" s="11"/>
      <c r="F25" s="11"/>
      <c r="G25" s="11">
        <f t="shared" si="0"/>
        <v>0</v>
      </c>
      <c r="H25" s="11"/>
      <c r="I25" s="11">
        <f t="shared" si="1"/>
        <v>0</v>
      </c>
      <c r="J25" s="11" t="str">
        <f t="shared" si="2"/>
        <v/>
      </c>
      <c r="K25" s="11" t="str">
        <f t="shared" si="3"/>
        <v/>
      </c>
      <c r="L25" s="11" t="str">
        <f t="shared" si="4"/>
        <v/>
      </c>
    </row>
    <row r="26" spans="1:12">
      <c r="A26" s="11">
        <v>24</v>
      </c>
      <c r="B26" s="11"/>
      <c r="C26" s="11"/>
      <c r="D26" s="11"/>
      <c r="E26" s="11"/>
      <c r="F26" s="11"/>
      <c r="G26" s="11">
        <f t="shared" si="0"/>
        <v>0</v>
      </c>
      <c r="H26" s="11"/>
      <c r="I26" s="11">
        <f t="shared" si="1"/>
        <v>0</v>
      </c>
      <c r="J26" s="11" t="str">
        <f t="shared" si="2"/>
        <v/>
      </c>
      <c r="K26" s="11" t="str">
        <f t="shared" si="3"/>
        <v/>
      </c>
      <c r="L26" s="11" t="str">
        <f t="shared" si="4"/>
        <v/>
      </c>
    </row>
    <row r="27" spans="1:12">
      <c r="A27" s="11">
        <v>25</v>
      </c>
      <c r="B27" s="11"/>
      <c r="C27" s="11"/>
      <c r="D27" s="11"/>
      <c r="E27" s="11"/>
      <c r="F27" s="11"/>
      <c r="G27" s="11">
        <f t="shared" si="0"/>
        <v>0</v>
      </c>
      <c r="H27" s="11"/>
      <c r="I27" s="11">
        <f t="shared" si="1"/>
        <v>0</v>
      </c>
      <c r="J27" s="11" t="str">
        <f t="shared" si="2"/>
        <v/>
      </c>
      <c r="K27" s="11" t="str">
        <f t="shared" si="3"/>
        <v/>
      </c>
      <c r="L27" s="11" t="str">
        <f t="shared" si="4"/>
        <v/>
      </c>
    </row>
    <row r="28" spans="1:12">
      <c r="A28" s="11">
        <v>26</v>
      </c>
      <c r="B28" s="11"/>
      <c r="C28" s="11"/>
      <c r="D28" s="11"/>
      <c r="E28" s="11"/>
      <c r="F28" s="11"/>
      <c r="G28" s="11">
        <f t="shared" si="0"/>
        <v>0</v>
      </c>
      <c r="H28" s="11"/>
      <c r="I28" s="11">
        <f t="shared" si="1"/>
        <v>0</v>
      </c>
      <c r="J28" s="11" t="str">
        <f t="shared" si="2"/>
        <v/>
      </c>
      <c r="K28" s="11" t="str">
        <f t="shared" si="3"/>
        <v/>
      </c>
      <c r="L28" s="11" t="str">
        <f t="shared" si="4"/>
        <v/>
      </c>
    </row>
    <row r="29" spans="1:12">
      <c r="A29" s="11">
        <v>27</v>
      </c>
      <c r="B29" s="11"/>
      <c r="C29" s="11"/>
      <c r="D29" s="11"/>
      <c r="E29" s="11"/>
      <c r="F29" s="11"/>
      <c r="G29" s="11">
        <f t="shared" si="0"/>
        <v>0</v>
      </c>
      <c r="H29" s="11"/>
      <c r="I29" s="11">
        <f t="shared" si="1"/>
        <v>0</v>
      </c>
      <c r="J29" s="11" t="str">
        <f t="shared" si="2"/>
        <v/>
      </c>
      <c r="K29" s="11" t="str">
        <f t="shared" si="3"/>
        <v/>
      </c>
      <c r="L29" s="11" t="str">
        <f t="shared" si="4"/>
        <v/>
      </c>
    </row>
    <row r="30" spans="1:12">
      <c r="A30" s="11">
        <v>28</v>
      </c>
      <c r="B30" s="11"/>
      <c r="C30" s="11"/>
      <c r="D30" s="11"/>
      <c r="E30" s="11"/>
      <c r="F30" s="11"/>
      <c r="G30" s="11">
        <f t="shared" si="0"/>
        <v>0</v>
      </c>
      <c r="H30" s="11"/>
      <c r="I30" s="11">
        <f t="shared" si="1"/>
        <v>0</v>
      </c>
      <c r="J30" s="11" t="str">
        <f t="shared" si="2"/>
        <v/>
      </c>
      <c r="K30" s="11" t="str">
        <f t="shared" si="3"/>
        <v/>
      </c>
      <c r="L30" s="11" t="str">
        <f t="shared" si="4"/>
        <v/>
      </c>
    </row>
    <row r="31" spans="1:12">
      <c r="A31" s="11">
        <v>29</v>
      </c>
      <c r="B31" s="11"/>
      <c r="C31" s="11"/>
      <c r="D31" s="11"/>
      <c r="E31" s="11"/>
      <c r="F31" s="11"/>
      <c r="G31" s="11">
        <f t="shared" ref="G31:G52" si="5">SUM(C31:F31)</f>
        <v>0</v>
      </c>
      <c r="H31" s="11"/>
      <c r="I31" s="11">
        <f t="shared" si="1"/>
        <v>0</v>
      </c>
      <c r="J31" s="11" t="str">
        <f t="shared" si="2"/>
        <v/>
      </c>
      <c r="K31" s="11" t="str">
        <f t="shared" si="3"/>
        <v/>
      </c>
      <c r="L31" s="11" t="str">
        <f t="shared" si="4"/>
        <v/>
      </c>
    </row>
    <row r="32" spans="1:12">
      <c r="A32" s="11">
        <v>30</v>
      </c>
      <c r="B32" s="11"/>
      <c r="C32" s="11"/>
      <c r="D32" s="11"/>
      <c r="E32" s="11"/>
      <c r="F32" s="11"/>
      <c r="G32" s="11">
        <f t="shared" si="5"/>
        <v>0</v>
      </c>
      <c r="H32" s="11"/>
      <c r="I32" s="11">
        <f t="shared" si="1"/>
        <v>0</v>
      </c>
      <c r="J32" s="11" t="str">
        <f t="shared" si="2"/>
        <v/>
      </c>
      <c r="K32" s="11" t="str">
        <f t="shared" si="3"/>
        <v/>
      </c>
      <c r="L32" s="11" t="str">
        <f t="shared" si="4"/>
        <v/>
      </c>
    </row>
    <row r="33" spans="1:12">
      <c r="A33" s="11">
        <v>31</v>
      </c>
      <c r="B33" s="11"/>
      <c r="C33" s="11"/>
      <c r="D33" s="11"/>
      <c r="E33" s="11"/>
      <c r="F33" s="11"/>
      <c r="G33" s="11">
        <f t="shared" si="5"/>
        <v>0</v>
      </c>
      <c r="H33" s="11"/>
      <c r="I33" s="11">
        <f t="shared" si="1"/>
        <v>0</v>
      </c>
      <c r="J33" s="11" t="str">
        <f t="shared" si="2"/>
        <v/>
      </c>
      <c r="K33" s="11" t="str">
        <f t="shared" si="3"/>
        <v/>
      </c>
      <c r="L33" s="11" t="str">
        <f t="shared" si="4"/>
        <v/>
      </c>
    </row>
    <row r="34" spans="1:12">
      <c r="A34" s="11">
        <v>32</v>
      </c>
      <c r="B34" s="11"/>
      <c r="C34" s="11"/>
      <c r="D34" s="11"/>
      <c r="E34" s="11"/>
      <c r="F34" s="11"/>
      <c r="G34" s="11">
        <f t="shared" si="5"/>
        <v>0</v>
      </c>
      <c r="H34" s="11"/>
      <c r="I34" s="11">
        <f t="shared" si="1"/>
        <v>0</v>
      </c>
      <c r="J34" s="11" t="str">
        <f t="shared" si="2"/>
        <v/>
      </c>
      <c r="K34" s="11" t="str">
        <f t="shared" si="3"/>
        <v/>
      </c>
      <c r="L34" s="11" t="str">
        <f t="shared" si="4"/>
        <v/>
      </c>
    </row>
    <row r="35" spans="1:12">
      <c r="A35" s="11">
        <v>33</v>
      </c>
      <c r="B35" s="11"/>
      <c r="C35" s="11"/>
      <c r="D35" s="11"/>
      <c r="E35" s="11"/>
      <c r="F35" s="11"/>
      <c r="G35" s="11">
        <f t="shared" si="5"/>
        <v>0</v>
      </c>
      <c r="H35" s="11"/>
      <c r="I35" s="11">
        <f t="shared" si="1"/>
        <v>0</v>
      </c>
      <c r="J35" s="11" t="str">
        <f t="shared" si="2"/>
        <v/>
      </c>
      <c r="K35" s="11" t="str">
        <f t="shared" si="3"/>
        <v/>
      </c>
      <c r="L35" s="11" t="str">
        <f t="shared" si="4"/>
        <v/>
      </c>
    </row>
    <row r="36" spans="1:12">
      <c r="A36" s="11">
        <v>34</v>
      </c>
      <c r="B36" s="11"/>
      <c r="C36" s="11"/>
      <c r="D36" s="11"/>
      <c r="E36" s="11"/>
      <c r="F36" s="11"/>
      <c r="G36" s="11">
        <f t="shared" si="5"/>
        <v>0</v>
      </c>
      <c r="H36" s="11"/>
      <c r="I36" s="11">
        <f t="shared" si="1"/>
        <v>0</v>
      </c>
      <c r="J36" s="11" t="str">
        <f t="shared" si="2"/>
        <v/>
      </c>
      <c r="K36" s="11" t="str">
        <f t="shared" si="3"/>
        <v/>
      </c>
      <c r="L36" s="11" t="str">
        <f t="shared" si="4"/>
        <v/>
      </c>
    </row>
    <row r="37" spans="1:12">
      <c r="A37" s="11">
        <v>35</v>
      </c>
      <c r="B37" s="11"/>
      <c r="C37" s="11"/>
      <c r="D37" s="11"/>
      <c r="E37" s="11"/>
      <c r="F37" s="11"/>
      <c r="G37" s="11">
        <f t="shared" si="5"/>
        <v>0</v>
      </c>
      <c r="H37" s="11"/>
      <c r="I37" s="11">
        <f t="shared" si="1"/>
        <v>0</v>
      </c>
      <c r="J37" s="11" t="str">
        <f t="shared" si="2"/>
        <v/>
      </c>
      <c r="K37" s="11" t="str">
        <f t="shared" si="3"/>
        <v/>
      </c>
      <c r="L37" s="11" t="str">
        <f t="shared" si="4"/>
        <v/>
      </c>
    </row>
    <row r="38" spans="1:12">
      <c r="A38" s="11">
        <v>36</v>
      </c>
      <c r="B38" s="11"/>
      <c r="C38" s="11"/>
      <c r="D38" s="11"/>
      <c r="E38" s="11"/>
      <c r="F38" s="11"/>
      <c r="G38" s="11">
        <f t="shared" si="5"/>
        <v>0</v>
      </c>
      <c r="H38" s="11"/>
      <c r="I38" s="11">
        <f t="shared" si="1"/>
        <v>0</v>
      </c>
      <c r="J38" s="11" t="str">
        <f t="shared" si="2"/>
        <v/>
      </c>
      <c r="K38" s="11" t="str">
        <f t="shared" si="3"/>
        <v/>
      </c>
      <c r="L38" s="11" t="str">
        <f t="shared" si="4"/>
        <v/>
      </c>
    </row>
    <row r="39" spans="1:12">
      <c r="A39" s="11">
        <v>37</v>
      </c>
      <c r="B39" s="11"/>
      <c r="C39" s="11"/>
      <c r="D39" s="11"/>
      <c r="E39" s="11"/>
      <c r="F39" s="11"/>
      <c r="G39" s="11">
        <f t="shared" si="5"/>
        <v>0</v>
      </c>
      <c r="H39" s="11"/>
      <c r="I39" s="11">
        <f t="shared" si="1"/>
        <v>0</v>
      </c>
      <c r="J39" s="11" t="str">
        <f t="shared" si="2"/>
        <v/>
      </c>
      <c r="K39" s="11" t="str">
        <f t="shared" si="3"/>
        <v/>
      </c>
      <c r="L39" s="11" t="str">
        <f t="shared" si="4"/>
        <v/>
      </c>
    </row>
    <row r="40" spans="1:12">
      <c r="A40" s="11">
        <v>38</v>
      </c>
      <c r="B40" s="11"/>
      <c r="C40" s="11"/>
      <c r="D40" s="11"/>
      <c r="E40" s="11"/>
      <c r="F40" s="11"/>
      <c r="G40" s="11">
        <f t="shared" si="5"/>
        <v>0</v>
      </c>
      <c r="H40" s="11"/>
      <c r="I40" s="11">
        <f t="shared" si="1"/>
        <v>0</v>
      </c>
      <c r="J40" s="11" t="str">
        <f t="shared" si="2"/>
        <v/>
      </c>
      <c r="K40" s="11" t="str">
        <f t="shared" si="3"/>
        <v/>
      </c>
      <c r="L40" s="11" t="str">
        <f t="shared" si="4"/>
        <v/>
      </c>
    </row>
    <row r="41" spans="1:12">
      <c r="A41" s="11">
        <v>39</v>
      </c>
      <c r="B41" s="11"/>
      <c r="C41" s="11"/>
      <c r="D41" s="11"/>
      <c r="E41" s="11"/>
      <c r="F41" s="11"/>
      <c r="G41" s="11">
        <f t="shared" si="5"/>
        <v>0</v>
      </c>
      <c r="H41" s="11"/>
      <c r="I41" s="11">
        <f t="shared" si="1"/>
        <v>0</v>
      </c>
      <c r="J41" s="11" t="str">
        <f t="shared" si="2"/>
        <v/>
      </c>
      <c r="K41" s="11" t="str">
        <f t="shared" si="3"/>
        <v/>
      </c>
      <c r="L41" s="11" t="str">
        <f t="shared" si="4"/>
        <v/>
      </c>
    </row>
    <row r="42" spans="1:12">
      <c r="A42" s="11">
        <v>40</v>
      </c>
      <c r="B42" s="11"/>
      <c r="C42" s="11"/>
      <c r="D42" s="11"/>
      <c r="E42" s="11"/>
      <c r="F42" s="11"/>
      <c r="G42" s="11">
        <f t="shared" si="5"/>
        <v>0</v>
      </c>
      <c r="H42" s="11"/>
      <c r="I42" s="11">
        <f t="shared" si="1"/>
        <v>0</v>
      </c>
      <c r="J42" s="11" t="str">
        <f t="shared" si="2"/>
        <v/>
      </c>
      <c r="K42" s="11" t="str">
        <f t="shared" si="3"/>
        <v/>
      </c>
      <c r="L42" s="11" t="str">
        <f t="shared" si="4"/>
        <v/>
      </c>
    </row>
    <row r="43" spans="1:12">
      <c r="A43" s="11">
        <v>41</v>
      </c>
      <c r="B43" s="11"/>
      <c r="C43" s="11"/>
      <c r="D43" s="11"/>
      <c r="E43" s="11"/>
      <c r="F43" s="11"/>
      <c r="G43" s="11">
        <f t="shared" si="5"/>
        <v>0</v>
      </c>
      <c r="H43" s="11"/>
      <c r="I43" s="11">
        <f t="shared" si="1"/>
        <v>0</v>
      </c>
      <c r="J43" s="11" t="str">
        <f t="shared" si="2"/>
        <v/>
      </c>
      <c r="K43" s="11" t="str">
        <f t="shared" si="3"/>
        <v/>
      </c>
      <c r="L43" s="11" t="str">
        <f t="shared" si="4"/>
        <v/>
      </c>
    </row>
    <row r="44" spans="1:12">
      <c r="A44" s="11">
        <v>42</v>
      </c>
      <c r="B44" s="11"/>
      <c r="C44" s="11"/>
      <c r="D44" s="11"/>
      <c r="E44" s="11"/>
      <c r="F44" s="11"/>
      <c r="G44" s="11">
        <f t="shared" si="5"/>
        <v>0</v>
      </c>
      <c r="H44" s="11"/>
      <c r="I44" s="11">
        <f t="shared" si="1"/>
        <v>0</v>
      </c>
      <c r="J44" s="11" t="str">
        <f t="shared" si="2"/>
        <v/>
      </c>
      <c r="K44" s="11" t="str">
        <f t="shared" si="3"/>
        <v/>
      </c>
      <c r="L44" s="11" t="str">
        <f t="shared" si="4"/>
        <v/>
      </c>
    </row>
    <row r="45" spans="1:12">
      <c r="A45" s="11">
        <v>43</v>
      </c>
      <c r="B45" s="11"/>
      <c r="C45" s="11"/>
      <c r="D45" s="11"/>
      <c r="E45" s="11"/>
      <c r="F45" s="11"/>
      <c r="G45" s="11">
        <f t="shared" si="5"/>
        <v>0</v>
      </c>
      <c r="H45" s="11"/>
      <c r="I45" s="11">
        <f t="shared" si="1"/>
        <v>0</v>
      </c>
      <c r="J45" s="11" t="str">
        <f t="shared" si="2"/>
        <v/>
      </c>
      <c r="K45" s="11" t="str">
        <f t="shared" si="3"/>
        <v/>
      </c>
      <c r="L45" s="11" t="str">
        <f t="shared" si="4"/>
        <v/>
      </c>
    </row>
    <row r="46" spans="1:12">
      <c r="A46" s="11">
        <v>44</v>
      </c>
      <c r="B46" s="11"/>
      <c r="C46" s="11"/>
      <c r="D46" s="11"/>
      <c r="E46" s="11"/>
      <c r="F46" s="11"/>
      <c r="G46" s="11">
        <f t="shared" si="5"/>
        <v>0</v>
      </c>
      <c r="H46" s="11"/>
      <c r="I46" s="11">
        <f t="shared" si="1"/>
        <v>0</v>
      </c>
      <c r="J46" s="11" t="str">
        <f t="shared" si="2"/>
        <v/>
      </c>
      <c r="K46" s="11" t="str">
        <f t="shared" si="3"/>
        <v/>
      </c>
      <c r="L46" s="11" t="str">
        <f t="shared" si="4"/>
        <v/>
      </c>
    </row>
    <row r="47" spans="1:12">
      <c r="A47" s="11">
        <v>45</v>
      </c>
      <c r="B47" s="11"/>
      <c r="C47" s="11"/>
      <c r="D47" s="11"/>
      <c r="E47" s="11"/>
      <c r="F47" s="11"/>
      <c r="G47" s="11">
        <f t="shared" si="5"/>
        <v>0</v>
      </c>
      <c r="H47" s="11"/>
      <c r="I47" s="11">
        <f t="shared" si="1"/>
        <v>0</v>
      </c>
      <c r="J47" s="11" t="str">
        <f t="shared" si="2"/>
        <v/>
      </c>
      <c r="K47" s="11" t="str">
        <f t="shared" si="3"/>
        <v/>
      </c>
      <c r="L47" s="11" t="str">
        <f t="shared" si="4"/>
        <v/>
      </c>
    </row>
    <row r="48" spans="1:12">
      <c r="A48" s="11">
        <v>46</v>
      </c>
      <c r="B48" s="11"/>
      <c r="C48" s="11"/>
      <c r="D48" s="11"/>
      <c r="E48" s="11"/>
      <c r="F48" s="11"/>
      <c r="G48" s="11">
        <f t="shared" si="5"/>
        <v>0</v>
      </c>
      <c r="H48" s="11"/>
      <c r="I48" s="11">
        <f t="shared" si="1"/>
        <v>0</v>
      </c>
      <c r="J48" s="11" t="str">
        <f t="shared" si="2"/>
        <v/>
      </c>
      <c r="K48" s="11" t="str">
        <f t="shared" si="3"/>
        <v/>
      </c>
      <c r="L48" s="11" t="str">
        <f t="shared" si="4"/>
        <v/>
      </c>
    </row>
    <row r="49" spans="1:12">
      <c r="A49" s="11">
        <v>47</v>
      </c>
      <c r="B49" s="11"/>
      <c r="C49" s="11"/>
      <c r="D49" s="11"/>
      <c r="E49" s="11"/>
      <c r="F49" s="11"/>
      <c r="G49" s="11">
        <f t="shared" si="5"/>
        <v>0</v>
      </c>
      <c r="H49" s="11"/>
      <c r="I49" s="11">
        <f t="shared" si="1"/>
        <v>0</v>
      </c>
      <c r="J49" s="11" t="str">
        <f t="shared" si="2"/>
        <v/>
      </c>
      <c r="K49" s="11" t="str">
        <f t="shared" si="3"/>
        <v/>
      </c>
      <c r="L49" s="11" t="str">
        <f t="shared" si="4"/>
        <v/>
      </c>
    </row>
    <row r="50" spans="1:12">
      <c r="A50" s="11">
        <v>48</v>
      </c>
      <c r="B50" s="11"/>
      <c r="C50" s="11"/>
      <c r="D50" s="11"/>
      <c r="E50" s="11"/>
      <c r="F50" s="11"/>
      <c r="G50" s="11">
        <f t="shared" si="5"/>
        <v>0</v>
      </c>
      <c r="H50" s="11"/>
      <c r="I50" s="11">
        <f t="shared" si="1"/>
        <v>0</v>
      </c>
      <c r="J50" s="11" t="str">
        <f t="shared" si="2"/>
        <v/>
      </c>
      <c r="K50" s="11" t="str">
        <f t="shared" si="3"/>
        <v/>
      </c>
      <c r="L50" s="11" t="str">
        <f t="shared" si="4"/>
        <v/>
      </c>
    </row>
    <row r="51" spans="1:12">
      <c r="A51" s="11">
        <v>49</v>
      </c>
      <c r="B51" s="11"/>
      <c r="C51" s="11"/>
      <c r="D51" s="11"/>
      <c r="E51" s="11"/>
      <c r="F51" s="11"/>
      <c r="G51" s="11">
        <f t="shared" si="5"/>
        <v>0</v>
      </c>
      <c r="H51" s="11"/>
      <c r="I51" s="11">
        <f t="shared" si="1"/>
        <v>0</v>
      </c>
      <c r="J51" s="11" t="str">
        <f t="shared" si="2"/>
        <v/>
      </c>
      <c r="K51" s="11" t="str">
        <f t="shared" si="3"/>
        <v/>
      </c>
      <c r="L51" s="11" t="str">
        <f t="shared" si="4"/>
        <v/>
      </c>
    </row>
    <row r="52" spans="1:12">
      <c r="A52" s="11">
        <v>50</v>
      </c>
      <c r="B52" s="11"/>
      <c r="C52" s="11"/>
      <c r="D52" s="11"/>
      <c r="E52" s="11"/>
      <c r="F52" s="11"/>
      <c r="G52" s="11">
        <f t="shared" si="5"/>
        <v>0</v>
      </c>
      <c r="H52" s="11"/>
      <c r="I52" s="11">
        <f t="shared" si="1"/>
        <v>0</v>
      </c>
      <c r="J52" s="11" t="str">
        <f t="shared" si="2"/>
        <v/>
      </c>
      <c r="K52" s="11" t="str">
        <f t="shared" si="3"/>
        <v/>
      </c>
      <c r="L52" s="11" t="str">
        <f t="shared" si="4"/>
        <v/>
      </c>
    </row>
  </sheetData>
  <sheetProtection algorithmName="SHA-512" hashValue="RfAXeNc3pjt1Cvz8EyrzjBtEI6Vf0HMVuUK08Q2IikNRmxm2DNwhDNxp/gVv92yHf13kTWUiYMfl/LEG1xgQOg==" saltValue="+VpzqyHKaz9vD2VK7fUglg==" spinCount="100000" sheet="1" formatColumns="0"/>
  <protectedRanges>
    <protectedRange sqref="H3:H52" name="Range2"/>
    <protectedRange sqref="A1:F52" name="Range1"/>
  </protectedRanges>
  <mergeCells count="1">
    <mergeCell ref="B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8"/>
    </sheetView>
  </sheetViews>
  <sheetFormatPr defaultRowHeight="15"/>
  <cols>
    <col min="1" max="1" width="27.1406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9" customWidth="1"/>
    <col min="20" max="20" width="8.140625" style="19" customWidth="1"/>
    <col min="21" max="22" width="11.140625" style="19" customWidth="1"/>
  </cols>
  <sheetData>
    <row r="1" spans="1:22" ht="74.25">
      <c r="A1" s="178" t="s">
        <v>193</v>
      </c>
      <c r="B1" s="124" t="s">
        <v>36</v>
      </c>
      <c r="C1" s="124" t="s">
        <v>63</v>
      </c>
      <c r="D1" s="124" t="s">
        <v>86</v>
      </c>
      <c r="E1" s="124" t="s">
        <v>87</v>
      </c>
      <c r="F1" s="124" t="s">
        <v>94</v>
      </c>
      <c r="G1" s="124" t="s">
        <v>65</v>
      </c>
      <c r="H1" s="124" t="s">
        <v>88</v>
      </c>
      <c r="I1" s="124" t="s">
        <v>89</v>
      </c>
      <c r="J1" s="124" t="s">
        <v>68</v>
      </c>
      <c r="K1" s="124" t="s">
        <v>90</v>
      </c>
      <c r="L1" s="124" t="s">
        <v>91</v>
      </c>
      <c r="M1" s="124" t="s">
        <v>66</v>
      </c>
      <c r="N1" s="124" t="s">
        <v>69</v>
      </c>
      <c r="O1" s="124" t="s">
        <v>67</v>
      </c>
      <c r="P1" s="124" t="s">
        <v>70</v>
      </c>
      <c r="Q1" s="124" t="s">
        <v>92</v>
      </c>
      <c r="R1" s="124" t="s">
        <v>64</v>
      </c>
      <c r="S1" s="124" t="s">
        <v>84</v>
      </c>
      <c r="T1" s="123" t="s">
        <v>15</v>
      </c>
      <c r="U1" s="123" t="s">
        <v>97</v>
      </c>
      <c r="V1" s="180" t="s">
        <v>16</v>
      </c>
    </row>
    <row r="2" spans="1:22">
      <c r="A2" s="176">
        <v>1</v>
      </c>
      <c r="B2" s="3">
        <f>Scoresheet!I3</f>
        <v>75</v>
      </c>
      <c r="C2" s="3">
        <f>Scoresheet!U3</f>
        <v>54</v>
      </c>
      <c r="D2" s="3">
        <f>Scoresheet!AG3</f>
        <v>77</v>
      </c>
      <c r="E2" s="3">
        <f>Scoresheet!AS3</f>
        <v>0</v>
      </c>
      <c r="F2" s="3">
        <f>Scoresheet!BE3</f>
        <v>82</v>
      </c>
      <c r="G2" s="3">
        <f>Scoresheet!BQ3</f>
        <v>70</v>
      </c>
      <c r="H2" s="3">
        <f>Scoresheet!CC3</f>
        <v>72</v>
      </c>
      <c r="I2" s="3">
        <f>Scoresheet!CO3</f>
        <v>81</v>
      </c>
      <c r="J2" s="3">
        <f>Scoresheet!DA3</f>
        <v>80</v>
      </c>
      <c r="K2" s="3">
        <f>Scoresheet!DM3</f>
        <v>80</v>
      </c>
      <c r="L2" s="3">
        <f>Scoresheet!DY3</f>
        <v>70</v>
      </c>
      <c r="M2" s="3">
        <f>Scoresheet!EK3</f>
        <v>62</v>
      </c>
      <c r="N2" s="3">
        <f>Scoresheet!EW3</f>
        <v>60</v>
      </c>
      <c r="O2" s="3">
        <f>Scoresheet!FI3</f>
        <v>83</v>
      </c>
      <c r="P2" s="3">
        <f>Scoresheet!FU3</f>
        <v>81</v>
      </c>
      <c r="Q2" s="3">
        <f>Scoresheet!GG3</f>
        <v>0</v>
      </c>
      <c r="R2" s="3">
        <f>Scoresheet!GS3</f>
        <v>86</v>
      </c>
      <c r="S2" s="3">
        <f>Scoresheet!HE3</f>
        <v>91</v>
      </c>
      <c r="T2" s="3">
        <f>SUM(B2:S2)</f>
        <v>1204</v>
      </c>
      <c r="U2" s="120">
        <f>IFERROR(T2/COUNTIF(B2:S2,"&gt;10"),"")</f>
        <v>75.25</v>
      </c>
      <c r="V2" s="179">
        <f>RANK(U2,$U$2:$U$51)</f>
        <v>4</v>
      </c>
    </row>
    <row r="3" spans="1:22">
      <c r="A3" s="176">
        <v>2</v>
      </c>
      <c r="B3" s="3">
        <f>Scoresheet!I4</f>
        <v>63</v>
      </c>
      <c r="C3" s="3">
        <f>Scoresheet!U4</f>
        <v>34</v>
      </c>
      <c r="D3" s="3">
        <f>Scoresheet!AG4</f>
        <v>61</v>
      </c>
      <c r="E3" s="3">
        <f>Scoresheet!AS4</f>
        <v>0</v>
      </c>
      <c r="F3" s="3">
        <f>Scoresheet!BE4</f>
        <v>70</v>
      </c>
      <c r="G3" s="3">
        <f>Scoresheet!BQ4</f>
        <v>47</v>
      </c>
      <c r="H3" s="3">
        <f>Scoresheet!CC4</f>
        <v>52</v>
      </c>
      <c r="I3" s="3">
        <f>Scoresheet!CO4</f>
        <v>26</v>
      </c>
      <c r="J3" s="3">
        <f>Scoresheet!DA4</f>
        <v>60</v>
      </c>
      <c r="K3" s="3">
        <f>Scoresheet!DM4</f>
        <v>67</v>
      </c>
      <c r="L3" s="3">
        <f>Scoresheet!DY4</f>
        <v>61</v>
      </c>
      <c r="M3" s="3">
        <f>Scoresheet!EK4</f>
        <v>41</v>
      </c>
      <c r="N3" s="3">
        <f>Scoresheet!EW4</f>
        <v>50</v>
      </c>
      <c r="O3" s="3">
        <f>Scoresheet!FI4</f>
        <v>65</v>
      </c>
      <c r="P3" s="3">
        <f>Scoresheet!FU4</f>
        <v>65</v>
      </c>
      <c r="Q3" s="3">
        <f>Scoresheet!GG4</f>
        <v>0</v>
      </c>
      <c r="R3" s="3">
        <f>Scoresheet!GS4</f>
        <v>50</v>
      </c>
      <c r="S3" s="3">
        <f>Scoresheet!HE4</f>
        <v>75</v>
      </c>
      <c r="T3" s="3">
        <f t="shared" ref="T3:T51" si="0">SUM(B3:S3)</f>
        <v>887</v>
      </c>
      <c r="U3" s="120">
        <f t="shared" ref="U3:U51" si="1">IFERROR(T3/COUNTIF(B3:S3,"&gt;10"),"")</f>
        <v>55.4375</v>
      </c>
      <c r="V3" s="179">
        <f t="shared" ref="V3:V51" si="2">RANK(U3,$U$2:$U$51)</f>
        <v>33</v>
      </c>
    </row>
    <row r="4" spans="1:22">
      <c r="A4" s="176">
        <v>3</v>
      </c>
      <c r="B4" s="3">
        <f>Scoresheet!I5</f>
        <v>52</v>
      </c>
      <c r="C4" s="3">
        <f>Scoresheet!U5</f>
        <v>37</v>
      </c>
      <c r="D4" s="3">
        <f>Scoresheet!AG5</f>
        <v>54</v>
      </c>
      <c r="E4" s="3">
        <f>Scoresheet!AS5</f>
        <v>0</v>
      </c>
      <c r="F4" s="3">
        <f>Scoresheet!BE5</f>
        <v>65</v>
      </c>
      <c r="G4" s="3">
        <f>Scoresheet!BQ5</f>
        <v>34</v>
      </c>
      <c r="H4" s="3">
        <f>Scoresheet!CC5</f>
        <v>57</v>
      </c>
      <c r="I4" s="3">
        <f>Scoresheet!CO5</f>
        <v>46</v>
      </c>
      <c r="J4" s="3">
        <f>Scoresheet!DA5</f>
        <v>58</v>
      </c>
      <c r="K4" s="3">
        <f>Scoresheet!DM5</f>
        <v>71</v>
      </c>
      <c r="L4" s="3">
        <f>Scoresheet!DY5</f>
        <v>57</v>
      </c>
      <c r="M4" s="3">
        <f>Scoresheet!EK5</f>
        <v>42</v>
      </c>
      <c r="N4" s="3">
        <f>Scoresheet!EW5</f>
        <v>44</v>
      </c>
      <c r="O4" s="3">
        <f>Scoresheet!FI5</f>
        <v>68</v>
      </c>
      <c r="P4" s="3">
        <f>Scoresheet!FU5</f>
        <v>65</v>
      </c>
      <c r="Q4" s="3">
        <f>Scoresheet!GG5</f>
        <v>0</v>
      </c>
      <c r="R4" s="3">
        <f>Scoresheet!GS5</f>
        <v>41</v>
      </c>
      <c r="S4" s="3">
        <f>Scoresheet!HE5</f>
        <v>59</v>
      </c>
      <c r="T4" s="3">
        <f t="shared" si="0"/>
        <v>850</v>
      </c>
      <c r="U4" s="120">
        <f t="shared" si="1"/>
        <v>53.125</v>
      </c>
      <c r="V4" s="179">
        <f t="shared" si="2"/>
        <v>40</v>
      </c>
    </row>
    <row r="5" spans="1:22">
      <c r="A5" s="176">
        <v>4</v>
      </c>
      <c r="B5" s="3">
        <f>Scoresheet!I6</f>
        <v>54</v>
      </c>
      <c r="C5" s="3">
        <f>Scoresheet!U6</f>
        <v>37</v>
      </c>
      <c r="D5" s="3">
        <f>Scoresheet!AG6</f>
        <v>63</v>
      </c>
      <c r="E5" s="3">
        <f>Scoresheet!AS6</f>
        <v>0</v>
      </c>
      <c r="F5" s="3">
        <f>Scoresheet!BE6</f>
        <v>42</v>
      </c>
      <c r="G5" s="3">
        <f>Scoresheet!BQ6</f>
        <v>39</v>
      </c>
      <c r="H5" s="3">
        <f>Scoresheet!CC6</f>
        <v>61</v>
      </c>
      <c r="I5" s="3">
        <f>Scoresheet!CO6</f>
        <v>42</v>
      </c>
      <c r="J5" s="3">
        <f>Scoresheet!DA6</f>
        <v>49</v>
      </c>
      <c r="K5" s="3">
        <f>Scoresheet!DM6</f>
        <v>57</v>
      </c>
      <c r="L5" s="3">
        <f>Scoresheet!DY6</f>
        <v>46</v>
      </c>
      <c r="M5" s="3">
        <f>Scoresheet!EK6</f>
        <v>42</v>
      </c>
      <c r="N5" s="3">
        <f>Scoresheet!EW6</f>
        <v>37</v>
      </c>
      <c r="O5" s="3">
        <f>Scoresheet!FI6</f>
        <v>62</v>
      </c>
      <c r="P5" s="3">
        <f>Scoresheet!FU6</f>
        <v>52</v>
      </c>
      <c r="Q5" s="3">
        <f>Scoresheet!GG6</f>
        <v>0</v>
      </c>
      <c r="R5" s="3">
        <f>Scoresheet!GS6</f>
        <v>58</v>
      </c>
      <c r="S5" s="3">
        <f>Scoresheet!HE6</f>
        <v>49</v>
      </c>
      <c r="T5" s="3">
        <f t="shared" si="0"/>
        <v>790</v>
      </c>
      <c r="U5" s="120">
        <f t="shared" si="1"/>
        <v>49.375</v>
      </c>
      <c r="V5" s="179">
        <f t="shared" si="2"/>
        <v>43</v>
      </c>
    </row>
    <row r="6" spans="1:22">
      <c r="A6" s="176">
        <v>5</v>
      </c>
      <c r="B6" s="3">
        <f>Scoresheet!I7</f>
        <v>59</v>
      </c>
      <c r="C6" s="3">
        <f>Scoresheet!U7</f>
        <v>46</v>
      </c>
      <c r="D6" s="3">
        <f>Scoresheet!AG7</f>
        <v>63</v>
      </c>
      <c r="E6" s="3">
        <f>Scoresheet!AS7</f>
        <v>0</v>
      </c>
      <c r="F6" s="3">
        <f>Scoresheet!BE7</f>
        <v>75</v>
      </c>
      <c r="G6" s="3">
        <f>Scoresheet!BQ7</f>
        <v>56</v>
      </c>
      <c r="H6" s="3">
        <f>Scoresheet!CC7</f>
        <v>60</v>
      </c>
      <c r="I6" s="3">
        <f>Scoresheet!CO7</f>
        <v>67</v>
      </c>
      <c r="J6" s="3">
        <f>Scoresheet!DA7</f>
        <v>73</v>
      </c>
      <c r="K6" s="3">
        <f>Scoresheet!DM7</f>
        <v>58</v>
      </c>
      <c r="L6" s="3">
        <f>Scoresheet!DY7</f>
        <v>66</v>
      </c>
      <c r="M6" s="3">
        <f>Scoresheet!EK7</f>
        <v>53</v>
      </c>
      <c r="N6" s="3">
        <f>Scoresheet!EW7</f>
        <v>45</v>
      </c>
      <c r="O6" s="3">
        <f>Scoresheet!FI7</f>
        <v>74</v>
      </c>
      <c r="P6" s="3">
        <f>Scoresheet!FU7</f>
        <v>72</v>
      </c>
      <c r="Q6" s="3">
        <f>Scoresheet!GG7</f>
        <v>0</v>
      </c>
      <c r="R6" s="3">
        <f>Scoresheet!GS7</f>
        <v>59</v>
      </c>
      <c r="S6" s="3">
        <f>Scoresheet!HE7</f>
        <v>79</v>
      </c>
      <c r="T6" s="3">
        <f t="shared" si="0"/>
        <v>1005</v>
      </c>
      <c r="U6" s="120">
        <f t="shared" si="1"/>
        <v>62.8125</v>
      </c>
      <c r="V6" s="179">
        <f t="shared" si="2"/>
        <v>19</v>
      </c>
    </row>
    <row r="7" spans="1:22">
      <c r="A7" s="176">
        <v>6</v>
      </c>
      <c r="B7" s="3">
        <f>Scoresheet!I8</f>
        <v>41</v>
      </c>
      <c r="C7" s="3">
        <f>Scoresheet!U8</f>
        <v>35</v>
      </c>
      <c r="D7" s="3">
        <f>Scoresheet!AG8</f>
        <v>40</v>
      </c>
      <c r="E7" s="3">
        <f>Scoresheet!AS8</f>
        <v>0</v>
      </c>
      <c r="F7" s="3">
        <f>Scoresheet!BE8</f>
        <v>60</v>
      </c>
      <c r="G7" s="3">
        <f>Scoresheet!BQ8</f>
        <v>27</v>
      </c>
      <c r="H7" s="3">
        <f>Scoresheet!CC8</f>
        <v>42</v>
      </c>
      <c r="I7" s="3">
        <f>Scoresheet!CO8</f>
        <v>49</v>
      </c>
      <c r="J7" s="3">
        <f>Scoresheet!DA8</f>
        <v>54</v>
      </c>
      <c r="K7" s="3">
        <f>Scoresheet!DM8</f>
        <v>52</v>
      </c>
      <c r="L7" s="3">
        <f>Scoresheet!DY8</f>
        <v>44</v>
      </c>
      <c r="M7" s="3">
        <f>Scoresheet!EK8</f>
        <v>42</v>
      </c>
      <c r="N7" s="3">
        <f>Scoresheet!EW8</f>
        <v>25</v>
      </c>
      <c r="O7" s="3">
        <f>Scoresheet!FI8</f>
        <v>63</v>
      </c>
      <c r="P7" s="3">
        <f>Scoresheet!FU8</f>
        <v>42</v>
      </c>
      <c r="Q7" s="3">
        <f>Scoresheet!GG8</f>
        <v>0</v>
      </c>
      <c r="R7" s="3">
        <f>Scoresheet!GS8</f>
        <v>29</v>
      </c>
      <c r="S7" s="3">
        <f>Scoresheet!HE8</f>
        <v>53</v>
      </c>
      <c r="T7" s="3">
        <f t="shared" si="0"/>
        <v>698</v>
      </c>
      <c r="U7" s="120">
        <f t="shared" si="1"/>
        <v>43.625</v>
      </c>
      <c r="V7" s="179">
        <f t="shared" si="2"/>
        <v>47</v>
      </c>
    </row>
    <row r="8" spans="1:22">
      <c r="A8" s="176">
        <v>7</v>
      </c>
      <c r="B8" s="3">
        <f>Scoresheet!I9</f>
        <v>48</v>
      </c>
      <c r="C8" s="3">
        <f>Scoresheet!U9</f>
        <v>39</v>
      </c>
      <c r="D8" s="3">
        <f>Scoresheet!AG9</f>
        <v>58</v>
      </c>
      <c r="E8" s="3">
        <f>Scoresheet!AS9</f>
        <v>0</v>
      </c>
      <c r="F8" s="3">
        <f>Scoresheet!BE9</f>
        <v>52</v>
      </c>
      <c r="G8" s="3">
        <f>Scoresheet!BQ9</f>
        <v>37</v>
      </c>
      <c r="H8" s="3">
        <f>Scoresheet!CC9</f>
        <v>44</v>
      </c>
      <c r="I8" s="3">
        <f>Scoresheet!CO9</f>
        <v>38</v>
      </c>
      <c r="J8" s="3">
        <f>Scoresheet!DA9</f>
        <v>62</v>
      </c>
      <c r="K8" s="3">
        <f>Scoresheet!DM9</f>
        <v>51</v>
      </c>
      <c r="L8" s="3">
        <f>Scoresheet!DY9</f>
        <v>53</v>
      </c>
      <c r="M8" s="3">
        <f>Scoresheet!EK9</f>
        <v>46</v>
      </c>
      <c r="N8" s="3">
        <f>Scoresheet!EW9</f>
        <v>45</v>
      </c>
      <c r="O8" s="3">
        <f>Scoresheet!FI9</f>
        <v>64</v>
      </c>
      <c r="P8" s="3">
        <f>Scoresheet!FU9</f>
        <v>57</v>
      </c>
      <c r="Q8" s="3">
        <f>Scoresheet!GG9</f>
        <v>0</v>
      </c>
      <c r="R8" s="3">
        <f>Scoresheet!GS9</f>
        <v>39</v>
      </c>
      <c r="S8" s="3">
        <f>Scoresheet!HE9</f>
        <v>69</v>
      </c>
      <c r="T8" s="3">
        <f t="shared" si="0"/>
        <v>802</v>
      </c>
      <c r="U8" s="120">
        <f t="shared" si="1"/>
        <v>50.125</v>
      </c>
      <c r="V8" s="179">
        <f t="shared" si="2"/>
        <v>42</v>
      </c>
    </row>
    <row r="9" spans="1:22">
      <c r="A9" s="176">
        <v>8</v>
      </c>
      <c r="B9" s="3">
        <f>Scoresheet!I10</f>
        <v>64</v>
      </c>
      <c r="C9" s="3">
        <f>Scoresheet!U10</f>
        <v>53</v>
      </c>
      <c r="D9" s="3">
        <f>Scoresheet!AG10</f>
        <v>70</v>
      </c>
      <c r="E9" s="3">
        <f>Scoresheet!AS10</f>
        <v>69</v>
      </c>
      <c r="F9" s="3">
        <f>Scoresheet!BE10</f>
        <v>78</v>
      </c>
      <c r="G9" s="3">
        <f>Scoresheet!BQ10</f>
        <v>45</v>
      </c>
      <c r="H9" s="3">
        <f>Scoresheet!CC10</f>
        <v>64</v>
      </c>
      <c r="I9" s="3">
        <f>Scoresheet!CO10</f>
        <v>66</v>
      </c>
      <c r="J9" s="3">
        <f>Scoresheet!DA10</f>
        <v>71</v>
      </c>
      <c r="K9" s="3">
        <f>Scoresheet!DM10</f>
        <v>68</v>
      </c>
      <c r="L9" s="3">
        <f>Scoresheet!DY10</f>
        <v>58</v>
      </c>
      <c r="M9" s="3">
        <f>Scoresheet!EK10</f>
        <v>62</v>
      </c>
      <c r="N9" s="3">
        <f>Scoresheet!EW10</f>
        <v>61</v>
      </c>
      <c r="O9" s="3">
        <f>Scoresheet!FI10</f>
        <v>69</v>
      </c>
      <c r="P9" s="3">
        <f>Scoresheet!FU10</f>
        <v>71</v>
      </c>
      <c r="Q9" s="3">
        <f>Scoresheet!GG10</f>
        <v>0</v>
      </c>
      <c r="R9" s="3">
        <f>Scoresheet!GS10</f>
        <v>63</v>
      </c>
      <c r="S9" s="3">
        <f>Scoresheet!HE10</f>
        <v>0</v>
      </c>
      <c r="T9" s="3">
        <f t="shared" si="0"/>
        <v>1032</v>
      </c>
      <c r="U9" s="120">
        <f t="shared" si="1"/>
        <v>64.5</v>
      </c>
      <c r="V9" s="179">
        <f t="shared" si="2"/>
        <v>13</v>
      </c>
    </row>
    <row r="10" spans="1:22">
      <c r="A10" s="176">
        <v>9</v>
      </c>
      <c r="B10" s="3">
        <f>Scoresheet!I11</f>
        <v>64</v>
      </c>
      <c r="C10" s="3">
        <f>Scoresheet!U11</f>
        <v>45</v>
      </c>
      <c r="D10" s="3">
        <f>Scoresheet!AG11</f>
        <v>71</v>
      </c>
      <c r="E10" s="3">
        <f>Scoresheet!AS11</f>
        <v>0</v>
      </c>
      <c r="F10" s="3">
        <f>Scoresheet!BE11</f>
        <v>55</v>
      </c>
      <c r="G10" s="3">
        <f>Scoresheet!BQ11</f>
        <v>40</v>
      </c>
      <c r="H10" s="3">
        <f>Scoresheet!CC11</f>
        <v>67</v>
      </c>
      <c r="I10" s="3">
        <f>Scoresheet!CO11</f>
        <v>61</v>
      </c>
      <c r="J10" s="3">
        <f>Scoresheet!DA11</f>
        <v>47</v>
      </c>
      <c r="K10" s="3">
        <f>Scoresheet!DM11</f>
        <v>59</v>
      </c>
      <c r="L10" s="3">
        <f>Scoresheet!DY11</f>
        <v>55</v>
      </c>
      <c r="M10" s="3">
        <f>Scoresheet!EK11</f>
        <v>57</v>
      </c>
      <c r="N10" s="3">
        <f>Scoresheet!EW11</f>
        <v>30</v>
      </c>
      <c r="O10" s="3">
        <f>Scoresheet!FI11</f>
        <v>7</v>
      </c>
      <c r="P10" s="3">
        <f>Scoresheet!FU11</f>
        <v>77</v>
      </c>
      <c r="Q10" s="3">
        <f>Scoresheet!GG11</f>
        <v>0</v>
      </c>
      <c r="R10" s="3">
        <f>Scoresheet!GS11</f>
        <v>46</v>
      </c>
      <c r="S10" s="3">
        <f>Scoresheet!HE11</f>
        <v>71</v>
      </c>
      <c r="T10" s="3">
        <f t="shared" si="0"/>
        <v>852</v>
      </c>
      <c r="U10" s="120">
        <f t="shared" si="1"/>
        <v>56.8</v>
      </c>
      <c r="V10" s="179">
        <f t="shared" si="2"/>
        <v>28</v>
      </c>
    </row>
    <row r="11" spans="1:22">
      <c r="A11" s="176">
        <v>10</v>
      </c>
      <c r="B11" s="3">
        <f>Scoresheet!I12</f>
        <v>58</v>
      </c>
      <c r="C11" s="3">
        <f>Scoresheet!U12</f>
        <v>41</v>
      </c>
      <c r="D11" s="3">
        <f>Scoresheet!AG12</f>
        <v>59</v>
      </c>
      <c r="E11" s="3">
        <f>Scoresheet!AS12</f>
        <v>0</v>
      </c>
      <c r="F11" s="3">
        <f>Scoresheet!BE12</f>
        <v>69</v>
      </c>
      <c r="G11" s="3">
        <f>Scoresheet!BQ12</f>
        <v>55</v>
      </c>
      <c r="H11" s="3">
        <f>Scoresheet!CC12</f>
        <v>50</v>
      </c>
      <c r="I11" s="3">
        <f>Scoresheet!CO12</f>
        <v>78</v>
      </c>
      <c r="J11" s="3">
        <f>Scoresheet!DA12</f>
        <v>71</v>
      </c>
      <c r="K11" s="3">
        <f>Scoresheet!DM12</f>
        <v>61</v>
      </c>
      <c r="L11" s="3">
        <f>Scoresheet!DY12</f>
        <v>63</v>
      </c>
      <c r="M11" s="3">
        <f>Scoresheet!EK12</f>
        <v>52</v>
      </c>
      <c r="N11" s="3">
        <f>Scoresheet!EW12</f>
        <v>49</v>
      </c>
      <c r="O11" s="3">
        <f>Scoresheet!FI12</f>
        <v>74</v>
      </c>
      <c r="P11" s="3">
        <f>Scoresheet!FU12</f>
        <v>71</v>
      </c>
      <c r="Q11" s="3">
        <f>Scoresheet!GG12</f>
        <v>0</v>
      </c>
      <c r="R11" s="3">
        <f>Scoresheet!GS12</f>
        <v>47</v>
      </c>
      <c r="S11" s="3">
        <f>Scoresheet!HE12</f>
        <v>74</v>
      </c>
      <c r="T11" s="3">
        <f t="shared" si="0"/>
        <v>972</v>
      </c>
      <c r="U11" s="120">
        <f t="shared" si="1"/>
        <v>60.75</v>
      </c>
      <c r="V11" s="179">
        <f t="shared" si="2"/>
        <v>23</v>
      </c>
    </row>
    <row r="12" spans="1:22">
      <c r="A12" s="176">
        <v>11</v>
      </c>
      <c r="B12" s="3">
        <f>Scoresheet!I13</f>
        <v>50</v>
      </c>
      <c r="C12" s="3">
        <f>Scoresheet!U13</f>
        <v>40</v>
      </c>
      <c r="D12" s="3">
        <f>Scoresheet!AG13</f>
        <v>56</v>
      </c>
      <c r="E12" s="3">
        <f>Scoresheet!AS13</f>
        <v>0</v>
      </c>
      <c r="F12" s="3">
        <f>Scoresheet!BE13</f>
        <v>74</v>
      </c>
      <c r="G12" s="3">
        <f>Scoresheet!BQ13</f>
        <v>43</v>
      </c>
      <c r="H12" s="3">
        <f>Scoresheet!CC13</f>
        <v>41</v>
      </c>
      <c r="I12" s="3">
        <f>Scoresheet!CO13</f>
        <v>53</v>
      </c>
      <c r="J12" s="3">
        <f>Scoresheet!DA13</f>
        <v>47</v>
      </c>
      <c r="K12" s="3">
        <f>Scoresheet!DM13</f>
        <v>63</v>
      </c>
      <c r="L12" s="3">
        <f>Scoresheet!DY13</f>
        <v>60</v>
      </c>
      <c r="M12" s="3">
        <f>Scoresheet!EK13</f>
        <v>45</v>
      </c>
      <c r="N12" s="3">
        <f>Scoresheet!EW13</f>
        <v>38</v>
      </c>
      <c r="O12" s="3">
        <f>Scoresheet!FI13</f>
        <v>69</v>
      </c>
      <c r="P12" s="3">
        <f>Scoresheet!FU13</f>
        <v>60</v>
      </c>
      <c r="Q12" s="3">
        <f>Scoresheet!GG13</f>
        <v>0</v>
      </c>
      <c r="R12" s="3">
        <f>Scoresheet!GS13</f>
        <v>43</v>
      </c>
      <c r="S12" s="3">
        <f>Scoresheet!HE13</f>
        <v>77</v>
      </c>
      <c r="T12" s="3">
        <f t="shared" si="0"/>
        <v>859</v>
      </c>
      <c r="U12" s="120">
        <f t="shared" si="1"/>
        <v>53.6875</v>
      </c>
      <c r="V12" s="179">
        <f t="shared" si="2"/>
        <v>38</v>
      </c>
    </row>
    <row r="13" spans="1:22">
      <c r="A13" s="176">
        <v>12</v>
      </c>
      <c r="B13" s="3">
        <f>Scoresheet!I14</f>
        <v>63</v>
      </c>
      <c r="C13" s="3">
        <f>Scoresheet!U14</f>
        <v>40</v>
      </c>
      <c r="D13" s="3">
        <f>Scoresheet!AG14</f>
        <v>68</v>
      </c>
      <c r="E13" s="3">
        <f>Scoresheet!AS14</f>
        <v>0</v>
      </c>
      <c r="F13" s="3">
        <f>Scoresheet!BE14</f>
        <v>76</v>
      </c>
      <c r="G13" s="3">
        <f>Scoresheet!BQ14</f>
        <v>56</v>
      </c>
      <c r="H13" s="3">
        <f>Scoresheet!CC14</f>
        <v>67</v>
      </c>
      <c r="I13" s="3">
        <f>Scoresheet!CO14</f>
        <v>65</v>
      </c>
      <c r="J13" s="3">
        <f>Scoresheet!DA14</f>
        <v>67</v>
      </c>
      <c r="K13" s="3">
        <f>Scoresheet!DM14</f>
        <v>70</v>
      </c>
      <c r="L13" s="3">
        <f>Scoresheet!DY14</f>
        <v>66</v>
      </c>
      <c r="M13" s="3">
        <f>Scoresheet!EK14</f>
        <v>46</v>
      </c>
      <c r="N13" s="3">
        <f>Scoresheet!EW14</f>
        <v>49</v>
      </c>
      <c r="O13" s="3">
        <f>Scoresheet!FI14</f>
        <v>76</v>
      </c>
      <c r="P13" s="3">
        <f>Scoresheet!FU14</f>
        <v>70</v>
      </c>
      <c r="Q13" s="3">
        <f>Scoresheet!GG14</f>
        <v>0</v>
      </c>
      <c r="R13" s="3">
        <f>Scoresheet!GS14</f>
        <v>56</v>
      </c>
      <c r="S13" s="3">
        <f>Scoresheet!HE14</f>
        <v>77</v>
      </c>
      <c r="T13" s="3">
        <f t="shared" si="0"/>
        <v>1012</v>
      </c>
      <c r="U13" s="120">
        <f t="shared" si="1"/>
        <v>63.25</v>
      </c>
      <c r="V13" s="179">
        <f t="shared" si="2"/>
        <v>17</v>
      </c>
    </row>
    <row r="14" spans="1:22">
      <c r="A14" s="176">
        <v>13</v>
      </c>
      <c r="B14" s="3">
        <f>Scoresheet!I15</f>
        <v>62</v>
      </c>
      <c r="C14" s="3">
        <f>Scoresheet!U15</f>
        <v>45</v>
      </c>
      <c r="D14" s="3">
        <f>Scoresheet!AG15</f>
        <v>57</v>
      </c>
      <c r="E14" s="3">
        <f>Scoresheet!AS15</f>
        <v>0</v>
      </c>
      <c r="F14" s="3">
        <f>Scoresheet!BE15</f>
        <v>65</v>
      </c>
      <c r="G14" s="3">
        <f>Scoresheet!BQ15</f>
        <v>41</v>
      </c>
      <c r="H14" s="3">
        <f>Scoresheet!CC15</f>
        <v>50</v>
      </c>
      <c r="I14" s="3">
        <f>Scoresheet!CO15</f>
        <v>61</v>
      </c>
      <c r="J14" s="3">
        <f>Scoresheet!DA15</f>
        <v>65</v>
      </c>
      <c r="K14" s="3">
        <f>Scoresheet!DM15</f>
        <v>62</v>
      </c>
      <c r="L14" s="3">
        <f>Scoresheet!DY15</f>
        <v>59</v>
      </c>
      <c r="M14" s="3">
        <f>Scoresheet!EK15</f>
        <v>52</v>
      </c>
      <c r="N14" s="3">
        <f>Scoresheet!EW15</f>
        <v>45</v>
      </c>
      <c r="O14" s="3">
        <f>Scoresheet!FI15</f>
        <v>68</v>
      </c>
      <c r="P14" s="3">
        <f>Scoresheet!FU15</f>
        <v>61</v>
      </c>
      <c r="Q14" s="3">
        <f>Scoresheet!GG15</f>
        <v>0</v>
      </c>
      <c r="R14" s="3">
        <f>Scoresheet!GS15</f>
        <v>54</v>
      </c>
      <c r="S14" s="3">
        <f>Scoresheet!HE15</f>
        <v>59</v>
      </c>
      <c r="T14" s="3">
        <f t="shared" si="0"/>
        <v>906</v>
      </c>
      <c r="U14" s="120">
        <f t="shared" si="1"/>
        <v>56.625</v>
      </c>
      <c r="V14" s="179">
        <f t="shared" si="2"/>
        <v>29</v>
      </c>
    </row>
    <row r="15" spans="1:22">
      <c r="A15" s="176">
        <v>14</v>
      </c>
      <c r="B15" s="3">
        <f>Scoresheet!I16</f>
        <v>71</v>
      </c>
      <c r="C15" s="3">
        <f>Scoresheet!U16</f>
        <v>57</v>
      </c>
      <c r="D15" s="3">
        <f>Scoresheet!AG16</f>
        <v>74</v>
      </c>
      <c r="E15" s="3">
        <f>Scoresheet!AS16</f>
        <v>0</v>
      </c>
      <c r="F15" s="3">
        <f>Scoresheet!BE16</f>
        <v>80</v>
      </c>
      <c r="G15" s="3">
        <f>Scoresheet!BQ16</f>
        <v>60</v>
      </c>
      <c r="H15" s="3">
        <f>Scoresheet!CC16</f>
        <v>61</v>
      </c>
      <c r="I15" s="3">
        <f>Scoresheet!CO16</f>
        <v>85</v>
      </c>
      <c r="J15" s="3">
        <f>Scoresheet!DA16</f>
        <v>81</v>
      </c>
      <c r="K15" s="3">
        <f>Scoresheet!DM16</f>
        <v>77</v>
      </c>
      <c r="L15" s="3">
        <f>Scoresheet!DY16</f>
        <v>71</v>
      </c>
      <c r="M15" s="3">
        <f>Scoresheet!EK16</f>
        <v>63</v>
      </c>
      <c r="N15" s="3">
        <f>Scoresheet!EW16</f>
        <v>67</v>
      </c>
      <c r="O15" s="3">
        <f>Scoresheet!FI16</f>
        <v>95</v>
      </c>
      <c r="P15" s="3">
        <f>Scoresheet!FU16</f>
        <v>73</v>
      </c>
      <c r="Q15" s="3">
        <f>Scoresheet!GG16</f>
        <v>0</v>
      </c>
      <c r="R15" s="3">
        <f>Scoresheet!GS16</f>
        <v>61</v>
      </c>
      <c r="S15" s="3">
        <f>Scoresheet!HE16</f>
        <v>86</v>
      </c>
      <c r="T15" s="3">
        <f t="shared" si="0"/>
        <v>1162</v>
      </c>
      <c r="U15" s="120">
        <f t="shared" si="1"/>
        <v>72.625</v>
      </c>
      <c r="V15" s="179">
        <f t="shared" si="2"/>
        <v>6</v>
      </c>
    </row>
    <row r="16" spans="1:22">
      <c r="A16" s="176">
        <v>15</v>
      </c>
      <c r="B16" s="3">
        <f>Scoresheet!I17</f>
        <v>82</v>
      </c>
      <c r="C16" s="3">
        <f>Scoresheet!U17</f>
        <v>47</v>
      </c>
      <c r="D16" s="3">
        <f>Scoresheet!AG17</f>
        <v>70</v>
      </c>
      <c r="E16" s="3">
        <f>Scoresheet!AS17</f>
        <v>89</v>
      </c>
      <c r="F16" s="3">
        <f>Scoresheet!BE17</f>
        <v>89</v>
      </c>
      <c r="G16" s="3">
        <f>Scoresheet!BQ17</f>
        <v>58</v>
      </c>
      <c r="H16" s="3">
        <f>Scoresheet!CC17</f>
        <v>74</v>
      </c>
      <c r="I16" s="3">
        <f>Scoresheet!CO17</f>
        <v>85</v>
      </c>
      <c r="J16" s="3">
        <f>Scoresheet!DA17</f>
        <v>64</v>
      </c>
      <c r="K16" s="3">
        <f>Scoresheet!DM17</f>
        <v>82</v>
      </c>
      <c r="L16" s="3">
        <f>Scoresheet!DY17</f>
        <v>69</v>
      </c>
      <c r="M16" s="3">
        <f>Scoresheet!EK17</f>
        <v>70</v>
      </c>
      <c r="N16" s="3">
        <f>Scoresheet!EW17</f>
        <v>47</v>
      </c>
      <c r="O16" s="3">
        <f>Scoresheet!FI17</f>
        <v>62</v>
      </c>
      <c r="P16" s="3">
        <f>Scoresheet!FU17</f>
        <v>83</v>
      </c>
      <c r="Q16" s="3">
        <f>Scoresheet!GG17</f>
        <v>0</v>
      </c>
      <c r="R16" s="3">
        <f>Scoresheet!GS17</f>
        <v>82</v>
      </c>
      <c r="S16" s="3">
        <f>Scoresheet!HE17</f>
        <v>0</v>
      </c>
      <c r="T16" s="3">
        <f t="shared" si="0"/>
        <v>1153</v>
      </c>
      <c r="U16" s="120">
        <f t="shared" si="1"/>
        <v>72.0625</v>
      </c>
      <c r="V16" s="179">
        <f t="shared" si="2"/>
        <v>7</v>
      </c>
    </row>
    <row r="17" spans="1:22">
      <c r="A17" s="176">
        <v>16</v>
      </c>
      <c r="B17" s="3">
        <f>Scoresheet!I18</f>
        <v>49</v>
      </c>
      <c r="C17" s="3">
        <f>Scoresheet!U18</f>
        <v>48</v>
      </c>
      <c r="D17" s="3">
        <f>Scoresheet!AG18</f>
        <v>69</v>
      </c>
      <c r="E17" s="3">
        <f>Scoresheet!AS18</f>
        <v>0</v>
      </c>
      <c r="F17" s="3">
        <f>Scoresheet!BE18</f>
        <v>59</v>
      </c>
      <c r="G17" s="3">
        <f>Scoresheet!BQ18</f>
        <v>41</v>
      </c>
      <c r="H17" s="3">
        <f>Scoresheet!CC18</f>
        <v>50</v>
      </c>
      <c r="I17" s="3">
        <f>Scoresheet!CO18</f>
        <v>53</v>
      </c>
      <c r="J17" s="3">
        <f>Scoresheet!DA18</f>
        <v>55</v>
      </c>
      <c r="K17" s="3">
        <f>Scoresheet!DM18</f>
        <v>56</v>
      </c>
      <c r="L17" s="3">
        <f>Scoresheet!DY18</f>
        <v>63</v>
      </c>
      <c r="M17" s="3">
        <f>Scoresheet!EK18</f>
        <v>55</v>
      </c>
      <c r="N17" s="3">
        <f>Scoresheet!EW18</f>
        <v>43</v>
      </c>
      <c r="O17" s="3">
        <f>Scoresheet!FI18</f>
        <v>73</v>
      </c>
      <c r="P17" s="3">
        <f>Scoresheet!FU18</f>
        <v>69</v>
      </c>
      <c r="Q17" s="3">
        <f>Scoresheet!GG18</f>
        <v>0</v>
      </c>
      <c r="R17" s="3">
        <f>Scoresheet!GS18</f>
        <v>51</v>
      </c>
      <c r="S17" s="3">
        <f>Scoresheet!HE18</f>
        <v>64</v>
      </c>
      <c r="T17" s="3">
        <f t="shared" si="0"/>
        <v>898</v>
      </c>
      <c r="U17" s="120">
        <f t="shared" si="1"/>
        <v>56.125</v>
      </c>
      <c r="V17" s="179">
        <f t="shared" si="2"/>
        <v>30</v>
      </c>
    </row>
    <row r="18" spans="1:22">
      <c r="A18" s="176">
        <v>17</v>
      </c>
      <c r="B18" s="3">
        <f>Scoresheet!I19</f>
        <v>46</v>
      </c>
      <c r="C18" s="3">
        <f>Scoresheet!U19</f>
        <v>37</v>
      </c>
      <c r="D18" s="3">
        <f>Scoresheet!AG19</f>
        <v>45</v>
      </c>
      <c r="E18" s="3">
        <f>Scoresheet!AS19</f>
        <v>0</v>
      </c>
      <c r="F18" s="3">
        <f>Scoresheet!BE19</f>
        <v>54</v>
      </c>
      <c r="G18" s="3">
        <f>Scoresheet!BQ19</f>
        <v>39</v>
      </c>
      <c r="H18" s="3">
        <f>Scoresheet!CC19</f>
        <v>60</v>
      </c>
      <c r="I18" s="3">
        <f>Scoresheet!CO19</f>
        <v>13</v>
      </c>
      <c r="J18" s="3">
        <f>Scoresheet!DA19</f>
        <v>47</v>
      </c>
      <c r="K18" s="3">
        <f>Scoresheet!DM19</f>
        <v>50</v>
      </c>
      <c r="L18" s="3">
        <f>Scoresheet!DY19</f>
        <v>53</v>
      </c>
      <c r="M18" s="3">
        <f>Scoresheet!EK19</f>
        <v>44</v>
      </c>
      <c r="N18" s="3">
        <f>Scoresheet!EW19</f>
        <v>32</v>
      </c>
      <c r="O18" s="3">
        <f>Scoresheet!FI19</f>
        <v>62</v>
      </c>
      <c r="P18" s="3">
        <f>Scoresheet!FU19</f>
        <v>55</v>
      </c>
      <c r="Q18" s="3">
        <f>Scoresheet!GG19</f>
        <v>0</v>
      </c>
      <c r="R18" s="3">
        <f>Scoresheet!GS19</f>
        <v>43</v>
      </c>
      <c r="S18" s="3">
        <f>Scoresheet!HE19</f>
        <v>68</v>
      </c>
      <c r="T18" s="3">
        <f t="shared" si="0"/>
        <v>748</v>
      </c>
      <c r="U18" s="120">
        <f t="shared" si="1"/>
        <v>46.75</v>
      </c>
      <c r="V18" s="179">
        <f t="shared" si="2"/>
        <v>45</v>
      </c>
    </row>
    <row r="19" spans="1:22">
      <c r="A19" s="176">
        <v>18</v>
      </c>
      <c r="B19" s="3">
        <f>Scoresheet!I20</f>
        <v>71</v>
      </c>
      <c r="C19" s="3">
        <f>Scoresheet!U20</f>
        <v>41</v>
      </c>
      <c r="D19" s="3">
        <f>Scoresheet!AG20</f>
        <v>62</v>
      </c>
      <c r="E19" s="3">
        <f>Scoresheet!AS20</f>
        <v>72</v>
      </c>
      <c r="F19" s="3">
        <f>Scoresheet!BE20</f>
        <v>80</v>
      </c>
      <c r="G19" s="3">
        <f>Scoresheet!BQ20</f>
        <v>48</v>
      </c>
      <c r="H19" s="3">
        <f>Scoresheet!CC20</f>
        <v>58</v>
      </c>
      <c r="I19" s="3">
        <f>Scoresheet!CO20</f>
        <v>71</v>
      </c>
      <c r="J19" s="3">
        <f>Scoresheet!DA20</f>
        <v>68</v>
      </c>
      <c r="K19" s="3">
        <f>Scoresheet!DM20</f>
        <v>73</v>
      </c>
      <c r="L19" s="3">
        <f>Scoresheet!DY20</f>
        <v>70</v>
      </c>
      <c r="M19" s="3">
        <f>Scoresheet!EK20</f>
        <v>47</v>
      </c>
      <c r="N19" s="3">
        <f>Scoresheet!EW20</f>
        <v>45</v>
      </c>
      <c r="O19" s="3">
        <f>Scoresheet!FI20</f>
        <v>77</v>
      </c>
      <c r="P19" s="3">
        <f>Scoresheet!FU20</f>
        <v>77</v>
      </c>
      <c r="Q19" s="3">
        <f>Scoresheet!GG20</f>
        <v>0</v>
      </c>
      <c r="R19" s="3">
        <f>Scoresheet!GS20</f>
        <v>62</v>
      </c>
      <c r="S19" s="3">
        <f>Scoresheet!HE20</f>
        <v>0</v>
      </c>
      <c r="T19" s="3">
        <f t="shared" si="0"/>
        <v>1022</v>
      </c>
      <c r="U19" s="120">
        <f t="shared" si="1"/>
        <v>63.875</v>
      </c>
      <c r="V19" s="179">
        <f t="shared" si="2"/>
        <v>15</v>
      </c>
    </row>
    <row r="20" spans="1:22">
      <c r="A20" s="176">
        <v>19</v>
      </c>
      <c r="B20" s="3">
        <f>Scoresheet!I21</f>
        <v>61</v>
      </c>
      <c r="C20" s="3">
        <f>Scoresheet!U21</f>
        <v>41</v>
      </c>
      <c r="D20" s="3">
        <f>Scoresheet!AG21</f>
        <v>61</v>
      </c>
      <c r="E20" s="3">
        <f>Scoresheet!AS21</f>
        <v>0</v>
      </c>
      <c r="F20" s="3">
        <f>Scoresheet!BE21</f>
        <v>63</v>
      </c>
      <c r="G20" s="3">
        <f>Scoresheet!BQ21</f>
        <v>49</v>
      </c>
      <c r="H20" s="3">
        <f>Scoresheet!CC21</f>
        <v>58</v>
      </c>
      <c r="I20" s="3">
        <f>Scoresheet!CO21</f>
        <v>61</v>
      </c>
      <c r="J20" s="3">
        <f>Scoresheet!DA21</f>
        <v>70</v>
      </c>
      <c r="K20" s="3">
        <f>Scoresheet!DM21</f>
        <v>68</v>
      </c>
      <c r="L20" s="3">
        <f>Scoresheet!DY21</f>
        <v>69</v>
      </c>
      <c r="M20" s="3">
        <f>Scoresheet!EK21</f>
        <v>50</v>
      </c>
      <c r="N20" s="3">
        <f>Scoresheet!EW21</f>
        <v>23</v>
      </c>
      <c r="O20" s="3">
        <f>Scoresheet!FI21</f>
        <v>68</v>
      </c>
      <c r="P20" s="3">
        <f>Scoresheet!FU21</f>
        <v>70</v>
      </c>
      <c r="Q20" s="3">
        <f>Scoresheet!GG21</f>
        <v>0</v>
      </c>
      <c r="R20" s="3">
        <f>Scoresheet!GS21</f>
        <v>52</v>
      </c>
      <c r="S20" s="3">
        <f>Scoresheet!HE21</f>
        <v>63</v>
      </c>
      <c r="T20" s="3">
        <f t="shared" si="0"/>
        <v>927</v>
      </c>
      <c r="U20" s="120">
        <f t="shared" si="1"/>
        <v>57.9375</v>
      </c>
      <c r="V20" s="179">
        <f t="shared" si="2"/>
        <v>26</v>
      </c>
    </row>
    <row r="21" spans="1:22">
      <c r="A21" s="176">
        <v>20</v>
      </c>
      <c r="B21" s="3">
        <f>Scoresheet!I22</f>
        <v>65</v>
      </c>
      <c r="C21" s="3">
        <f>Scoresheet!U22</f>
        <v>49</v>
      </c>
      <c r="D21" s="3">
        <f>Scoresheet!AG22</f>
        <v>55</v>
      </c>
      <c r="E21" s="3">
        <f>Scoresheet!AS22</f>
        <v>0</v>
      </c>
      <c r="F21" s="3">
        <f>Scoresheet!BE22</f>
        <v>70</v>
      </c>
      <c r="G21" s="3">
        <f>Scoresheet!BQ22</f>
        <v>37</v>
      </c>
      <c r="H21" s="3">
        <f>Scoresheet!CC22</f>
        <v>50</v>
      </c>
      <c r="I21" s="3">
        <f>Scoresheet!CO22</f>
        <v>59</v>
      </c>
      <c r="J21" s="3">
        <f>Scoresheet!DA22</f>
        <v>60</v>
      </c>
      <c r="K21" s="3">
        <f>Scoresheet!DM22</f>
        <v>70</v>
      </c>
      <c r="L21" s="3">
        <f>Scoresheet!DY22</f>
        <v>54</v>
      </c>
      <c r="M21" s="3">
        <f>Scoresheet!EK22</f>
        <v>58</v>
      </c>
      <c r="N21" s="3">
        <f>Scoresheet!EW22</f>
        <v>30</v>
      </c>
      <c r="O21" s="3">
        <f>Scoresheet!FI22</f>
        <v>67</v>
      </c>
      <c r="P21" s="3">
        <f>Scoresheet!FU22</f>
        <v>56</v>
      </c>
      <c r="Q21" s="3">
        <f>Scoresheet!GG22</f>
        <v>0</v>
      </c>
      <c r="R21" s="3">
        <f>Scoresheet!GS22</f>
        <v>46</v>
      </c>
      <c r="S21" s="3">
        <f>Scoresheet!HE22</f>
        <v>68</v>
      </c>
      <c r="T21" s="3">
        <f t="shared" si="0"/>
        <v>894</v>
      </c>
      <c r="U21" s="120">
        <f t="shared" si="1"/>
        <v>55.875</v>
      </c>
      <c r="V21" s="179">
        <f t="shared" si="2"/>
        <v>31</v>
      </c>
    </row>
    <row r="22" spans="1:22">
      <c r="A22" s="176">
        <v>21</v>
      </c>
      <c r="B22" s="3">
        <f>Scoresheet!I23</f>
        <v>63</v>
      </c>
      <c r="C22" s="3">
        <f>Scoresheet!U23</f>
        <v>58</v>
      </c>
      <c r="D22" s="3">
        <f>Scoresheet!AG23</f>
        <v>70</v>
      </c>
      <c r="E22" s="3">
        <f>Scoresheet!AS23</f>
        <v>0</v>
      </c>
      <c r="F22" s="3">
        <f>Scoresheet!BE23</f>
        <v>69</v>
      </c>
      <c r="G22" s="3">
        <f>Scoresheet!BQ23</f>
        <v>55</v>
      </c>
      <c r="H22" s="3">
        <f>Scoresheet!CC23</f>
        <v>57</v>
      </c>
      <c r="I22" s="3">
        <f>Scoresheet!CO23</f>
        <v>64</v>
      </c>
      <c r="J22" s="3">
        <f>Scoresheet!DA23</f>
        <v>59</v>
      </c>
      <c r="K22" s="3">
        <f>Scoresheet!DM23</f>
        <v>66</v>
      </c>
      <c r="L22" s="3">
        <f>Scoresheet!DY23</f>
        <v>64</v>
      </c>
      <c r="M22" s="3">
        <f>Scoresheet!EK23</f>
        <v>50</v>
      </c>
      <c r="N22" s="3">
        <f>Scoresheet!EW23</f>
        <v>45</v>
      </c>
      <c r="O22" s="3">
        <f>Scoresheet!FI23</f>
        <v>83</v>
      </c>
      <c r="P22" s="3">
        <f>Scoresheet!FU23</f>
        <v>72</v>
      </c>
      <c r="Q22" s="3">
        <f>Scoresheet!GG23</f>
        <v>0</v>
      </c>
      <c r="R22" s="3">
        <f>Scoresheet!GS23</f>
        <v>53</v>
      </c>
      <c r="S22" s="3">
        <f>Scoresheet!HE23</f>
        <v>78</v>
      </c>
      <c r="T22" s="3">
        <f t="shared" si="0"/>
        <v>1006</v>
      </c>
      <c r="U22" s="120">
        <f t="shared" si="1"/>
        <v>62.875</v>
      </c>
      <c r="V22" s="179">
        <f t="shared" si="2"/>
        <v>18</v>
      </c>
    </row>
    <row r="23" spans="1:22">
      <c r="A23" s="176">
        <v>22</v>
      </c>
      <c r="B23" s="3">
        <f>Scoresheet!I24</f>
        <v>47</v>
      </c>
      <c r="C23" s="3">
        <f>Scoresheet!U24</f>
        <v>37</v>
      </c>
      <c r="D23" s="3">
        <f>Scoresheet!AG24</f>
        <v>49</v>
      </c>
      <c r="E23" s="3">
        <f>Scoresheet!AS24</f>
        <v>0</v>
      </c>
      <c r="F23" s="3">
        <f>Scoresheet!BE24</f>
        <v>59</v>
      </c>
      <c r="G23" s="3">
        <f>Scoresheet!BQ24</f>
        <v>37</v>
      </c>
      <c r="H23" s="3">
        <f>Scoresheet!CC24</f>
        <v>67</v>
      </c>
      <c r="I23" s="3">
        <f>Scoresheet!CO24</f>
        <v>53</v>
      </c>
      <c r="J23" s="3">
        <f>Scoresheet!DA24</f>
        <v>59</v>
      </c>
      <c r="K23" s="3">
        <f>Scoresheet!DM24</f>
        <v>70</v>
      </c>
      <c r="L23" s="3">
        <f>Scoresheet!DY24</f>
        <v>49</v>
      </c>
      <c r="M23" s="3">
        <f>Scoresheet!EK24</f>
        <v>39</v>
      </c>
      <c r="N23" s="3">
        <f>Scoresheet!EW24</f>
        <v>46</v>
      </c>
      <c r="O23" s="3">
        <f>Scoresheet!FI24</f>
        <v>69</v>
      </c>
      <c r="P23" s="3">
        <f>Scoresheet!FU24</f>
        <v>63</v>
      </c>
      <c r="Q23" s="3">
        <f>Scoresheet!GG24</f>
        <v>0</v>
      </c>
      <c r="R23" s="3">
        <f>Scoresheet!GS24</f>
        <v>52</v>
      </c>
      <c r="S23" s="3">
        <f>Scoresheet!HE24</f>
        <v>64</v>
      </c>
      <c r="T23" s="3">
        <f t="shared" si="0"/>
        <v>860</v>
      </c>
      <c r="U23" s="120">
        <f t="shared" si="1"/>
        <v>53.75</v>
      </c>
      <c r="V23" s="179">
        <f t="shared" si="2"/>
        <v>37</v>
      </c>
    </row>
    <row r="24" spans="1:22">
      <c r="A24" s="176">
        <v>23</v>
      </c>
      <c r="B24" s="3">
        <f>Scoresheet!I25</f>
        <v>63</v>
      </c>
      <c r="C24" s="3">
        <f>Scoresheet!U25</f>
        <v>48</v>
      </c>
      <c r="D24" s="3">
        <f>Scoresheet!AG25</f>
        <v>63</v>
      </c>
      <c r="E24" s="3">
        <f>Scoresheet!AS25</f>
        <v>61</v>
      </c>
      <c r="F24" s="3">
        <f>Scoresheet!BE25</f>
        <v>64</v>
      </c>
      <c r="G24" s="3">
        <f>Scoresheet!BQ25</f>
        <v>68</v>
      </c>
      <c r="H24" s="3">
        <f>Scoresheet!CC25</f>
        <v>49</v>
      </c>
      <c r="I24" s="3">
        <f>Scoresheet!CO25</f>
        <v>98</v>
      </c>
      <c r="J24" s="3">
        <f>Scoresheet!DA25</f>
        <v>72</v>
      </c>
      <c r="K24" s="3">
        <f>Scoresheet!DM25</f>
        <v>53</v>
      </c>
      <c r="L24" s="3">
        <f>Scoresheet!DY25</f>
        <v>69</v>
      </c>
      <c r="M24" s="3">
        <f>Scoresheet!EK25</f>
        <v>57</v>
      </c>
      <c r="N24" s="3">
        <f>Scoresheet!EW25</f>
        <v>40</v>
      </c>
      <c r="O24" s="3">
        <f>Scoresheet!FI25</f>
        <v>69</v>
      </c>
      <c r="P24" s="3">
        <f>Scoresheet!FU25</f>
        <v>70</v>
      </c>
      <c r="Q24" s="3">
        <f>Scoresheet!GG25</f>
        <v>0</v>
      </c>
      <c r="R24" s="3">
        <f>Scoresheet!GS25</f>
        <v>45</v>
      </c>
      <c r="S24" s="3">
        <f>Scoresheet!HE25</f>
        <v>0</v>
      </c>
      <c r="T24" s="3">
        <f t="shared" si="0"/>
        <v>989</v>
      </c>
      <c r="U24" s="120">
        <f t="shared" si="1"/>
        <v>61.8125</v>
      </c>
      <c r="V24" s="179">
        <f t="shared" si="2"/>
        <v>22</v>
      </c>
    </row>
    <row r="25" spans="1:22">
      <c r="A25" s="176">
        <v>24</v>
      </c>
      <c r="B25" s="3">
        <f>Scoresheet!I26</f>
        <v>75</v>
      </c>
      <c r="C25" s="3">
        <f>Scoresheet!U26</f>
        <v>53</v>
      </c>
      <c r="D25" s="3">
        <f>Scoresheet!AG26</f>
        <v>83</v>
      </c>
      <c r="E25" s="3">
        <f>Scoresheet!AS26</f>
        <v>0</v>
      </c>
      <c r="F25" s="3">
        <f>Scoresheet!BE26</f>
        <v>88</v>
      </c>
      <c r="G25" s="3">
        <f>Scoresheet!BQ26</f>
        <v>73</v>
      </c>
      <c r="H25" s="3">
        <f>Scoresheet!CC26</f>
        <v>74</v>
      </c>
      <c r="I25" s="3">
        <f>Scoresheet!CO26</f>
        <v>86</v>
      </c>
      <c r="J25" s="3">
        <f>Scoresheet!DA26</f>
        <v>83</v>
      </c>
      <c r="K25" s="3">
        <f>Scoresheet!DM26</f>
        <v>86</v>
      </c>
      <c r="L25" s="3">
        <f>Scoresheet!DY26</f>
        <v>72</v>
      </c>
      <c r="M25" s="3">
        <f>Scoresheet!EK26</f>
        <v>71</v>
      </c>
      <c r="N25" s="3">
        <f>Scoresheet!EW26</f>
        <v>70</v>
      </c>
      <c r="O25" s="3">
        <f>Scoresheet!FI26</f>
        <v>74</v>
      </c>
      <c r="P25" s="3">
        <f>Scoresheet!FU26</f>
        <v>84</v>
      </c>
      <c r="Q25" s="3">
        <f>Scoresheet!GG26</f>
        <v>0</v>
      </c>
      <c r="R25" s="3">
        <f>Scoresheet!GS26</f>
        <v>86</v>
      </c>
      <c r="S25" s="3">
        <f>Scoresheet!HE26</f>
        <v>91</v>
      </c>
      <c r="T25" s="3">
        <f t="shared" si="0"/>
        <v>1249</v>
      </c>
      <c r="U25" s="120">
        <f t="shared" si="1"/>
        <v>78.0625</v>
      </c>
      <c r="V25" s="179">
        <f t="shared" si="2"/>
        <v>1</v>
      </c>
    </row>
    <row r="26" spans="1:22">
      <c r="A26" s="176">
        <v>25</v>
      </c>
      <c r="B26" s="3">
        <f>Scoresheet!I27</f>
        <v>50</v>
      </c>
      <c r="C26" s="3">
        <f>Scoresheet!U27</f>
        <v>44</v>
      </c>
      <c r="D26" s="3">
        <f>Scoresheet!AG27</f>
        <v>59</v>
      </c>
      <c r="E26" s="3">
        <f>Scoresheet!AS27</f>
        <v>0</v>
      </c>
      <c r="F26" s="3">
        <f>Scoresheet!BE27</f>
        <v>58</v>
      </c>
      <c r="G26" s="3">
        <f>Scoresheet!BQ27</f>
        <v>40</v>
      </c>
      <c r="H26" s="3">
        <f>Scoresheet!CC27</f>
        <v>59</v>
      </c>
      <c r="I26" s="3">
        <f>Scoresheet!CO27</f>
        <v>55</v>
      </c>
      <c r="J26" s="3">
        <f>Scoresheet!DA27</f>
        <v>66</v>
      </c>
      <c r="K26" s="3">
        <f>Scoresheet!DM27</f>
        <v>56</v>
      </c>
      <c r="L26" s="3">
        <f>Scoresheet!DY27</f>
        <v>50</v>
      </c>
      <c r="M26" s="3">
        <f>Scoresheet!EK27</f>
        <v>54</v>
      </c>
      <c r="N26" s="3">
        <f>Scoresheet!EW27</f>
        <v>32</v>
      </c>
      <c r="O26" s="3">
        <f>Scoresheet!FI27</f>
        <v>80</v>
      </c>
      <c r="P26" s="3">
        <f>Scoresheet!FU27</f>
        <v>56</v>
      </c>
      <c r="Q26" s="3">
        <f>Scoresheet!GG27</f>
        <v>0</v>
      </c>
      <c r="R26" s="3">
        <f>Scoresheet!GS27</f>
        <v>47</v>
      </c>
      <c r="S26" s="3">
        <f>Scoresheet!HE27</f>
        <v>59</v>
      </c>
      <c r="T26" s="3">
        <f t="shared" si="0"/>
        <v>865</v>
      </c>
      <c r="U26" s="120">
        <f t="shared" si="1"/>
        <v>54.0625</v>
      </c>
      <c r="V26" s="179">
        <f t="shared" si="2"/>
        <v>36</v>
      </c>
    </row>
    <row r="27" spans="1:22">
      <c r="A27" s="176">
        <v>26</v>
      </c>
      <c r="B27" s="3">
        <f>Scoresheet!I28</f>
        <v>76</v>
      </c>
      <c r="C27" s="3">
        <f>Scoresheet!U28</f>
        <v>46</v>
      </c>
      <c r="D27" s="3">
        <f>Scoresheet!AG28</f>
        <v>73</v>
      </c>
      <c r="E27" s="3">
        <f>Scoresheet!AS28</f>
        <v>0</v>
      </c>
      <c r="F27" s="3">
        <f>Scoresheet!BE28</f>
        <v>82</v>
      </c>
      <c r="G27" s="3">
        <f>Scoresheet!BQ28</f>
        <v>67</v>
      </c>
      <c r="H27" s="3">
        <f>Scoresheet!CC28</f>
        <v>65</v>
      </c>
      <c r="I27" s="3">
        <f>Scoresheet!CO28</f>
        <v>74</v>
      </c>
      <c r="J27" s="3">
        <f>Scoresheet!DA28</f>
        <v>73</v>
      </c>
      <c r="K27" s="3">
        <f>Scoresheet!DM28</f>
        <v>80</v>
      </c>
      <c r="L27" s="3">
        <f>Scoresheet!DY28</f>
        <v>71</v>
      </c>
      <c r="M27" s="3">
        <f>Scoresheet!EK28</f>
        <v>58</v>
      </c>
      <c r="N27" s="3">
        <f>Scoresheet!EW28</f>
        <v>68</v>
      </c>
      <c r="O27" s="3">
        <f>Scoresheet!FI28</f>
        <v>90</v>
      </c>
      <c r="P27" s="3">
        <f>Scoresheet!FU28</f>
        <v>83</v>
      </c>
      <c r="Q27" s="3">
        <f>Scoresheet!GG28</f>
        <v>0</v>
      </c>
      <c r="R27" s="3">
        <f>Scoresheet!GS28</f>
        <v>67</v>
      </c>
      <c r="S27" s="3">
        <f>Scoresheet!HE28</f>
        <v>74</v>
      </c>
      <c r="T27" s="3">
        <f t="shared" si="0"/>
        <v>1147</v>
      </c>
      <c r="U27" s="120">
        <f t="shared" si="1"/>
        <v>71.6875</v>
      </c>
      <c r="V27" s="179">
        <f t="shared" si="2"/>
        <v>8</v>
      </c>
    </row>
    <row r="28" spans="1:22">
      <c r="A28" s="176">
        <v>27</v>
      </c>
      <c r="B28" s="3">
        <f>Scoresheet!I29</f>
        <v>75</v>
      </c>
      <c r="C28" s="3">
        <f>Scoresheet!U29</f>
        <v>52</v>
      </c>
      <c r="D28" s="3">
        <f>Scoresheet!AG29</f>
        <v>70</v>
      </c>
      <c r="E28" s="3">
        <f>Scoresheet!AS29</f>
        <v>66</v>
      </c>
      <c r="F28" s="3">
        <f>Scoresheet!BE29</f>
        <v>73</v>
      </c>
      <c r="G28" s="3">
        <f>Scoresheet!BQ29</f>
        <v>60</v>
      </c>
      <c r="H28" s="3">
        <f>Scoresheet!CC29</f>
        <v>71</v>
      </c>
      <c r="I28" s="3">
        <f>Scoresheet!CO29</f>
        <v>66</v>
      </c>
      <c r="J28" s="3">
        <f>Scoresheet!DA29</f>
        <v>66</v>
      </c>
      <c r="K28" s="3">
        <f>Scoresheet!DM29</f>
        <v>75</v>
      </c>
      <c r="L28" s="3">
        <f>Scoresheet!DY29</f>
        <v>66</v>
      </c>
      <c r="M28" s="3">
        <f>Scoresheet!EK29</f>
        <v>47</v>
      </c>
      <c r="N28" s="3">
        <f>Scoresheet!EW29</f>
        <v>67</v>
      </c>
      <c r="O28" s="3">
        <f>Scoresheet!FI29</f>
        <v>75</v>
      </c>
      <c r="P28" s="3">
        <f>Scoresheet!FU29</f>
        <v>73</v>
      </c>
      <c r="Q28" s="3">
        <f>Scoresheet!GG29</f>
        <v>0</v>
      </c>
      <c r="R28" s="3">
        <f>Scoresheet!GS29</f>
        <v>70</v>
      </c>
      <c r="S28" s="3">
        <f>Scoresheet!HE29</f>
        <v>0</v>
      </c>
      <c r="T28" s="3">
        <f t="shared" si="0"/>
        <v>1072</v>
      </c>
      <c r="U28" s="120">
        <f t="shared" si="1"/>
        <v>67</v>
      </c>
      <c r="V28" s="179">
        <f t="shared" si="2"/>
        <v>11</v>
      </c>
    </row>
    <row r="29" spans="1:22">
      <c r="A29" s="176">
        <v>28</v>
      </c>
      <c r="B29" s="3">
        <f>Scoresheet!I30</f>
        <v>59</v>
      </c>
      <c r="C29" s="3">
        <f>Scoresheet!U30</f>
        <v>50</v>
      </c>
      <c r="D29" s="3">
        <f>Scoresheet!AG30</f>
        <v>69</v>
      </c>
      <c r="E29" s="3">
        <f>Scoresheet!AS30</f>
        <v>61</v>
      </c>
      <c r="F29" s="3">
        <f>Scoresheet!BE30</f>
        <v>74</v>
      </c>
      <c r="G29" s="3">
        <f>Scoresheet!BQ30</f>
        <v>50</v>
      </c>
      <c r="H29" s="3">
        <f>Scoresheet!CC30</f>
        <v>59</v>
      </c>
      <c r="I29" s="3">
        <f>Scoresheet!CO30</f>
        <v>72</v>
      </c>
      <c r="J29" s="3">
        <f>Scoresheet!DA30</f>
        <v>74</v>
      </c>
      <c r="K29" s="3">
        <f>Scoresheet!DM30</f>
        <v>66</v>
      </c>
      <c r="L29" s="3">
        <f>Scoresheet!DY30</f>
        <v>61</v>
      </c>
      <c r="M29" s="3">
        <f>Scoresheet!EK30</f>
        <v>53</v>
      </c>
      <c r="N29" s="3">
        <f>Scoresheet!EW30</f>
        <v>81</v>
      </c>
      <c r="O29" s="3">
        <f>Scoresheet!FI30</f>
        <v>57</v>
      </c>
      <c r="P29" s="3">
        <f>Scoresheet!FU30</f>
        <v>78</v>
      </c>
      <c r="Q29" s="3">
        <f>Scoresheet!GG30</f>
        <v>0</v>
      </c>
      <c r="R29" s="3">
        <f>Scoresheet!GS30</f>
        <v>72</v>
      </c>
      <c r="S29" s="3">
        <f>Scoresheet!HE30</f>
        <v>0</v>
      </c>
      <c r="T29" s="3">
        <f t="shared" si="0"/>
        <v>1036</v>
      </c>
      <c r="U29" s="120">
        <f t="shared" si="1"/>
        <v>64.75</v>
      </c>
      <c r="V29" s="179">
        <f t="shared" si="2"/>
        <v>12</v>
      </c>
    </row>
    <row r="30" spans="1:22">
      <c r="A30" s="176">
        <v>29</v>
      </c>
      <c r="B30" s="3">
        <f>Scoresheet!I31</f>
        <v>75</v>
      </c>
      <c r="C30" s="3">
        <f>Scoresheet!U31</f>
        <v>50</v>
      </c>
      <c r="D30" s="3">
        <f>Scoresheet!AG31</f>
        <v>68</v>
      </c>
      <c r="E30" s="3">
        <f>Scoresheet!AS31</f>
        <v>73</v>
      </c>
      <c r="F30" s="3">
        <f>Scoresheet!BE31</f>
        <v>65</v>
      </c>
      <c r="G30" s="3">
        <f>Scoresheet!BQ31</f>
        <v>46</v>
      </c>
      <c r="H30" s="3">
        <f>Scoresheet!CC31</f>
        <v>61</v>
      </c>
      <c r="I30" s="3">
        <f>Scoresheet!CO31</f>
        <v>57</v>
      </c>
      <c r="J30" s="3">
        <f>Scoresheet!DA31</f>
        <v>66</v>
      </c>
      <c r="K30" s="3">
        <f>Scoresheet!DM31</f>
        <v>76</v>
      </c>
      <c r="L30" s="3">
        <f>Scoresheet!DY31</f>
        <v>67</v>
      </c>
      <c r="M30" s="3">
        <f>Scoresheet!EK31</f>
        <v>49</v>
      </c>
      <c r="N30" s="3">
        <f>Scoresheet!EW31</f>
        <v>70</v>
      </c>
      <c r="O30" s="3">
        <f>Scoresheet!FI31</f>
        <v>65</v>
      </c>
      <c r="P30" s="3">
        <f>Scoresheet!FU31</f>
        <v>68</v>
      </c>
      <c r="Q30" s="3">
        <f>Scoresheet!GG31</f>
        <v>0</v>
      </c>
      <c r="R30" s="3">
        <f>Scoresheet!GS31</f>
        <v>59</v>
      </c>
      <c r="S30" s="3">
        <f>Scoresheet!HE31</f>
        <v>0</v>
      </c>
      <c r="T30" s="3">
        <f t="shared" si="0"/>
        <v>1015</v>
      </c>
      <c r="U30" s="120">
        <f t="shared" si="1"/>
        <v>63.4375</v>
      </c>
      <c r="V30" s="179">
        <f t="shared" si="2"/>
        <v>16</v>
      </c>
    </row>
    <row r="31" spans="1:22">
      <c r="A31" s="176">
        <v>30</v>
      </c>
      <c r="B31" s="3">
        <f>Scoresheet!I32</f>
        <v>64</v>
      </c>
      <c r="C31" s="3">
        <f>Scoresheet!U32</f>
        <v>45</v>
      </c>
      <c r="D31" s="3">
        <f>Scoresheet!AG32</f>
        <v>51</v>
      </c>
      <c r="E31" s="3">
        <f>Scoresheet!AS32</f>
        <v>69</v>
      </c>
      <c r="F31" s="3">
        <f>Scoresheet!BE32</f>
        <v>76</v>
      </c>
      <c r="G31" s="3">
        <f>Scoresheet!BQ32</f>
        <v>40</v>
      </c>
      <c r="H31" s="3">
        <f>Scoresheet!CC32</f>
        <v>62</v>
      </c>
      <c r="I31" s="3">
        <f>Scoresheet!CO32</f>
        <v>60</v>
      </c>
      <c r="J31" s="3">
        <f>Scoresheet!DA32</f>
        <v>53</v>
      </c>
      <c r="K31" s="3">
        <f>Scoresheet!DM32</f>
        <v>66</v>
      </c>
      <c r="L31" s="3">
        <f>Scoresheet!DY32</f>
        <v>48</v>
      </c>
      <c r="M31" s="3">
        <f>Scoresheet!EK32</f>
        <v>38</v>
      </c>
      <c r="N31" s="3">
        <f>Scoresheet!EW32</f>
        <v>45</v>
      </c>
      <c r="O31" s="3">
        <f>Scoresheet!FI32</f>
        <v>58</v>
      </c>
      <c r="P31" s="3">
        <f>Scoresheet!FU32</f>
        <v>63</v>
      </c>
      <c r="Q31" s="3">
        <f>Scoresheet!GG32</f>
        <v>0</v>
      </c>
      <c r="R31" s="3">
        <f>Scoresheet!GS32</f>
        <v>54</v>
      </c>
      <c r="S31" s="3">
        <f>Scoresheet!HE32</f>
        <v>0</v>
      </c>
      <c r="T31" s="3">
        <f t="shared" si="0"/>
        <v>892</v>
      </c>
      <c r="U31" s="120">
        <f t="shared" si="1"/>
        <v>55.75</v>
      </c>
      <c r="V31" s="179">
        <f t="shared" si="2"/>
        <v>32</v>
      </c>
    </row>
    <row r="32" spans="1:22">
      <c r="A32" s="176">
        <v>31</v>
      </c>
      <c r="B32" s="3">
        <f>Scoresheet!I33</f>
        <v>52</v>
      </c>
      <c r="C32" s="3">
        <f>Scoresheet!U33</f>
        <v>33</v>
      </c>
      <c r="D32" s="3">
        <f>Scoresheet!AG33</f>
        <v>45</v>
      </c>
      <c r="E32" s="3">
        <f>Scoresheet!AS33</f>
        <v>0</v>
      </c>
      <c r="F32" s="3">
        <f>Scoresheet!BE33</f>
        <v>59</v>
      </c>
      <c r="G32" s="3">
        <f>Scoresheet!BQ33</f>
        <v>31</v>
      </c>
      <c r="H32" s="3">
        <f>Scoresheet!CC33</f>
        <v>52</v>
      </c>
      <c r="I32" s="3">
        <f>Scoresheet!CO33</f>
        <v>58</v>
      </c>
      <c r="J32" s="3">
        <f>Scoresheet!DA33</f>
        <v>59</v>
      </c>
      <c r="K32" s="3">
        <f>Scoresheet!DM33</f>
        <v>57</v>
      </c>
      <c r="L32" s="3">
        <f>Scoresheet!DY33</f>
        <v>50</v>
      </c>
      <c r="M32" s="3">
        <f>Scoresheet!EK33</f>
        <v>49</v>
      </c>
      <c r="N32" s="3">
        <f>Scoresheet!EW33</f>
        <v>33</v>
      </c>
      <c r="O32" s="3">
        <f>Scoresheet!FI33</f>
        <v>66</v>
      </c>
      <c r="P32" s="3">
        <f>Scoresheet!FU33</f>
        <v>82</v>
      </c>
      <c r="Q32" s="3">
        <f>Scoresheet!GG33</f>
        <v>0</v>
      </c>
      <c r="R32" s="3">
        <f>Scoresheet!GS33</f>
        <v>40</v>
      </c>
      <c r="S32" s="3">
        <f>Scoresheet!HE33</f>
        <v>71</v>
      </c>
      <c r="T32" s="3">
        <f t="shared" si="0"/>
        <v>837</v>
      </c>
      <c r="U32" s="120">
        <f t="shared" si="1"/>
        <v>52.3125</v>
      </c>
      <c r="V32" s="179">
        <f t="shared" si="2"/>
        <v>41</v>
      </c>
    </row>
    <row r="33" spans="1:22">
      <c r="A33" s="176">
        <v>32</v>
      </c>
      <c r="B33" s="3">
        <f>Scoresheet!I34</f>
        <v>68</v>
      </c>
      <c r="C33" s="3">
        <f>Scoresheet!U34</f>
        <v>49</v>
      </c>
      <c r="D33" s="3">
        <f>Scoresheet!AG34</f>
        <v>72</v>
      </c>
      <c r="E33" s="3">
        <f>Scoresheet!AS34</f>
        <v>69</v>
      </c>
      <c r="F33" s="3">
        <f>Scoresheet!BE34</f>
        <v>71</v>
      </c>
      <c r="G33" s="3">
        <f>Scoresheet!BQ34</f>
        <v>61</v>
      </c>
      <c r="H33" s="3">
        <f>Scoresheet!CC34</f>
        <v>68</v>
      </c>
      <c r="I33" s="3">
        <f>Scoresheet!CO34</f>
        <v>65</v>
      </c>
      <c r="J33" s="3">
        <f>Scoresheet!DA34</f>
        <v>64</v>
      </c>
      <c r="K33" s="3">
        <f>Scoresheet!DM34</f>
        <v>74</v>
      </c>
      <c r="L33" s="3">
        <f>Scoresheet!DY34</f>
        <v>62</v>
      </c>
      <c r="M33" s="3">
        <f>Scoresheet!EK34</f>
        <v>53</v>
      </c>
      <c r="N33" s="3">
        <f>Scoresheet!EW34</f>
        <v>43</v>
      </c>
      <c r="O33" s="3">
        <f>Scoresheet!FI34</f>
        <v>68</v>
      </c>
      <c r="P33" s="3">
        <f>Scoresheet!FU34</f>
        <v>73</v>
      </c>
      <c r="Q33" s="3">
        <f>Scoresheet!GG34</f>
        <v>0</v>
      </c>
      <c r="R33" s="3">
        <f>Scoresheet!GS34</f>
        <v>70</v>
      </c>
      <c r="S33" s="3">
        <f>Scoresheet!HE34</f>
        <v>0</v>
      </c>
      <c r="T33" s="3">
        <f t="shared" si="0"/>
        <v>1030</v>
      </c>
      <c r="U33" s="120">
        <f t="shared" si="1"/>
        <v>64.375</v>
      </c>
      <c r="V33" s="179">
        <f t="shared" si="2"/>
        <v>14</v>
      </c>
    </row>
    <row r="34" spans="1:22">
      <c r="A34" s="176">
        <v>33</v>
      </c>
      <c r="B34" s="3">
        <f>Scoresheet!I35</f>
        <v>68</v>
      </c>
      <c r="C34" s="3">
        <f>Scoresheet!U35</f>
        <v>53</v>
      </c>
      <c r="D34" s="3">
        <f>Scoresheet!AG35</f>
        <v>60</v>
      </c>
      <c r="E34" s="3">
        <f>Scoresheet!AS35</f>
        <v>0</v>
      </c>
      <c r="F34" s="3">
        <f>Scoresheet!BE35</f>
        <v>66</v>
      </c>
      <c r="G34" s="3">
        <f>Scoresheet!BQ35</f>
        <v>47</v>
      </c>
      <c r="H34" s="3">
        <f>Scoresheet!CC35</f>
        <v>59</v>
      </c>
      <c r="I34" s="3">
        <f>Scoresheet!CO35</f>
        <v>60</v>
      </c>
      <c r="J34" s="3">
        <f>Scoresheet!DA35</f>
        <v>62</v>
      </c>
      <c r="K34" s="3">
        <f>Scoresheet!DM35</f>
        <v>75</v>
      </c>
      <c r="L34" s="3">
        <f>Scoresheet!DY35</f>
        <v>68</v>
      </c>
      <c r="M34" s="3">
        <f>Scoresheet!EK35</f>
        <v>47</v>
      </c>
      <c r="N34" s="3">
        <f>Scoresheet!EW35</f>
        <v>44</v>
      </c>
      <c r="O34" s="3">
        <f>Scoresheet!FI35</f>
        <v>71</v>
      </c>
      <c r="P34" s="3">
        <f>Scoresheet!FU35</f>
        <v>60</v>
      </c>
      <c r="Q34" s="3">
        <f>Scoresheet!GG35</f>
        <v>0</v>
      </c>
      <c r="R34" s="3">
        <f>Scoresheet!GS35</f>
        <v>48</v>
      </c>
      <c r="S34" s="3">
        <f>Scoresheet!HE35</f>
        <v>66</v>
      </c>
      <c r="T34" s="3">
        <f t="shared" si="0"/>
        <v>954</v>
      </c>
      <c r="U34" s="120">
        <f t="shared" si="1"/>
        <v>59.625</v>
      </c>
      <c r="V34" s="179">
        <f t="shared" si="2"/>
        <v>24</v>
      </c>
    </row>
    <row r="35" spans="1:22">
      <c r="A35" s="176">
        <v>34</v>
      </c>
      <c r="B35" s="3">
        <f>Scoresheet!I36</f>
        <v>75</v>
      </c>
      <c r="C35" s="3">
        <f>Scoresheet!U36</f>
        <v>50</v>
      </c>
      <c r="D35" s="3">
        <f>Scoresheet!AG36</f>
        <v>81</v>
      </c>
      <c r="E35" s="3">
        <f>Scoresheet!AS36</f>
        <v>77</v>
      </c>
      <c r="F35" s="3">
        <f>Scoresheet!BE36</f>
        <v>86</v>
      </c>
      <c r="G35" s="3">
        <f>Scoresheet!BQ36</f>
        <v>68</v>
      </c>
      <c r="H35" s="3">
        <f>Scoresheet!CC36</f>
        <v>66</v>
      </c>
      <c r="I35" s="3">
        <f>Scoresheet!CO36</f>
        <v>83</v>
      </c>
      <c r="J35" s="3">
        <f>Scoresheet!DA36</f>
        <v>77</v>
      </c>
      <c r="K35" s="3">
        <f>Scoresheet!DM36</f>
        <v>88</v>
      </c>
      <c r="L35" s="3">
        <f>Scoresheet!DY36</f>
        <v>73</v>
      </c>
      <c r="M35" s="3">
        <f>Scoresheet!EK36</f>
        <v>65</v>
      </c>
      <c r="N35" s="3">
        <f>Scoresheet!EW36</f>
        <v>61</v>
      </c>
      <c r="O35" s="3">
        <f>Scoresheet!FI36</f>
        <v>88</v>
      </c>
      <c r="P35" s="3">
        <f>Scoresheet!FU36</f>
        <v>84</v>
      </c>
      <c r="Q35" s="3">
        <f>Scoresheet!GG36</f>
        <v>0</v>
      </c>
      <c r="R35" s="3">
        <f>Scoresheet!GS36</f>
        <v>85</v>
      </c>
      <c r="S35" s="3">
        <f>Scoresheet!HE36</f>
        <v>0</v>
      </c>
      <c r="T35" s="3">
        <f t="shared" si="0"/>
        <v>1207</v>
      </c>
      <c r="U35" s="120">
        <f t="shared" si="1"/>
        <v>75.4375</v>
      </c>
      <c r="V35" s="179">
        <f t="shared" si="2"/>
        <v>3</v>
      </c>
    </row>
    <row r="36" spans="1:22">
      <c r="A36" s="176">
        <v>35</v>
      </c>
      <c r="B36" s="3">
        <f>Scoresheet!I37</f>
        <v>42</v>
      </c>
      <c r="C36" s="3">
        <f>Scoresheet!U37</f>
        <v>35</v>
      </c>
      <c r="D36" s="3">
        <f>Scoresheet!AG37</f>
        <v>47</v>
      </c>
      <c r="E36" s="3">
        <f>Scoresheet!AS37</f>
        <v>0</v>
      </c>
      <c r="F36" s="3">
        <f>Scoresheet!BE37</f>
        <v>40</v>
      </c>
      <c r="G36" s="3">
        <f>Scoresheet!BQ37</f>
        <v>26</v>
      </c>
      <c r="H36" s="3">
        <f>Scoresheet!CC37</f>
        <v>38</v>
      </c>
      <c r="I36" s="3">
        <f>Scoresheet!CO37</f>
        <v>43</v>
      </c>
      <c r="J36" s="3">
        <f>Scoresheet!DA37</f>
        <v>52</v>
      </c>
      <c r="K36" s="3">
        <f>Scoresheet!DM37</f>
        <v>49</v>
      </c>
      <c r="L36" s="3">
        <f>Scoresheet!DY37</f>
        <v>45</v>
      </c>
      <c r="M36" s="3">
        <f>Scoresheet!EK37</f>
        <v>47</v>
      </c>
      <c r="N36" s="3">
        <f>Scoresheet!EW37</f>
        <v>52</v>
      </c>
      <c r="O36" s="3">
        <f>Scoresheet!FI37</f>
        <v>63</v>
      </c>
      <c r="P36" s="3">
        <f>Scoresheet!FU37</f>
        <v>66</v>
      </c>
      <c r="Q36" s="3">
        <f>Scoresheet!GG37</f>
        <v>0</v>
      </c>
      <c r="R36" s="3">
        <f>Scoresheet!GS37</f>
        <v>37</v>
      </c>
      <c r="S36" s="3">
        <f>Scoresheet!HE37</f>
        <v>51</v>
      </c>
      <c r="T36" s="3">
        <f t="shared" si="0"/>
        <v>733</v>
      </c>
      <c r="U36" s="120">
        <f t="shared" si="1"/>
        <v>45.8125</v>
      </c>
      <c r="V36" s="179">
        <f t="shared" si="2"/>
        <v>46</v>
      </c>
    </row>
    <row r="37" spans="1:22">
      <c r="A37" s="176">
        <v>36</v>
      </c>
      <c r="B37" s="3">
        <f>Scoresheet!I38</f>
        <v>71</v>
      </c>
      <c r="C37" s="3">
        <f>Scoresheet!U38</f>
        <v>53</v>
      </c>
      <c r="D37" s="3">
        <f>Scoresheet!AG38</f>
        <v>67</v>
      </c>
      <c r="E37" s="3">
        <f>Scoresheet!AS38</f>
        <v>0</v>
      </c>
      <c r="F37" s="3">
        <f>Scoresheet!BE38</f>
        <v>78</v>
      </c>
      <c r="G37" s="3">
        <f>Scoresheet!BQ38</f>
        <v>55</v>
      </c>
      <c r="H37" s="3">
        <f>Scoresheet!CC38</f>
        <v>64</v>
      </c>
      <c r="I37" s="3">
        <f>Scoresheet!CO38</f>
        <v>67</v>
      </c>
      <c r="J37" s="3">
        <f>Scoresheet!DA38</f>
        <v>68</v>
      </c>
      <c r="K37" s="3">
        <f>Scoresheet!DM38</f>
        <v>76</v>
      </c>
      <c r="L37" s="3">
        <f>Scoresheet!DY38</f>
        <v>68</v>
      </c>
      <c r="M37" s="3">
        <f>Scoresheet!EK38</f>
        <v>55</v>
      </c>
      <c r="N37" s="3">
        <f>Scoresheet!EW38</f>
        <v>56</v>
      </c>
      <c r="O37" s="3">
        <f>Scoresheet!FI38</f>
        <v>85</v>
      </c>
      <c r="P37" s="3">
        <f>Scoresheet!FU38</f>
        <v>72</v>
      </c>
      <c r="Q37" s="3">
        <f>Scoresheet!GG38</f>
        <v>0</v>
      </c>
      <c r="R37" s="3">
        <f>Scoresheet!GS38</f>
        <v>63</v>
      </c>
      <c r="S37" s="3">
        <f>Scoresheet!HE38</f>
        <v>76</v>
      </c>
      <c r="T37" s="3">
        <f t="shared" si="0"/>
        <v>1074</v>
      </c>
      <c r="U37" s="120">
        <f t="shared" si="1"/>
        <v>67.125</v>
      </c>
      <c r="V37" s="179">
        <f t="shared" si="2"/>
        <v>10</v>
      </c>
    </row>
    <row r="38" spans="1:22">
      <c r="A38" s="176">
        <v>37</v>
      </c>
      <c r="B38" s="3">
        <f>Scoresheet!I39</f>
        <v>59</v>
      </c>
      <c r="C38" s="3">
        <f>Scoresheet!U39</f>
        <v>37</v>
      </c>
      <c r="D38" s="3">
        <f>Scoresheet!AG39</f>
        <v>57</v>
      </c>
      <c r="E38" s="3">
        <f>Scoresheet!AS39</f>
        <v>0</v>
      </c>
      <c r="F38" s="3">
        <f>Scoresheet!BE39</f>
        <v>62</v>
      </c>
      <c r="G38" s="3">
        <f>Scoresheet!BQ39</f>
        <v>37</v>
      </c>
      <c r="H38" s="3">
        <f>Scoresheet!CC39</f>
        <v>55</v>
      </c>
      <c r="I38" s="3">
        <f>Scoresheet!CO39</f>
        <v>53</v>
      </c>
      <c r="J38" s="3">
        <f>Scoresheet!DA39</f>
        <v>60</v>
      </c>
      <c r="K38" s="3">
        <f>Scoresheet!DM39</f>
        <v>57</v>
      </c>
      <c r="L38" s="3">
        <f>Scoresheet!DY39</f>
        <v>64</v>
      </c>
      <c r="M38" s="3">
        <f>Scoresheet!EK39</f>
        <v>45</v>
      </c>
      <c r="N38" s="3">
        <f>Scoresheet!EW39</f>
        <v>45</v>
      </c>
      <c r="O38" s="3">
        <f>Scoresheet!FI39</f>
        <v>63</v>
      </c>
      <c r="P38" s="3">
        <f>Scoresheet!FU39</f>
        <v>61</v>
      </c>
      <c r="Q38" s="3">
        <f>Scoresheet!GG39</f>
        <v>0</v>
      </c>
      <c r="R38" s="3">
        <f>Scoresheet!GS39</f>
        <v>46</v>
      </c>
      <c r="S38" s="3">
        <f>Scoresheet!HE39</f>
        <v>67</v>
      </c>
      <c r="T38" s="3">
        <f t="shared" si="0"/>
        <v>868</v>
      </c>
      <c r="U38" s="120">
        <f t="shared" si="1"/>
        <v>54.25</v>
      </c>
      <c r="V38" s="179">
        <f t="shared" si="2"/>
        <v>34</v>
      </c>
    </row>
    <row r="39" spans="1:22">
      <c r="A39" s="176">
        <v>38</v>
      </c>
      <c r="B39" s="3">
        <f>Scoresheet!I40</f>
        <v>61</v>
      </c>
      <c r="C39" s="3">
        <f>Scoresheet!U40</f>
        <v>54</v>
      </c>
      <c r="D39" s="3">
        <f>Scoresheet!AG40</f>
        <v>72</v>
      </c>
      <c r="E39" s="3">
        <f>Scoresheet!AS40</f>
        <v>67</v>
      </c>
      <c r="F39" s="3">
        <f>Scoresheet!BE40</f>
        <v>75</v>
      </c>
      <c r="G39" s="3">
        <f>Scoresheet!BQ40</f>
        <v>64</v>
      </c>
      <c r="H39" s="3">
        <f>Scoresheet!CC40</f>
        <v>71</v>
      </c>
      <c r="I39" s="3">
        <f>Scoresheet!CO40</f>
        <v>73</v>
      </c>
      <c r="J39" s="3">
        <f>Scoresheet!DA40</f>
        <v>69</v>
      </c>
      <c r="K39" s="3">
        <f>Scoresheet!DM40</f>
        <v>82</v>
      </c>
      <c r="L39" s="3">
        <f>Scoresheet!DY40</f>
        <v>71</v>
      </c>
      <c r="M39" s="3">
        <f>Scoresheet!EK40</f>
        <v>58</v>
      </c>
      <c r="N39" s="3">
        <f>Scoresheet!EW40</f>
        <v>51</v>
      </c>
      <c r="O39" s="3">
        <f>Scoresheet!FI40</f>
        <v>77</v>
      </c>
      <c r="P39" s="3">
        <f>Scoresheet!FU40</f>
        <v>72</v>
      </c>
      <c r="Q39" s="3">
        <f>Scoresheet!GG40</f>
        <v>0</v>
      </c>
      <c r="R39" s="3">
        <f>Scoresheet!GS40</f>
        <v>62</v>
      </c>
      <c r="S39" s="3">
        <f>Scoresheet!HE40</f>
        <v>0</v>
      </c>
      <c r="T39" s="3">
        <f t="shared" si="0"/>
        <v>1079</v>
      </c>
      <c r="U39" s="120">
        <f t="shared" si="1"/>
        <v>67.4375</v>
      </c>
      <c r="V39" s="179">
        <f t="shared" si="2"/>
        <v>9</v>
      </c>
    </row>
    <row r="40" spans="1:22">
      <c r="A40" s="176">
        <v>39</v>
      </c>
      <c r="B40" s="3">
        <f>Scoresheet!I41</f>
        <v>49</v>
      </c>
      <c r="C40" s="3">
        <f>Scoresheet!U41</f>
        <v>50</v>
      </c>
      <c r="D40" s="3">
        <f>Scoresheet!AG41</f>
        <v>79</v>
      </c>
      <c r="E40" s="3">
        <f>Scoresheet!AS41</f>
        <v>0</v>
      </c>
      <c r="F40" s="3">
        <f>Scoresheet!BE41</f>
        <v>76</v>
      </c>
      <c r="G40" s="3">
        <f>Scoresheet!BQ41</f>
        <v>55</v>
      </c>
      <c r="H40" s="3">
        <f>Scoresheet!CC41</f>
        <v>59</v>
      </c>
      <c r="I40" s="3">
        <f>Scoresheet!CO41</f>
        <v>63</v>
      </c>
      <c r="J40" s="3">
        <f>Scoresheet!DA41</f>
        <v>66</v>
      </c>
      <c r="K40" s="3">
        <f>Scoresheet!DM41</f>
        <v>77</v>
      </c>
      <c r="L40" s="3">
        <f>Scoresheet!DY41</f>
        <v>55</v>
      </c>
      <c r="M40" s="3">
        <f>Scoresheet!EK41</f>
        <v>38</v>
      </c>
      <c r="N40" s="3">
        <f>Scoresheet!EW41</f>
        <v>50</v>
      </c>
      <c r="O40" s="3">
        <f>Scoresheet!FI41</f>
        <v>68</v>
      </c>
      <c r="P40" s="3">
        <f>Scoresheet!FU41</f>
        <v>69</v>
      </c>
      <c r="Q40" s="3">
        <f>Scoresheet!GG41</f>
        <v>0</v>
      </c>
      <c r="R40" s="3">
        <f>Scoresheet!GS41</f>
        <v>57</v>
      </c>
      <c r="S40" s="3">
        <f>Scoresheet!HE41</f>
        <v>84</v>
      </c>
      <c r="T40" s="3">
        <f t="shared" si="0"/>
        <v>995</v>
      </c>
      <c r="U40" s="120">
        <f t="shared" si="1"/>
        <v>62.1875</v>
      </c>
      <c r="V40" s="179">
        <f t="shared" si="2"/>
        <v>20</v>
      </c>
    </row>
    <row r="41" spans="1:22">
      <c r="A41" s="176">
        <v>40</v>
      </c>
      <c r="B41" s="3">
        <f>Scoresheet!I42</f>
        <v>62</v>
      </c>
      <c r="C41" s="3">
        <f>Scoresheet!U42</f>
        <v>41</v>
      </c>
      <c r="D41" s="3">
        <f>Scoresheet!AG42</f>
        <v>60</v>
      </c>
      <c r="E41" s="3">
        <f>Scoresheet!AS42</f>
        <v>0</v>
      </c>
      <c r="F41" s="3">
        <f>Scoresheet!BE42</f>
        <v>70</v>
      </c>
      <c r="G41" s="3">
        <f>Scoresheet!BQ42</f>
        <v>45</v>
      </c>
      <c r="H41" s="3">
        <f>Scoresheet!CC42</f>
        <v>55</v>
      </c>
      <c r="I41" s="3">
        <f>Scoresheet!CO42</f>
        <v>66</v>
      </c>
      <c r="J41" s="3">
        <f>Scoresheet!DA42</f>
        <v>63</v>
      </c>
      <c r="K41" s="3">
        <f>Scoresheet!DM42</f>
        <v>63</v>
      </c>
      <c r="L41" s="3">
        <f>Scoresheet!DY42</f>
        <v>62</v>
      </c>
      <c r="M41" s="3">
        <f>Scoresheet!EK42</f>
        <v>55</v>
      </c>
      <c r="N41" s="3">
        <f>Scoresheet!EW42</f>
        <v>50</v>
      </c>
      <c r="O41" s="3">
        <f>Scoresheet!FI42</f>
        <v>81</v>
      </c>
      <c r="P41" s="3">
        <f>Scoresheet!FU42</f>
        <v>61</v>
      </c>
      <c r="Q41" s="3">
        <f>Scoresheet!GG42</f>
        <v>0</v>
      </c>
      <c r="R41" s="3">
        <f>Scoresheet!GS42</f>
        <v>78</v>
      </c>
      <c r="S41" s="3">
        <f>Scoresheet!HE42</f>
        <v>78</v>
      </c>
      <c r="T41" s="3">
        <f t="shared" si="0"/>
        <v>990</v>
      </c>
      <c r="U41" s="120">
        <f t="shared" si="1"/>
        <v>61.875</v>
      </c>
      <c r="V41" s="179">
        <f t="shared" si="2"/>
        <v>21</v>
      </c>
    </row>
    <row r="42" spans="1:22">
      <c r="A42" s="176">
        <v>41</v>
      </c>
      <c r="B42" s="3">
        <f>Scoresheet!I43</f>
        <v>51</v>
      </c>
      <c r="C42" s="3">
        <f>Scoresheet!U43</f>
        <v>33</v>
      </c>
      <c r="D42" s="3">
        <f>Scoresheet!AG43</f>
        <v>52</v>
      </c>
      <c r="E42" s="3">
        <f>Scoresheet!AS43</f>
        <v>0</v>
      </c>
      <c r="F42" s="3">
        <f>Scoresheet!BE43</f>
        <v>54</v>
      </c>
      <c r="G42" s="3">
        <f>Scoresheet!BQ43</f>
        <v>42</v>
      </c>
      <c r="H42" s="3">
        <f>Scoresheet!CC43</f>
        <v>44</v>
      </c>
      <c r="I42" s="3">
        <f>Scoresheet!CO43</f>
        <v>51</v>
      </c>
      <c r="J42" s="3">
        <f>Scoresheet!DA43</f>
        <v>48</v>
      </c>
      <c r="K42" s="3">
        <f>Scoresheet!DM43</f>
        <v>49</v>
      </c>
      <c r="L42" s="3">
        <f>Scoresheet!DY43</f>
        <v>50</v>
      </c>
      <c r="M42" s="3">
        <f>Scoresheet!EK43</f>
        <v>44</v>
      </c>
      <c r="N42" s="3">
        <f>Scoresheet!EW43</f>
        <v>46</v>
      </c>
      <c r="O42" s="3">
        <f>Scoresheet!FI43</f>
        <v>53</v>
      </c>
      <c r="P42" s="3">
        <f>Scoresheet!FU43</f>
        <v>60</v>
      </c>
      <c r="Q42" s="3">
        <f>Scoresheet!GG43</f>
        <v>0</v>
      </c>
      <c r="R42" s="3">
        <f>Scoresheet!GS43</f>
        <v>48</v>
      </c>
      <c r="S42" s="3">
        <f>Scoresheet!HE43</f>
        <v>52</v>
      </c>
      <c r="T42" s="3">
        <f t="shared" si="0"/>
        <v>777</v>
      </c>
      <c r="U42" s="120">
        <f t="shared" si="1"/>
        <v>48.5625</v>
      </c>
      <c r="V42" s="179">
        <f t="shared" si="2"/>
        <v>44</v>
      </c>
    </row>
    <row r="43" spans="1:22">
      <c r="A43" s="176">
        <v>42</v>
      </c>
      <c r="B43" s="3">
        <f>Scoresheet!I44</f>
        <v>63</v>
      </c>
      <c r="C43" s="3">
        <f>Scoresheet!U44</f>
        <v>41</v>
      </c>
      <c r="D43" s="3">
        <f>Scoresheet!AG44</f>
        <v>53</v>
      </c>
      <c r="E43" s="3">
        <f>Scoresheet!AS44</f>
        <v>0</v>
      </c>
      <c r="F43" s="3">
        <f>Scoresheet!BE44</f>
        <v>61</v>
      </c>
      <c r="G43" s="3">
        <f>Scoresheet!BQ44</f>
        <v>42</v>
      </c>
      <c r="H43" s="3">
        <f>Scoresheet!CC44</f>
        <v>72</v>
      </c>
      <c r="I43" s="3">
        <f>Scoresheet!CO44</f>
        <v>55</v>
      </c>
      <c r="J43" s="3">
        <f>Scoresheet!DA44</f>
        <v>57</v>
      </c>
      <c r="K43" s="3">
        <f>Scoresheet!DM44</f>
        <v>52</v>
      </c>
      <c r="L43" s="3">
        <f>Scoresheet!DY44</f>
        <v>63</v>
      </c>
      <c r="M43" s="3">
        <f>Scoresheet!EK44</f>
        <v>52</v>
      </c>
      <c r="N43" s="3">
        <f>Scoresheet!EW44</f>
        <v>45</v>
      </c>
      <c r="O43" s="3">
        <f>Scoresheet!FI44</f>
        <v>72</v>
      </c>
      <c r="P43" s="3">
        <f>Scoresheet!FU44</f>
        <v>66</v>
      </c>
      <c r="Q43" s="3">
        <f>Scoresheet!GG44</f>
        <v>0</v>
      </c>
      <c r="R43" s="3">
        <f>Scoresheet!GS44</f>
        <v>51</v>
      </c>
      <c r="S43" s="3">
        <f>Scoresheet!HE44</f>
        <v>67</v>
      </c>
      <c r="T43" s="3">
        <f t="shared" si="0"/>
        <v>912</v>
      </c>
      <c r="U43" s="120">
        <f t="shared" si="1"/>
        <v>57</v>
      </c>
      <c r="V43" s="179">
        <f t="shared" si="2"/>
        <v>27</v>
      </c>
    </row>
    <row r="44" spans="1:22">
      <c r="A44" s="176">
        <v>43</v>
      </c>
      <c r="B44" s="3">
        <f>Scoresheet!I45</f>
        <v>56</v>
      </c>
      <c r="C44" s="3">
        <f>Scoresheet!U45</f>
        <v>42</v>
      </c>
      <c r="D44" s="3">
        <f>Scoresheet!AG45</f>
        <v>53</v>
      </c>
      <c r="E44" s="3">
        <f>Scoresheet!AS45</f>
        <v>0</v>
      </c>
      <c r="F44" s="3">
        <f>Scoresheet!BE45</f>
        <v>64</v>
      </c>
      <c r="G44" s="3">
        <f>Scoresheet!BQ45</f>
        <v>35</v>
      </c>
      <c r="H44" s="3">
        <f>Scoresheet!CC45</f>
        <v>53</v>
      </c>
      <c r="I44" s="3">
        <f>Scoresheet!CO45</f>
        <v>57</v>
      </c>
      <c r="J44" s="3">
        <f>Scoresheet!DA45</f>
        <v>63</v>
      </c>
      <c r="K44" s="3">
        <f>Scoresheet!DM45</f>
        <v>55</v>
      </c>
      <c r="L44" s="3">
        <f>Scoresheet!DY45</f>
        <v>64</v>
      </c>
      <c r="M44" s="3">
        <f>Scoresheet!EK45</f>
        <v>52</v>
      </c>
      <c r="N44" s="3">
        <f>Scoresheet!EW45</f>
        <v>34</v>
      </c>
      <c r="O44" s="3">
        <f>Scoresheet!FI45</f>
        <v>70</v>
      </c>
      <c r="P44" s="3">
        <f>Scoresheet!FU45</f>
        <v>61</v>
      </c>
      <c r="Q44" s="3">
        <f>Scoresheet!GG45</f>
        <v>0</v>
      </c>
      <c r="R44" s="3">
        <f>Scoresheet!GS45</f>
        <v>42</v>
      </c>
      <c r="S44" s="3">
        <f>Scoresheet!HE45</f>
        <v>57</v>
      </c>
      <c r="T44" s="3">
        <f t="shared" si="0"/>
        <v>858</v>
      </c>
      <c r="U44" s="120">
        <f t="shared" si="1"/>
        <v>53.625</v>
      </c>
      <c r="V44" s="179">
        <f t="shared" si="2"/>
        <v>39</v>
      </c>
    </row>
    <row r="45" spans="1:22">
      <c r="A45" s="176">
        <v>44</v>
      </c>
      <c r="B45" s="3">
        <f>Scoresheet!I46</f>
        <v>71</v>
      </c>
      <c r="C45" s="3">
        <f>Scoresheet!U46</f>
        <v>51</v>
      </c>
      <c r="D45" s="3">
        <f>Scoresheet!AG46</f>
        <v>77</v>
      </c>
      <c r="E45" s="3">
        <f>Scoresheet!AS46</f>
        <v>0</v>
      </c>
      <c r="F45" s="3">
        <f>Scoresheet!BE46</f>
        <v>88</v>
      </c>
      <c r="G45" s="3">
        <f>Scoresheet!BQ46</f>
        <v>72</v>
      </c>
      <c r="H45" s="3">
        <f>Scoresheet!CC46</f>
        <v>73</v>
      </c>
      <c r="I45" s="3">
        <f>Scoresheet!CO46</f>
        <v>84</v>
      </c>
      <c r="J45" s="3">
        <f>Scoresheet!DA46</f>
        <v>81</v>
      </c>
      <c r="K45" s="3">
        <f>Scoresheet!DM46</f>
        <v>66</v>
      </c>
      <c r="L45" s="3">
        <f>Scoresheet!DY46</f>
        <v>73</v>
      </c>
      <c r="M45" s="3">
        <f>Scoresheet!EK46</f>
        <v>68</v>
      </c>
      <c r="N45" s="3">
        <f>Scoresheet!EW46</f>
        <v>53</v>
      </c>
      <c r="O45" s="3">
        <f>Scoresheet!FI46</f>
        <v>89</v>
      </c>
      <c r="P45" s="3">
        <f>Scoresheet!FU46</f>
        <v>84</v>
      </c>
      <c r="Q45" s="3">
        <f>Scoresheet!GG46</f>
        <v>0</v>
      </c>
      <c r="R45" s="3">
        <f>Scoresheet!GS46</f>
        <v>87</v>
      </c>
      <c r="S45" s="3">
        <f>Scoresheet!HE46</f>
        <v>91</v>
      </c>
      <c r="T45" s="3">
        <f t="shared" si="0"/>
        <v>1208</v>
      </c>
      <c r="U45" s="120">
        <f t="shared" si="1"/>
        <v>75.5</v>
      </c>
      <c r="V45" s="179">
        <f t="shared" si="2"/>
        <v>2</v>
      </c>
    </row>
    <row r="46" spans="1:22">
      <c r="A46" s="176">
        <v>45</v>
      </c>
      <c r="B46" s="3">
        <f>Scoresheet!I47</f>
        <v>76</v>
      </c>
      <c r="C46" s="3">
        <f>Scoresheet!U47</f>
        <v>60</v>
      </c>
      <c r="D46" s="3">
        <f>Scoresheet!AG47</f>
        <v>72</v>
      </c>
      <c r="E46" s="3">
        <f>Scoresheet!AS47</f>
        <v>0</v>
      </c>
      <c r="F46" s="3">
        <f>Scoresheet!BE47</f>
        <v>79</v>
      </c>
      <c r="G46" s="3">
        <f>Scoresheet!BQ47</f>
        <v>61</v>
      </c>
      <c r="H46" s="3">
        <f>Scoresheet!CC47</f>
        <v>72</v>
      </c>
      <c r="I46" s="3">
        <f>Scoresheet!CO47</f>
        <v>78</v>
      </c>
      <c r="J46" s="3">
        <f>Scoresheet!DA47</f>
        <v>70</v>
      </c>
      <c r="K46" s="3">
        <f>Scoresheet!DM47</f>
        <v>79</v>
      </c>
      <c r="L46" s="3">
        <f>Scoresheet!DY47</f>
        <v>75</v>
      </c>
      <c r="M46" s="3">
        <f>Scoresheet!EK47</f>
        <v>54</v>
      </c>
      <c r="N46" s="3">
        <f>Scoresheet!EW47</f>
        <v>71</v>
      </c>
      <c r="O46" s="3">
        <f>Scoresheet!FI47</f>
        <v>89</v>
      </c>
      <c r="P46" s="3">
        <f>Scoresheet!FU47</f>
        <v>72</v>
      </c>
      <c r="Q46" s="3">
        <f>Scoresheet!GG47</f>
        <v>0</v>
      </c>
      <c r="R46" s="3">
        <f>Scoresheet!GS47</f>
        <v>69</v>
      </c>
      <c r="S46" s="3">
        <f>Scoresheet!HE47</f>
        <v>87</v>
      </c>
      <c r="T46" s="3">
        <f t="shared" si="0"/>
        <v>1164</v>
      </c>
      <c r="U46" s="120">
        <f t="shared" si="1"/>
        <v>72.75</v>
      </c>
      <c r="V46" s="179">
        <f t="shared" si="2"/>
        <v>5</v>
      </c>
    </row>
    <row r="47" spans="1:22">
      <c r="A47" s="176">
        <v>46</v>
      </c>
      <c r="B47" s="3">
        <f>Scoresheet!I48</f>
        <v>60</v>
      </c>
      <c r="C47" s="3">
        <f>Scoresheet!U48</f>
        <v>41</v>
      </c>
      <c r="D47" s="3">
        <f>Scoresheet!AG48</f>
        <v>55</v>
      </c>
      <c r="E47" s="3">
        <f>Scoresheet!AS48</f>
        <v>0</v>
      </c>
      <c r="F47" s="3">
        <f>Scoresheet!BE48</f>
        <v>59</v>
      </c>
      <c r="G47" s="3">
        <f>Scoresheet!BQ48</f>
        <v>57</v>
      </c>
      <c r="H47" s="3">
        <f>Scoresheet!CC48</f>
        <v>30</v>
      </c>
      <c r="I47" s="3">
        <f>Scoresheet!CO48</f>
        <v>57</v>
      </c>
      <c r="J47" s="3">
        <f>Scoresheet!DA48</f>
        <v>60</v>
      </c>
      <c r="K47" s="3">
        <f>Scoresheet!DM48</f>
        <v>71</v>
      </c>
      <c r="L47" s="3">
        <f>Scoresheet!DY48</f>
        <v>61</v>
      </c>
      <c r="M47" s="3">
        <f>Scoresheet!EK48</f>
        <v>56</v>
      </c>
      <c r="N47" s="3">
        <f>Scoresheet!EW48</f>
        <v>52</v>
      </c>
      <c r="O47" s="3">
        <f>Scoresheet!FI48</f>
        <v>83</v>
      </c>
      <c r="P47" s="3">
        <f>Scoresheet!FU48</f>
        <v>59</v>
      </c>
      <c r="Q47" s="3">
        <f>Scoresheet!GG48</f>
        <v>0</v>
      </c>
      <c r="R47" s="3">
        <f>Scoresheet!GS48</f>
        <v>55</v>
      </c>
      <c r="S47" s="3">
        <f>Scoresheet!HE48</f>
        <v>85</v>
      </c>
      <c r="T47" s="3">
        <f t="shared" si="0"/>
        <v>941</v>
      </c>
      <c r="U47" s="120">
        <f t="shared" si="1"/>
        <v>58.8125</v>
      </c>
      <c r="V47" s="179">
        <f t="shared" si="2"/>
        <v>25</v>
      </c>
    </row>
    <row r="48" spans="1:22">
      <c r="A48" s="176">
        <v>47</v>
      </c>
      <c r="B48" s="3">
        <f>Scoresheet!I49</f>
        <v>65</v>
      </c>
      <c r="C48" s="3">
        <f>Scoresheet!U49</f>
        <v>17</v>
      </c>
      <c r="D48" s="3">
        <f>Scoresheet!AG49</f>
        <v>49</v>
      </c>
      <c r="E48" s="3">
        <f>Scoresheet!AS49</f>
        <v>0</v>
      </c>
      <c r="F48" s="3">
        <f>Scoresheet!BE49</f>
        <v>69</v>
      </c>
      <c r="G48" s="3">
        <f>Scoresheet!BQ49</f>
        <v>50</v>
      </c>
      <c r="H48" s="3">
        <f>Scoresheet!CC49</f>
        <v>42</v>
      </c>
      <c r="I48" s="3">
        <f>Scoresheet!CO49</f>
        <v>60</v>
      </c>
      <c r="J48" s="3">
        <f>Scoresheet!DA49</f>
        <v>58</v>
      </c>
      <c r="K48" s="3">
        <f>Scoresheet!DM49</f>
        <v>67</v>
      </c>
      <c r="L48" s="3">
        <f>Scoresheet!DY49</f>
        <v>72</v>
      </c>
      <c r="M48" s="3">
        <f>Scoresheet!EK49</f>
        <v>41</v>
      </c>
      <c r="N48" s="3">
        <f>Scoresheet!EW49</f>
        <v>46</v>
      </c>
      <c r="O48" s="3">
        <f>Scoresheet!FI49</f>
        <v>71</v>
      </c>
      <c r="P48" s="3">
        <f>Scoresheet!FU49</f>
        <v>50</v>
      </c>
      <c r="Q48" s="3">
        <f>Scoresheet!GG49</f>
        <v>0</v>
      </c>
      <c r="R48" s="3">
        <f>Scoresheet!GS49</f>
        <v>48</v>
      </c>
      <c r="S48" s="3">
        <f>Scoresheet!HE49</f>
        <v>61</v>
      </c>
      <c r="T48" s="3">
        <f t="shared" si="0"/>
        <v>866</v>
      </c>
      <c r="U48" s="120">
        <f t="shared" si="1"/>
        <v>54.125</v>
      </c>
      <c r="V48" s="179">
        <f t="shared" si="2"/>
        <v>35</v>
      </c>
    </row>
    <row r="49" spans="1:22">
      <c r="A49" s="3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0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0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0</v>
      </c>
      <c r="S49" s="3">
        <f>Scoresheet!HE50</f>
        <v>0</v>
      </c>
      <c r="T49" s="3">
        <f t="shared" si="0"/>
        <v>0</v>
      </c>
      <c r="U49" s="120" t="str">
        <f t="shared" si="1"/>
        <v/>
      </c>
      <c r="V49" s="179" t="e">
        <f t="shared" si="2"/>
        <v>#VALUE!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0" t="str">
        <f t="shared" si="1"/>
        <v/>
      </c>
      <c r="V50" s="179" t="e">
        <f t="shared" si="2"/>
        <v>#VALUE!</v>
      </c>
    </row>
    <row r="51" spans="1:22">
      <c r="A51" s="181">
        <v>50</v>
      </c>
      <c r="B51" s="181">
        <f>Scoresheet!I52</f>
        <v>0</v>
      </c>
      <c r="C51" s="181">
        <f>Scoresheet!U52</f>
        <v>0</v>
      </c>
      <c r="D51" s="181">
        <f>Scoresheet!AG52</f>
        <v>0</v>
      </c>
      <c r="E51" s="181">
        <f>Scoresheet!AS52</f>
        <v>0</v>
      </c>
      <c r="F51" s="181">
        <f>Scoresheet!BE52</f>
        <v>0</v>
      </c>
      <c r="G51" s="181">
        <f>Scoresheet!BQ52</f>
        <v>0</v>
      </c>
      <c r="H51" s="181">
        <f>Scoresheet!CC52</f>
        <v>0</v>
      </c>
      <c r="I51" s="181">
        <f>Scoresheet!CO52</f>
        <v>0</v>
      </c>
      <c r="J51" s="181">
        <f>Scoresheet!DA52</f>
        <v>0</v>
      </c>
      <c r="K51" s="181">
        <f>Scoresheet!DM52</f>
        <v>0</v>
      </c>
      <c r="L51" s="181">
        <f>Scoresheet!DY52</f>
        <v>0</v>
      </c>
      <c r="M51" s="181">
        <f>Scoresheet!EK52</f>
        <v>0</v>
      </c>
      <c r="N51" s="181">
        <f>Scoresheet!EW52</f>
        <v>0</v>
      </c>
      <c r="O51" s="181">
        <f>Scoresheet!FI52</f>
        <v>0</v>
      </c>
      <c r="P51" s="181">
        <f>Scoresheet!FU52</f>
        <v>0</v>
      </c>
      <c r="Q51" s="181">
        <f>Scoresheet!GG52</f>
        <v>0</v>
      </c>
      <c r="R51" s="181">
        <f>Scoresheet!GS52</f>
        <v>0</v>
      </c>
      <c r="S51" s="181">
        <f>Scoresheet!HE52</f>
        <v>0</v>
      </c>
      <c r="T51" s="181">
        <f t="shared" si="0"/>
        <v>0</v>
      </c>
      <c r="U51" s="182" t="str">
        <f t="shared" si="1"/>
        <v/>
      </c>
      <c r="V51" s="183" t="e">
        <f t="shared" si="2"/>
        <v>#VALUE!</v>
      </c>
    </row>
    <row r="52" spans="1:22">
      <c r="A52" s="28"/>
      <c r="G52" s="28"/>
      <c r="H52" s="28"/>
    </row>
    <row r="53" spans="1:22">
      <c r="A53" s="28"/>
      <c r="G53" s="28"/>
      <c r="H53" s="28"/>
    </row>
    <row r="54" spans="1:22">
      <c r="A54" s="28"/>
    </row>
    <row r="55" spans="1:22">
      <c r="A55" s="28"/>
    </row>
    <row r="56" spans="1:22">
      <c r="A56" s="28"/>
    </row>
    <row r="57" spans="1:22">
      <c r="A57" s="28"/>
    </row>
    <row r="58" spans="1:22">
      <c r="A58" s="28"/>
    </row>
    <row r="59" spans="1:22">
      <c r="A59" s="28"/>
    </row>
    <row r="60" spans="1:22">
      <c r="A60" s="28"/>
    </row>
    <row r="61" spans="1:22">
      <c r="A61" s="28"/>
    </row>
    <row r="62" spans="1:22">
      <c r="A62" s="28"/>
    </row>
    <row r="63" spans="1:22">
      <c r="A63" s="28"/>
    </row>
    <row r="64" spans="1:22">
      <c r="A64" s="28"/>
    </row>
    <row r="65" spans="1:1">
      <c r="A65" s="28"/>
    </row>
    <row r="66" spans="1:1">
      <c r="A66" s="28"/>
    </row>
    <row r="67" spans="1:1">
      <c r="A67" s="28"/>
    </row>
    <row r="68" spans="1:1">
      <c r="A68" s="28"/>
    </row>
    <row r="69" spans="1:1">
      <c r="A69" s="28"/>
    </row>
    <row r="70" spans="1:1">
      <c r="A70" s="28"/>
    </row>
    <row r="71" spans="1:1">
      <c r="A71" s="28"/>
    </row>
    <row r="72" spans="1:1">
      <c r="A72" s="28"/>
    </row>
    <row r="73" spans="1:1">
      <c r="A73" s="28"/>
    </row>
    <row r="74" spans="1:1">
      <c r="A74" s="28"/>
    </row>
    <row r="75" spans="1:1">
      <c r="A75" s="28"/>
    </row>
    <row r="76" spans="1:1">
      <c r="A76" s="28"/>
    </row>
    <row r="77" spans="1:1">
      <c r="A77" s="28"/>
    </row>
    <row r="78" spans="1:1">
      <c r="A78" s="28"/>
    </row>
    <row r="79" spans="1:1">
      <c r="A79" s="28"/>
    </row>
    <row r="80" spans="1:1">
      <c r="A80" s="28"/>
    </row>
    <row r="81" spans="1:1">
      <c r="A81" s="28"/>
    </row>
    <row r="82" spans="1:1">
      <c r="A82" s="28"/>
    </row>
    <row r="83" spans="1:1">
      <c r="A83" s="28"/>
    </row>
    <row r="84" spans="1:1">
      <c r="A84" s="28"/>
    </row>
    <row r="85" spans="1:1">
      <c r="A85" s="28"/>
    </row>
    <row r="86" spans="1:1">
      <c r="A86" s="28"/>
    </row>
    <row r="87" spans="1:1">
      <c r="A87" s="28"/>
    </row>
    <row r="88" spans="1:1">
      <c r="A88" s="28"/>
    </row>
    <row r="89" spans="1:1">
      <c r="A89" s="28"/>
    </row>
    <row r="90" spans="1:1">
      <c r="A90" s="28"/>
    </row>
    <row r="91" spans="1:1">
      <c r="A91" s="28"/>
    </row>
    <row r="92" spans="1:1">
      <c r="A92" s="28"/>
    </row>
    <row r="93" spans="1:1">
      <c r="A93" s="28"/>
    </row>
    <row r="94" spans="1:1">
      <c r="A94" s="28"/>
    </row>
    <row r="95" spans="1:1">
      <c r="A95" s="28"/>
    </row>
    <row r="96" spans="1:1">
      <c r="A96" s="28"/>
    </row>
    <row r="97" spans="1:1">
      <c r="A97" s="28"/>
    </row>
    <row r="98" spans="1:1">
      <c r="A98" s="28"/>
    </row>
    <row r="99" spans="1:1">
      <c r="A99" s="28"/>
    </row>
    <row r="100" spans="1:1">
      <c r="A100" s="28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  <row r="118" spans="1:1">
      <c r="A118" s="28"/>
    </row>
    <row r="119" spans="1:1">
      <c r="A119" s="28"/>
    </row>
    <row r="120" spans="1:1">
      <c r="A120" s="28"/>
    </row>
    <row r="121" spans="1:1">
      <c r="A121" s="28"/>
    </row>
    <row r="122" spans="1:1">
      <c r="A122" s="28"/>
    </row>
    <row r="123" spans="1:1">
      <c r="A123" s="28"/>
    </row>
    <row r="124" spans="1:1">
      <c r="A124" s="28"/>
    </row>
    <row r="125" spans="1:1">
      <c r="A125" s="28"/>
    </row>
    <row r="126" spans="1:1">
      <c r="A126" s="28"/>
    </row>
    <row r="127" spans="1:1">
      <c r="A127" s="28"/>
    </row>
    <row r="128" spans="1:1">
      <c r="A128" s="28"/>
    </row>
    <row r="129" spans="1:1">
      <c r="A129" s="28"/>
    </row>
    <row r="130" spans="1:1">
      <c r="A130" s="28"/>
    </row>
    <row r="131" spans="1:1">
      <c r="A131" s="28"/>
    </row>
    <row r="132" spans="1:1">
      <c r="A132" s="28"/>
    </row>
    <row r="133" spans="1:1">
      <c r="A133" s="28"/>
    </row>
    <row r="134" spans="1:1">
      <c r="A134" s="28"/>
    </row>
    <row r="135" spans="1:1">
      <c r="A135" s="28"/>
    </row>
    <row r="136" spans="1:1">
      <c r="A136" s="28"/>
    </row>
    <row r="137" spans="1:1">
      <c r="A137" s="28"/>
    </row>
    <row r="138" spans="1:1">
      <c r="A138" s="28"/>
    </row>
    <row r="139" spans="1:1">
      <c r="A139" s="28"/>
    </row>
    <row r="140" spans="1:1">
      <c r="A140" s="28"/>
    </row>
    <row r="141" spans="1:1">
      <c r="A141" s="28"/>
    </row>
    <row r="142" spans="1:1">
      <c r="A142" s="28"/>
    </row>
    <row r="143" spans="1:1">
      <c r="A143" s="28"/>
    </row>
    <row r="144" spans="1:1">
      <c r="A144" s="28"/>
    </row>
    <row r="145" spans="1:1">
      <c r="A145" s="28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8"/>
    </row>
    <row r="160" spans="1:1">
      <c r="A160" s="28"/>
    </row>
    <row r="161" spans="1:1">
      <c r="A161" s="28"/>
    </row>
    <row r="162" spans="1:1">
      <c r="A162" s="28"/>
    </row>
    <row r="163" spans="1:1">
      <c r="A163" s="28"/>
    </row>
    <row r="164" spans="1:1">
      <c r="A164" s="28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  <row r="170" spans="1:1">
      <c r="A170" s="28"/>
    </row>
    <row r="171" spans="1:1">
      <c r="A171" s="28"/>
    </row>
    <row r="172" spans="1:1">
      <c r="A172" s="28"/>
    </row>
    <row r="173" spans="1:1">
      <c r="A173" s="28"/>
    </row>
    <row r="174" spans="1:1">
      <c r="A174" s="28"/>
    </row>
    <row r="175" spans="1:1">
      <c r="A175" s="2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2024-12-30T07:29:23Z</cp:lastPrinted>
  <dcterms:created xsi:type="dcterms:W3CDTF">2023-12-29T19:21:00Z</dcterms:created>
  <dcterms:modified xsi:type="dcterms:W3CDTF">2026-01-18T11:58:08Z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