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Report!$A$2:$N$58</definedName>
  </definedNames>
  <calcPr calcId="152511"/>
</workbook>
</file>

<file path=xl/calcChain.xml><?xml version="1.0" encoding="utf-8"?>
<calcChain xmlns="http://schemas.openxmlformats.org/spreadsheetml/2006/main">
  <c r="B25" i="1" l="1"/>
  <c r="C25" i="1"/>
  <c r="B51" i="1" l="1"/>
  <c r="B50" i="1"/>
  <c r="B49" i="1"/>
  <c r="B48" i="1"/>
  <c r="B47" i="1"/>
  <c r="B46" i="1"/>
  <c r="B45" i="1"/>
  <c r="B44" i="1"/>
  <c r="O32" i="2" l="1"/>
  <c r="AH7" i="2" l="1"/>
  <c r="G4" i="7" l="1"/>
  <c r="I4" i="7"/>
  <c r="J4" i="7" s="1"/>
  <c r="G5" i="7"/>
  <c r="I5" i="7" s="1"/>
  <c r="G6" i="7"/>
  <c r="I6" i="7" s="1"/>
  <c r="G7" i="7"/>
  <c r="I7" i="7"/>
  <c r="K7" i="7" s="1"/>
  <c r="G8" i="7"/>
  <c r="I8" i="7" s="1"/>
  <c r="J8" i="7" s="1"/>
  <c r="G9" i="7"/>
  <c r="I9" i="7" s="1"/>
  <c r="G10" i="7"/>
  <c r="I10" i="7" s="1"/>
  <c r="G11" i="7"/>
  <c r="I11" i="7" s="1"/>
  <c r="G12" i="7"/>
  <c r="I12" i="7" s="1"/>
  <c r="J12" i="7" s="1"/>
  <c r="G13" i="7"/>
  <c r="I13" i="7" s="1"/>
  <c r="G14" i="7"/>
  <c r="I14" i="7" s="1"/>
  <c r="G15" i="7"/>
  <c r="I15" i="7" s="1"/>
  <c r="K15" i="7" s="1"/>
  <c r="G16" i="7"/>
  <c r="I16" i="7" s="1"/>
  <c r="J16" i="7" s="1"/>
  <c r="G17" i="7"/>
  <c r="I17" i="7" s="1"/>
  <c r="G18" i="7"/>
  <c r="I18" i="7"/>
  <c r="L18" i="7" s="1"/>
  <c r="G19" i="7"/>
  <c r="I19" i="7" s="1"/>
  <c r="K19" i="7" s="1"/>
  <c r="G20" i="7"/>
  <c r="I20" i="7"/>
  <c r="J20" i="7" s="1"/>
  <c r="G21" i="7"/>
  <c r="I21" i="7" s="1"/>
  <c r="G22" i="7"/>
  <c r="I22" i="7" s="1"/>
  <c r="G23" i="7"/>
  <c r="I23" i="7" s="1"/>
  <c r="G24" i="7"/>
  <c r="I24" i="7" s="1"/>
  <c r="J24" i="7" s="1"/>
  <c r="G25" i="7"/>
  <c r="I25" i="7" s="1"/>
  <c r="G26" i="7"/>
  <c r="I26" i="7" s="1"/>
  <c r="L26" i="7" s="1"/>
  <c r="G27" i="7"/>
  <c r="I27" i="7"/>
  <c r="K27" i="7" s="1"/>
  <c r="G28" i="7"/>
  <c r="I28" i="7"/>
  <c r="J28" i="7" s="1"/>
  <c r="G29" i="7"/>
  <c r="I29" i="7" s="1"/>
  <c r="G30" i="7"/>
  <c r="I30" i="7" s="1"/>
  <c r="G31" i="7"/>
  <c r="I31" i="7" s="1"/>
  <c r="G32" i="7"/>
  <c r="I32" i="7" s="1"/>
  <c r="J32" i="7" s="1"/>
  <c r="G33" i="7"/>
  <c r="I33" i="7" s="1"/>
  <c r="G34" i="7"/>
  <c r="I34" i="7"/>
  <c r="L34" i="7" s="1"/>
  <c r="G35" i="7"/>
  <c r="I35" i="7"/>
  <c r="K35" i="7" s="1"/>
  <c r="G36" i="7"/>
  <c r="I36" i="7" s="1"/>
  <c r="J36" i="7" s="1"/>
  <c r="G37" i="7"/>
  <c r="I37" i="7" s="1"/>
  <c r="G38" i="7"/>
  <c r="I38" i="7" s="1"/>
  <c r="G39" i="7"/>
  <c r="I39" i="7" s="1"/>
  <c r="G40" i="7"/>
  <c r="I40" i="7" s="1"/>
  <c r="J40" i="7" s="1"/>
  <c r="G41" i="7"/>
  <c r="I41" i="7" s="1"/>
  <c r="G42" i="7"/>
  <c r="I42" i="7"/>
  <c r="L42" i="7" s="1"/>
  <c r="G43" i="7"/>
  <c r="I43" i="7" s="1"/>
  <c r="K43" i="7" s="1"/>
  <c r="G44" i="7"/>
  <c r="I44" i="7"/>
  <c r="J44" i="7" s="1"/>
  <c r="G45" i="7"/>
  <c r="I45" i="7" s="1"/>
  <c r="G46" i="7"/>
  <c r="I46" i="7" s="1"/>
  <c r="G47" i="7"/>
  <c r="I47" i="7" s="1"/>
  <c r="L14" i="7" l="1"/>
  <c r="J14" i="7"/>
  <c r="J7" i="7"/>
  <c r="K39" i="7"/>
  <c r="J39" i="7"/>
  <c r="L38" i="7"/>
  <c r="K38" i="7"/>
  <c r="J38" i="7"/>
  <c r="K47" i="7"/>
  <c r="J47" i="7"/>
  <c r="L10" i="7"/>
  <c r="J10" i="7"/>
  <c r="K10" i="7"/>
  <c r="L30" i="7"/>
  <c r="J30" i="7"/>
  <c r="K30" i="7"/>
  <c r="K11" i="7"/>
  <c r="J11" i="7"/>
  <c r="L46" i="7"/>
  <c r="J46" i="7"/>
  <c r="K46" i="7"/>
  <c r="K23" i="7"/>
  <c r="J23" i="7"/>
  <c r="K31" i="7"/>
  <c r="J31" i="7"/>
  <c r="L22" i="7"/>
  <c r="J22" i="7"/>
  <c r="K22" i="7"/>
  <c r="J43" i="7"/>
  <c r="J42" i="7"/>
  <c r="J35" i="7"/>
  <c r="J34" i="7"/>
  <c r="J27" i="7"/>
  <c r="J26" i="7"/>
  <c r="J19" i="7"/>
  <c r="J18" i="7"/>
  <c r="K14" i="7"/>
  <c r="K42" i="7"/>
  <c r="K34" i="7"/>
  <c r="K26" i="7"/>
  <c r="K18" i="7"/>
  <c r="L33" i="7"/>
  <c r="J33" i="7"/>
  <c r="K33" i="7"/>
  <c r="J29" i="7"/>
  <c r="L29" i="7"/>
  <c r="K29" i="7"/>
  <c r="J21" i="7"/>
  <c r="L21" i="7"/>
  <c r="K21" i="7"/>
  <c r="K5" i="7"/>
  <c r="J5" i="7"/>
  <c r="L5" i="7"/>
  <c r="L25" i="7"/>
  <c r="K25" i="7"/>
  <c r="J25" i="7"/>
  <c r="J17" i="7"/>
  <c r="K17" i="7"/>
  <c r="L17" i="7"/>
  <c r="K13" i="7"/>
  <c r="J13" i="7"/>
  <c r="L13" i="7"/>
  <c r="L6" i="7"/>
  <c r="J6" i="7"/>
  <c r="K6" i="7"/>
  <c r="L45" i="7"/>
  <c r="K45" i="7"/>
  <c r="J45" i="7"/>
  <c r="L37" i="7"/>
  <c r="J37" i="7"/>
  <c r="K37" i="7"/>
  <c r="K9" i="7"/>
  <c r="J9" i="7"/>
  <c r="L9" i="7"/>
  <c r="J41" i="7"/>
  <c r="K41" i="7"/>
  <c r="L41" i="7"/>
  <c r="J15" i="7"/>
  <c r="L44" i="7"/>
  <c r="L40" i="7"/>
  <c r="L36" i="7"/>
  <c r="L32" i="7"/>
  <c r="L4" i="7"/>
  <c r="L39" i="7"/>
  <c r="L35" i="7"/>
  <c r="K28" i="7"/>
  <c r="K20" i="7"/>
  <c r="L11" i="7"/>
  <c r="K8" i="7"/>
  <c r="K4" i="7"/>
  <c r="L28" i="7"/>
  <c r="L24" i="7"/>
  <c r="L20" i="7"/>
  <c r="L16" i="7"/>
  <c r="L12" i="7"/>
  <c r="L8" i="7"/>
  <c r="L47" i="7"/>
  <c r="K44" i="7"/>
  <c r="L43" i="7"/>
  <c r="K40" i="7"/>
  <c r="K36" i="7"/>
  <c r="K32" i="7"/>
  <c r="L31" i="7"/>
  <c r="L27" i="7"/>
  <c r="K24" i="7"/>
  <c r="L23" i="7"/>
  <c r="L19" i="7"/>
  <c r="K16" i="7"/>
  <c r="L15" i="7"/>
  <c r="K12" i="7"/>
  <c r="L7" i="7"/>
  <c r="AH3" i="2" l="1"/>
  <c r="AH4" i="2"/>
  <c r="AH5" i="2"/>
  <c r="AH6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G3" i="2" l="1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O3" i="2"/>
  <c r="Q3" i="2" s="1"/>
  <c r="W3" i="2"/>
  <c r="Y3" i="2" s="1"/>
  <c r="AJ3" i="2"/>
  <c r="O4" i="2"/>
  <c r="Q4" i="2" s="1"/>
  <c r="W4" i="2"/>
  <c r="Y4" i="2" s="1"/>
  <c r="AJ4" i="2"/>
  <c r="O5" i="2"/>
  <c r="Q5" i="2" s="1"/>
  <c r="W5" i="2"/>
  <c r="Y5" i="2" s="1"/>
  <c r="AJ5" i="2"/>
  <c r="O6" i="2"/>
  <c r="Q6" i="2" s="1"/>
  <c r="W6" i="2"/>
  <c r="Y6" i="2" s="1"/>
  <c r="AA6" i="2" s="1"/>
  <c r="AJ6" i="2"/>
  <c r="O7" i="2"/>
  <c r="Q7" i="2" s="1"/>
  <c r="W7" i="2"/>
  <c r="Y7" i="2" s="1"/>
  <c r="AB7" i="2" s="1"/>
  <c r="AJ7" i="2"/>
  <c r="O8" i="2"/>
  <c r="Q8" i="2" s="1"/>
  <c r="W8" i="2"/>
  <c r="Y8" i="2" s="1"/>
  <c r="AJ8" i="2"/>
  <c r="AB5" i="2" l="1"/>
  <c r="AA5" i="2"/>
  <c r="AA8" i="2"/>
  <c r="AB8" i="2"/>
  <c r="AA4" i="2"/>
  <c r="AB4" i="2"/>
  <c r="AB3" i="2"/>
  <c r="AA7" i="2"/>
  <c r="AB6" i="2"/>
  <c r="AA3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E7" i="8" l="1"/>
  <c r="G41" i="1" l="1"/>
  <c r="E41" i="1"/>
  <c r="D41" i="1"/>
  <c r="G40" i="1" l="1"/>
  <c r="E40" i="1"/>
  <c r="D40" i="1"/>
  <c r="C40" i="1"/>
  <c r="C41" i="1"/>
  <c r="B41" i="1"/>
  <c r="B40" i="1"/>
  <c r="EP52" i="2"/>
  <c r="ER52" i="2" s="1"/>
  <c r="EH52" i="2"/>
  <c r="EJ52" i="2" s="1"/>
  <c r="EP51" i="2"/>
  <c r="ER51" i="2" s="1"/>
  <c r="EH51" i="2"/>
  <c r="EJ51" i="2" s="1"/>
  <c r="EP50" i="2"/>
  <c r="ER50" i="2" s="1"/>
  <c r="EH50" i="2"/>
  <c r="EJ50" i="2" s="1"/>
  <c r="EP49" i="2"/>
  <c r="ER49" i="2" s="1"/>
  <c r="EH49" i="2"/>
  <c r="EJ49" i="2" s="1"/>
  <c r="EP48" i="2"/>
  <c r="ER48" i="2" s="1"/>
  <c r="EH48" i="2"/>
  <c r="EJ48" i="2" s="1"/>
  <c r="EP47" i="2"/>
  <c r="ER47" i="2" s="1"/>
  <c r="EH47" i="2"/>
  <c r="EJ47" i="2" s="1"/>
  <c r="EP46" i="2"/>
  <c r="ER46" i="2" s="1"/>
  <c r="EH46" i="2"/>
  <c r="EJ46" i="2" s="1"/>
  <c r="EP45" i="2"/>
  <c r="ER45" i="2" s="1"/>
  <c r="EH45" i="2"/>
  <c r="EJ45" i="2" s="1"/>
  <c r="F40" i="1" l="1"/>
  <c r="R12" i="8"/>
  <c r="R28" i="8"/>
  <c r="R32" i="8"/>
  <c r="R48" i="8"/>
  <c r="R50" i="8"/>
  <c r="R44" i="8"/>
  <c r="R16" i="8"/>
  <c r="R20" i="8"/>
  <c r="R36" i="8"/>
  <c r="R45" i="8"/>
  <c r="R6" i="8"/>
  <c r="R8" i="8"/>
  <c r="R24" i="8"/>
  <c r="R40" i="8"/>
  <c r="R47" i="8"/>
  <c r="R49" i="8"/>
  <c r="R51" i="8"/>
  <c r="R14" i="8"/>
  <c r="R18" i="8"/>
  <c r="R9" i="8"/>
  <c r="R13" i="8"/>
  <c r="R17" i="8"/>
  <c r="R21" i="8"/>
  <c r="R25" i="8"/>
  <c r="R29" i="8"/>
  <c r="R33" i="8"/>
  <c r="R37" i="8"/>
  <c r="R41" i="8"/>
  <c r="R10" i="8"/>
  <c r="R38" i="8"/>
  <c r="S49" i="8"/>
  <c r="S50" i="8"/>
  <c r="S51" i="8"/>
  <c r="R7" i="8"/>
  <c r="R22" i="8"/>
  <c r="R26" i="8"/>
  <c r="R30" i="8"/>
  <c r="R34" i="8"/>
  <c r="R42" i="8"/>
  <c r="R46" i="8"/>
  <c r="R11" i="8"/>
  <c r="R15" i="8"/>
  <c r="R19" i="8"/>
  <c r="R23" i="8"/>
  <c r="R27" i="8"/>
  <c r="R31" i="8"/>
  <c r="R35" i="8"/>
  <c r="R39" i="8"/>
  <c r="R43" i="8"/>
  <c r="H40" i="1"/>
  <c r="S48" i="8"/>
  <c r="S47" i="8"/>
  <c r="S5" i="8"/>
  <c r="S12" i="8"/>
  <c r="S16" i="8"/>
  <c r="S23" i="8"/>
  <c r="S31" i="8"/>
  <c r="S32" i="8"/>
  <c r="S35" i="8"/>
  <c r="S39" i="8"/>
  <c r="S44" i="8"/>
  <c r="S4" i="8"/>
  <c r="S9" i="8"/>
  <c r="S10" i="8"/>
  <c r="S13" i="8"/>
  <c r="S14" i="8"/>
  <c r="S17" i="8"/>
  <c r="S18" i="8"/>
  <c r="S22" i="8"/>
  <c r="S25" i="8"/>
  <c r="S26" i="8"/>
  <c r="S29" i="8"/>
  <c r="S30" i="8"/>
  <c r="S33" i="8"/>
  <c r="S34" i="8"/>
  <c r="S37" i="8"/>
  <c r="S38" i="8"/>
  <c r="S41" i="8"/>
  <c r="S42" i="8"/>
  <c r="S46" i="8"/>
  <c r="S3" i="8"/>
  <c r="S6" i="8"/>
  <c r="S45" i="8"/>
  <c r="S24" i="8"/>
  <c r="S43" i="8"/>
  <c r="S8" i="8"/>
  <c r="S15" i="8"/>
  <c r="S19" i="8"/>
  <c r="S28" i="8"/>
  <c r="S36" i="8"/>
  <c r="S7" i="8"/>
  <c r="S11" i="8"/>
  <c r="S20" i="8"/>
  <c r="S27" i="8"/>
  <c r="S40" i="8"/>
  <c r="S21" i="8"/>
  <c r="R2" i="8"/>
  <c r="R3" i="8"/>
  <c r="R5" i="8"/>
  <c r="R4" i="8"/>
  <c r="F41" i="1"/>
  <c r="M11" i="1"/>
  <c r="B10" i="1"/>
  <c r="K40" i="1" l="1"/>
  <c r="J40" i="1"/>
  <c r="I41" i="1"/>
  <c r="S2" i="8"/>
  <c r="K41" i="1"/>
  <c r="J41" i="1"/>
  <c r="H41" i="1"/>
  <c r="I40" i="1" l="1"/>
  <c r="G37" i="1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CT44" i="2" l="1"/>
  <c r="CV44" i="2" s="1"/>
  <c r="CT45" i="2"/>
  <c r="CV45" i="2" s="1"/>
  <c r="CT46" i="2"/>
  <c r="CV46" i="2" s="1"/>
  <c r="CT47" i="2"/>
  <c r="CV47" i="2" s="1"/>
  <c r="CT48" i="2"/>
  <c r="CT49" i="2"/>
  <c r="CV49" i="2" s="1"/>
  <c r="CT50" i="2"/>
  <c r="CV50" i="2" s="1"/>
  <c r="CT51" i="2"/>
  <c r="CV51" i="2" s="1"/>
  <c r="CT52" i="2"/>
  <c r="CV52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6" i="1"/>
  <c r="E54" i="1"/>
  <c r="F47" i="1"/>
  <c r="F46" i="1"/>
  <c r="F45" i="1"/>
  <c r="F44" i="1"/>
  <c r="G39" i="1"/>
  <c r="E39" i="1"/>
  <c r="D39" i="1"/>
  <c r="C39" i="1"/>
  <c r="B39" i="1"/>
  <c r="G38" i="1"/>
  <c r="E38" i="1"/>
  <c r="D38" i="1"/>
  <c r="C38" i="1"/>
  <c r="B38" i="1"/>
  <c r="E37" i="1"/>
  <c r="D37" i="1"/>
  <c r="C37" i="1"/>
  <c r="B37" i="1"/>
  <c r="G36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G24" i="1"/>
  <c r="F24" i="1"/>
  <c r="E24" i="1"/>
  <c r="D24" i="1"/>
  <c r="C24" i="1"/>
  <c r="B24" i="1"/>
  <c r="B14" i="1"/>
  <c r="M13" i="1"/>
  <c r="B13" i="1"/>
  <c r="M12" i="1"/>
  <c r="B12" i="1"/>
  <c r="DZ52" i="2"/>
  <c r="EB52" i="2" s="1"/>
  <c r="DR52" i="2"/>
  <c r="DT52" i="2" s="1"/>
  <c r="DJ52" i="2"/>
  <c r="DL52" i="2" s="1"/>
  <c r="DB52" i="2"/>
  <c r="DD52" i="2" s="1"/>
  <c r="CL52" i="2"/>
  <c r="CN52" i="2" s="1"/>
  <c r="CD52" i="2"/>
  <c r="CF52" i="2" s="1"/>
  <c r="BV52" i="2"/>
  <c r="BX52" i="2" s="1"/>
  <c r="BN52" i="2"/>
  <c r="BP52" i="2" s="1"/>
  <c r="BF52" i="2"/>
  <c r="BH52" i="2" s="1"/>
  <c r="AX52" i="2"/>
  <c r="AZ52" i="2" s="1"/>
  <c r="AP52" i="2"/>
  <c r="AR52" i="2" s="1"/>
  <c r="AH52" i="2"/>
  <c r="AJ52" i="2" s="1"/>
  <c r="W52" i="2"/>
  <c r="Y52" i="2" s="1"/>
  <c r="O52" i="2"/>
  <c r="Q52" i="2" s="1"/>
  <c r="DZ51" i="2"/>
  <c r="EB51" i="2" s="1"/>
  <c r="DR51" i="2"/>
  <c r="DT51" i="2" s="1"/>
  <c r="DJ51" i="2"/>
  <c r="DL51" i="2" s="1"/>
  <c r="DB51" i="2"/>
  <c r="DD51" i="2" s="1"/>
  <c r="CL51" i="2"/>
  <c r="CN51" i="2" s="1"/>
  <c r="CD51" i="2"/>
  <c r="CF51" i="2" s="1"/>
  <c r="BV51" i="2"/>
  <c r="BX51" i="2" s="1"/>
  <c r="BN51" i="2"/>
  <c r="BP51" i="2" s="1"/>
  <c r="BF51" i="2"/>
  <c r="BH51" i="2" s="1"/>
  <c r="AX51" i="2"/>
  <c r="AZ51" i="2" s="1"/>
  <c r="AP51" i="2"/>
  <c r="AR51" i="2" s="1"/>
  <c r="AH51" i="2"/>
  <c r="AJ51" i="2" s="1"/>
  <c r="W51" i="2"/>
  <c r="Y51" i="2" s="1"/>
  <c r="O51" i="2"/>
  <c r="Q51" i="2" s="1"/>
  <c r="DZ50" i="2"/>
  <c r="EB50" i="2" s="1"/>
  <c r="DR50" i="2"/>
  <c r="DT50" i="2" s="1"/>
  <c r="DJ50" i="2"/>
  <c r="DL50" i="2" s="1"/>
  <c r="DB50" i="2"/>
  <c r="DD50" i="2" s="1"/>
  <c r="CL50" i="2"/>
  <c r="CN50" i="2" s="1"/>
  <c r="CD50" i="2"/>
  <c r="CF50" i="2" s="1"/>
  <c r="BV50" i="2"/>
  <c r="BX50" i="2" s="1"/>
  <c r="BN50" i="2"/>
  <c r="BP50" i="2" s="1"/>
  <c r="BF50" i="2"/>
  <c r="BH50" i="2" s="1"/>
  <c r="AX50" i="2"/>
  <c r="AZ50" i="2" s="1"/>
  <c r="AP50" i="2"/>
  <c r="AR50" i="2" s="1"/>
  <c r="AH50" i="2"/>
  <c r="AJ50" i="2" s="1"/>
  <c r="W50" i="2"/>
  <c r="Y50" i="2" s="1"/>
  <c r="O50" i="2"/>
  <c r="Q50" i="2" s="1"/>
  <c r="I50" i="2"/>
  <c r="DZ49" i="2"/>
  <c r="EB49" i="2" s="1"/>
  <c r="DR49" i="2"/>
  <c r="DT49" i="2" s="1"/>
  <c r="DJ49" i="2"/>
  <c r="DL49" i="2" s="1"/>
  <c r="DB49" i="2"/>
  <c r="DD49" i="2" s="1"/>
  <c r="CL49" i="2"/>
  <c r="CN49" i="2" s="1"/>
  <c r="CD49" i="2"/>
  <c r="CF49" i="2" s="1"/>
  <c r="BV49" i="2"/>
  <c r="BX49" i="2" s="1"/>
  <c r="BN49" i="2"/>
  <c r="BP49" i="2" s="1"/>
  <c r="BF49" i="2"/>
  <c r="BH49" i="2" s="1"/>
  <c r="AX49" i="2"/>
  <c r="AZ49" i="2" s="1"/>
  <c r="AP49" i="2"/>
  <c r="AR49" i="2" s="1"/>
  <c r="AH49" i="2"/>
  <c r="AJ49" i="2" s="1"/>
  <c r="W49" i="2"/>
  <c r="Y49" i="2" s="1"/>
  <c r="O49" i="2"/>
  <c r="Q49" i="2" s="1"/>
  <c r="DZ48" i="2"/>
  <c r="EB48" i="2" s="1"/>
  <c r="DR48" i="2"/>
  <c r="DT48" i="2" s="1"/>
  <c r="DJ48" i="2"/>
  <c r="DL48" i="2" s="1"/>
  <c r="DB48" i="2"/>
  <c r="DD48" i="2" s="1"/>
  <c r="CV48" i="2"/>
  <c r="CL48" i="2"/>
  <c r="CN48" i="2" s="1"/>
  <c r="CD48" i="2"/>
  <c r="CF48" i="2" s="1"/>
  <c r="BV48" i="2"/>
  <c r="BX48" i="2" s="1"/>
  <c r="BN48" i="2"/>
  <c r="BP48" i="2" s="1"/>
  <c r="BF48" i="2"/>
  <c r="BH48" i="2" s="1"/>
  <c r="AX48" i="2"/>
  <c r="AZ48" i="2" s="1"/>
  <c r="AP48" i="2"/>
  <c r="AR48" i="2" s="1"/>
  <c r="AH48" i="2"/>
  <c r="AJ48" i="2" s="1"/>
  <c r="W48" i="2"/>
  <c r="Y48" i="2" s="1"/>
  <c r="O48" i="2"/>
  <c r="Q48" i="2" s="1"/>
  <c r="DZ47" i="2"/>
  <c r="EB47" i="2" s="1"/>
  <c r="DR47" i="2"/>
  <c r="DT47" i="2" s="1"/>
  <c r="DJ47" i="2"/>
  <c r="DL47" i="2" s="1"/>
  <c r="DB47" i="2"/>
  <c r="DD47" i="2" s="1"/>
  <c r="CL47" i="2"/>
  <c r="CN47" i="2" s="1"/>
  <c r="CD47" i="2"/>
  <c r="CF47" i="2" s="1"/>
  <c r="BV47" i="2"/>
  <c r="BX47" i="2" s="1"/>
  <c r="BN47" i="2"/>
  <c r="BP47" i="2" s="1"/>
  <c r="BF47" i="2"/>
  <c r="BH47" i="2" s="1"/>
  <c r="AX47" i="2"/>
  <c r="AZ47" i="2" s="1"/>
  <c r="AP47" i="2"/>
  <c r="AR47" i="2" s="1"/>
  <c r="AH47" i="2"/>
  <c r="AJ47" i="2" s="1"/>
  <c r="W47" i="2"/>
  <c r="Y47" i="2" s="1"/>
  <c r="O47" i="2"/>
  <c r="Q47" i="2" s="1"/>
  <c r="DZ46" i="2"/>
  <c r="EB46" i="2" s="1"/>
  <c r="DR46" i="2"/>
  <c r="DT46" i="2" s="1"/>
  <c r="DJ46" i="2"/>
  <c r="DL46" i="2" s="1"/>
  <c r="DB46" i="2"/>
  <c r="DD46" i="2" s="1"/>
  <c r="CD46" i="2"/>
  <c r="CF46" i="2" s="1"/>
  <c r="BV46" i="2"/>
  <c r="BX46" i="2" s="1"/>
  <c r="BN46" i="2"/>
  <c r="BP46" i="2" s="1"/>
  <c r="BF46" i="2"/>
  <c r="BH46" i="2" s="1"/>
  <c r="AX46" i="2"/>
  <c r="AZ46" i="2" s="1"/>
  <c r="AP46" i="2"/>
  <c r="AR46" i="2" s="1"/>
  <c r="AH46" i="2"/>
  <c r="AJ46" i="2" s="1"/>
  <c r="W46" i="2"/>
  <c r="Y46" i="2" s="1"/>
  <c r="O46" i="2"/>
  <c r="Q46" i="2" s="1"/>
  <c r="DZ45" i="2"/>
  <c r="EB45" i="2" s="1"/>
  <c r="DR45" i="2"/>
  <c r="DT45" i="2" s="1"/>
  <c r="DJ45" i="2"/>
  <c r="DL45" i="2" s="1"/>
  <c r="DB45" i="2"/>
  <c r="DD45" i="2" s="1"/>
  <c r="CD45" i="2"/>
  <c r="CF45" i="2" s="1"/>
  <c r="BV45" i="2"/>
  <c r="BX45" i="2" s="1"/>
  <c r="BN45" i="2"/>
  <c r="BP45" i="2" s="1"/>
  <c r="BF45" i="2"/>
  <c r="BH45" i="2" s="1"/>
  <c r="AX45" i="2"/>
  <c r="AZ45" i="2" s="1"/>
  <c r="AP45" i="2"/>
  <c r="AR45" i="2" s="1"/>
  <c r="AJ45" i="2"/>
  <c r="W45" i="2"/>
  <c r="Y45" i="2" s="1"/>
  <c r="O45" i="2"/>
  <c r="Q45" i="2" s="1"/>
  <c r="DR44" i="2"/>
  <c r="DT44" i="2" s="1"/>
  <c r="DJ44" i="2"/>
  <c r="DL44" i="2" s="1"/>
  <c r="DB44" i="2"/>
  <c r="DD44" i="2" s="1"/>
  <c r="CD44" i="2"/>
  <c r="CF44" i="2" s="1"/>
  <c r="BV44" i="2"/>
  <c r="BX44" i="2" s="1"/>
  <c r="BN44" i="2"/>
  <c r="BP44" i="2" s="1"/>
  <c r="BF44" i="2"/>
  <c r="BH44" i="2" s="1"/>
  <c r="AX44" i="2"/>
  <c r="AZ44" i="2" s="1"/>
  <c r="AP44" i="2"/>
  <c r="AR44" i="2" s="1"/>
  <c r="AJ44" i="2"/>
  <c r="W44" i="2"/>
  <c r="Y44" i="2" s="1"/>
  <c r="O44" i="2"/>
  <c r="Q44" i="2" s="1"/>
  <c r="CD43" i="2"/>
  <c r="CF43" i="2" s="1"/>
  <c r="AP43" i="2"/>
  <c r="AR43" i="2" s="1"/>
  <c r="AJ43" i="2"/>
  <c r="W43" i="2"/>
  <c r="Y43" i="2" s="1"/>
  <c r="O43" i="2"/>
  <c r="Q43" i="2" s="1"/>
  <c r="AP42" i="2"/>
  <c r="AR42" i="2" s="1"/>
  <c r="AJ42" i="2"/>
  <c r="W42" i="2"/>
  <c r="Y42" i="2" s="1"/>
  <c r="O42" i="2"/>
  <c r="Q42" i="2" s="1"/>
  <c r="AP41" i="2"/>
  <c r="AR41" i="2" s="1"/>
  <c r="AJ41" i="2"/>
  <c r="W41" i="2"/>
  <c r="Y41" i="2" s="1"/>
  <c r="O41" i="2"/>
  <c r="Q41" i="2" s="1"/>
  <c r="AP40" i="2"/>
  <c r="AR40" i="2" s="1"/>
  <c r="AJ40" i="2"/>
  <c r="W40" i="2"/>
  <c r="Y40" i="2" s="1"/>
  <c r="O40" i="2"/>
  <c r="Q40" i="2" s="1"/>
  <c r="AP39" i="2"/>
  <c r="AR39" i="2" s="1"/>
  <c r="AJ39" i="2"/>
  <c r="W39" i="2"/>
  <c r="Y39" i="2" s="1"/>
  <c r="O39" i="2"/>
  <c r="Q39" i="2" s="1"/>
  <c r="AP38" i="2"/>
  <c r="AR38" i="2" s="1"/>
  <c r="AJ38" i="2"/>
  <c r="W38" i="2"/>
  <c r="Y38" i="2" s="1"/>
  <c r="O38" i="2"/>
  <c r="Q38" i="2" s="1"/>
  <c r="AP37" i="2"/>
  <c r="AR37" i="2" s="1"/>
  <c r="AJ37" i="2"/>
  <c r="W37" i="2"/>
  <c r="Y37" i="2" s="1"/>
  <c r="O37" i="2"/>
  <c r="Q37" i="2" s="1"/>
  <c r="AP36" i="2"/>
  <c r="AR36" i="2" s="1"/>
  <c r="AJ36" i="2"/>
  <c r="W36" i="2"/>
  <c r="Y36" i="2" s="1"/>
  <c r="O36" i="2"/>
  <c r="Q36" i="2" s="1"/>
  <c r="AP35" i="2"/>
  <c r="AR35" i="2" s="1"/>
  <c r="AJ35" i="2"/>
  <c r="W35" i="2"/>
  <c r="Y35" i="2" s="1"/>
  <c r="O35" i="2"/>
  <c r="Q35" i="2" s="1"/>
  <c r="AP34" i="2"/>
  <c r="AR34" i="2" s="1"/>
  <c r="AJ34" i="2"/>
  <c r="W34" i="2"/>
  <c r="Y34" i="2" s="1"/>
  <c r="O34" i="2"/>
  <c r="Q34" i="2" s="1"/>
  <c r="AP33" i="2"/>
  <c r="AR33" i="2" s="1"/>
  <c r="AJ33" i="2"/>
  <c r="W33" i="2"/>
  <c r="Y33" i="2" s="1"/>
  <c r="O33" i="2"/>
  <c r="Q33" i="2" s="1"/>
  <c r="AP32" i="2"/>
  <c r="AR32" i="2" s="1"/>
  <c r="AJ32" i="2"/>
  <c r="W32" i="2"/>
  <c r="Y32" i="2" s="1"/>
  <c r="Q32" i="2"/>
  <c r="AP31" i="2"/>
  <c r="AR31" i="2" s="1"/>
  <c r="AJ31" i="2"/>
  <c r="W31" i="2"/>
  <c r="Y31" i="2" s="1"/>
  <c r="O31" i="2"/>
  <c r="Q31" i="2" s="1"/>
  <c r="AP30" i="2"/>
  <c r="AR30" i="2" s="1"/>
  <c r="AJ30" i="2"/>
  <c r="W30" i="2"/>
  <c r="Y30" i="2" s="1"/>
  <c r="O30" i="2"/>
  <c r="Q30" i="2" s="1"/>
  <c r="AP29" i="2"/>
  <c r="AR29" i="2" s="1"/>
  <c r="AJ29" i="2"/>
  <c r="W29" i="2"/>
  <c r="Y29" i="2" s="1"/>
  <c r="O29" i="2"/>
  <c r="Q29" i="2" s="1"/>
  <c r="AP28" i="2"/>
  <c r="AR28" i="2" s="1"/>
  <c r="AJ28" i="2"/>
  <c r="W28" i="2"/>
  <c r="Y28" i="2" s="1"/>
  <c r="O28" i="2"/>
  <c r="Q28" i="2" s="1"/>
  <c r="AP27" i="2"/>
  <c r="AR27" i="2" s="1"/>
  <c r="AJ27" i="2"/>
  <c r="W27" i="2"/>
  <c r="Y27" i="2" s="1"/>
  <c r="O27" i="2"/>
  <c r="Q27" i="2" s="1"/>
  <c r="AP26" i="2"/>
  <c r="AR26" i="2" s="1"/>
  <c r="AJ26" i="2"/>
  <c r="W26" i="2"/>
  <c r="Y26" i="2" s="1"/>
  <c r="O26" i="2"/>
  <c r="Q26" i="2" s="1"/>
  <c r="AP25" i="2"/>
  <c r="AR25" i="2" s="1"/>
  <c r="AJ25" i="2"/>
  <c r="W25" i="2"/>
  <c r="Y25" i="2" s="1"/>
  <c r="O25" i="2"/>
  <c r="Q25" i="2" s="1"/>
  <c r="AP24" i="2"/>
  <c r="AR24" i="2" s="1"/>
  <c r="AJ24" i="2"/>
  <c r="W24" i="2"/>
  <c r="Y24" i="2" s="1"/>
  <c r="O24" i="2"/>
  <c r="Q24" i="2" s="1"/>
  <c r="AP23" i="2"/>
  <c r="AR23" i="2" s="1"/>
  <c r="AJ23" i="2"/>
  <c r="W23" i="2"/>
  <c r="Y23" i="2" s="1"/>
  <c r="O23" i="2"/>
  <c r="Q23" i="2" s="1"/>
  <c r="AP22" i="2"/>
  <c r="AR22" i="2" s="1"/>
  <c r="AJ22" i="2"/>
  <c r="Y22" i="2"/>
  <c r="Q22" i="2"/>
  <c r="AP21" i="2"/>
  <c r="AR21" i="2" s="1"/>
  <c r="AJ21" i="2"/>
  <c r="Y21" i="2"/>
  <c r="Q21" i="2"/>
  <c r="AP20" i="2"/>
  <c r="AR20" i="2" s="1"/>
  <c r="AJ20" i="2"/>
  <c r="Y20" i="2"/>
  <c r="Q20" i="2"/>
  <c r="AP19" i="2"/>
  <c r="AR19" i="2" s="1"/>
  <c r="AJ19" i="2"/>
  <c r="Y19" i="2"/>
  <c r="Q19" i="2"/>
  <c r="AP18" i="2"/>
  <c r="AR18" i="2" s="1"/>
  <c r="AJ18" i="2"/>
  <c r="Y18" i="2"/>
  <c r="Q18" i="2"/>
  <c r="AP17" i="2"/>
  <c r="AR17" i="2" s="1"/>
  <c r="AJ17" i="2"/>
  <c r="Y17" i="2"/>
  <c r="Q17" i="2"/>
  <c r="AP16" i="2"/>
  <c r="AR16" i="2" s="1"/>
  <c r="AJ16" i="2"/>
  <c r="Y16" i="2"/>
  <c r="Q16" i="2"/>
  <c r="AP15" i="2"/>
  <c r="AR15" i="2" s="1"/>
  <c r="AJ15" i="2"/>
  <c r="Y15" i="2"/>
  <c r="Q15" i="2"/>
  <c r="AP14" i="2"/>
  <c r="AR14" i="2" s="1"/>
  <c r="AJ14" i="2"/>
  <c r="Y14" i="2"/>
  <c r="Q14" i="2"/>
  <c r="AP13" i="2"/>
  <c r="AR13" i="2" s="1"/>
  <c r="AJ13" i="2"/>
  <c r="Y13" i="2"/>
  <c r="Q13" i="2"/>
  <c r="AP12" i="2"/>
  <c r="AR12" i="2" s="1"/>
  <c r="AJ12" i="2"/>
  <c r="Y12" i="2"/>
  <c r="Q12" i="2"/>
  <c r="AP11" i="2"/>
  <c r="AR11" i="2" s="1"/>
  <c r="AJ11" i="2"/>
  <c r="Y11" i="2"/>
  <c r="Q11" i="2"/>
  <c r="AP10" i="2"/>
  <c r="AR10" i="2" s="1"/>
  <c r="AJ10" i="2"/>
  <c r="Y10" i="2"/>
  <c r="Q10" i="2"/>
  <c r="AP9" i="2"/>
  <c r="AR9" i="2" s="1"/>
  <c r="AJ9" i="2"/>
  <c r="Y9" i="2"/>
  <c r="Q9" i="2"/>
  <c r="AP8" i="2"/>
  <c r="AR8" i="2" s="1"/>
  <c r="AP7" i="2"/>
  <c r="AR7" i="2" s="1"/>
  <c r="AP6" i="2"/>
  <c r="AR6" i="2" s="1"/>
  <c r="AP5" i="2"/>
  <c r="AR5" i="2" s="1"/>
  <c r="AP4" i="2"/>
  <c r="AR4" i="2" s="1"/>
  <c r="AP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N6" i="8" l="1"/>
  <c r="N7" i="8"/>
  <c r="L9" i="8"/>
  <c r="N10" i="8"/>
  <c r="L12" i="8"/>
  <c r="P12" i="8"/>
  <c r="N13" i="8"/>
  <c r="L15" i="8"/>
  <c r="P15" i="8"/>
  <c r="L18" i="8"/>
  <c r="P18" i="8"/>
  <c r="N20" i="8"/>
  <c r="P21" i="8"/>
  <c r="N23" i="8"/>
  <c r="L25" i="8"/>
  <c r="N26" i="8"/>
  <c r="L28" i="8"/>
  <c r="P28" i="8"/>
  <c r="N29" i="8"/>
  <c r="L31" i="8"/>
  <c r="P31" i="8"/>
  <c r="L34" i="8"/>
  <c r="P34" i="8"/>
  <c r="N36" i="8"/>
  <c r="P37" i="8"/>
  <c r="L40" i="8"/>
  <c r="P40" i="8"/>
  <c r="P42" i="8"/>
  <c r="L45" i="8"/>
  <c r="L47" i="8"/>
  <c r="P47" i="8"/>
  <c r="N49" i="8"/>
  <c r="L51" i="8"/>
  <c r="Q51" i="8"/>
  <c r="L8" i="8"/>
  <c r="P8" i="8"/>
  <c r="N9" i="8"/>
  <c r="L11" i="8"/>
  <c r="P11" i="8"/>
  <c r="L14" i="8"/>
  <c r="P14" i="8"/>
  <c r="N16" i="8"/>
  <c r="P17" i="8"/>
  <c r="N19" i="8"/>
  <c r="L21" i="8"/>
  <c r="N22" i="8"/>
  <c r="L24" i="8"/>
  <c r="P24" i="8"/>
  <c r="N25" i="8"/>
  <c r="L27" i="8"/>
  <c r="P27" i="8"/>
  <c r="L30" i="8"/>
  <c r="P30" i="8"/>
  <c r="N32" i="8"/>
  <c r="P33" i="8"/>
  <c r="N35" i="8"/>
  <c r="L37" i="8"/>
  <c r="P39" i="8"/>
  <c r="L42" i="8"/>
  <c r="L44" i="8"/>
  <c r="P44" i="8"/>
  <c r="P46" i="8"/>
  <c r="N48" i="8"/>
  <c r="P50" i="8"/>
  <c r="N51" i="8"/>
  <c r="P5" i="8"/>
  <c r="P6" i="8"/>
  <c r="L7" i="8"/>
  <c r="P7" i="8"/>
  <c r="L10" i="8"/>
  <c r="P10" i="8"/>
  <c r="N12" i="8"/>
  <c r="P13" i="8"/>
  <c r="N15" i="8"/>
  <c r="L17" i="8"/>
  <c r="N18" i="8"/>
  <c r="L20" i="8"/>
  <c r="P20" i="8"/>
  <c r="N21" i="8"/>
  <c r="L23" i="8"/>
  <c r="P23" i="8"/>
  <c r="L26" i="8"/>
  <c r="P26" i="8"/>
  <c r="N28" i="8"/>
  <c r="P29" i="8"/>
  <c r="N31" i="8"/>
  <c r="L33" i="8"/>
  <c r="N34" i="8"/>
  <c r="L36" i="8"/>
  <c r="P36" i="8"/>
  <c r="L39" i="8"/>
  <c r="P41" i="8"/>
  <c r="P43" i="8"/>
  <c r="L46" i="8"/>
  <c r="N47" i="8"/>
  <c r="P49" i="8"/>
  <c r="L50" i="8"/>
  <c r="N8" i="8"/>
  <c r="P9" i="8"/>
  <c r="N11" i="8"/>
  <c r="L13" i="8"/>
  <c r="N14" i="8"/>
  <c r="L16" i="8"/>
  <c r="P16" i="8"/>
  <c r="N17" i="8"/>
  <c r="L19" i="8"/>
  <c r="P19" i="8"/>
  <c r="L22" i="8"/>
  <c r="P22" i="8"/>
  <c r="N24" i="8"/>
  <c r="P25" i="8"/>
  <c r="N27" i="8"/>
  <c r="L29" i="8"/>
  <c r="N30" i="8"/>
  <c r="L32" i="8"/>
  <c r="P32" i="8"/>
  <c r="N33" i="8"/>
  <c r="L35" i="8"/>
  <c r="P35" i="8"/>
  <c r="L38" i="8"/>
  <c r="P38" i="8"/>
  <c r="L41" i="8"/>
  <c r="L43" i="8"/>
  <c r="P45" i="8"/>
  <c r="L48" i="8"/>
  <c r="P48" i="8"/>
  <c r="L49" i="8"/>
  <c r="N50" i="8"/>
  <c r="P51" i="8"/>
  <c r="AB52" i="2"/>
  <c r="AA52" i="2"/>
  <c r="AB51" i="2"/>
  <c r="AA51" i="2"/>
  <c r="AA49" i="2"/>
  <c r="AB49" i="2"/>
  <c r="AA50" i="2"/>
  <c r="AB50" i="2"/>
  <c r="F6" i="8"/>
  <c r="F7" i="8"/>
  <c r="F10" i="8"/>
  <c r="F17" i="8"/>
  <c r="F20" i="8"/>
  <c r="F23" i="8"/>
  <c r="F26" i="8"/>
  <c r="F33" i="8"/>
  <c r="F36" i="8"/>
  <c r="F39" i="8"/>
  <c r="F5" i="8"/>
  <c r="F13" i="8"/>
  <c r="F16" i="8"/>
  <c r="F19" i="8"/>
  <c r="F22" i="8"/>
  <c r="F29" i="8"/>
  <c r="F32" i="8"/>
  <c r="F35" i="8"/>
  <c r="F38" i="8"/>
  <c r="F41" i="8"/>
  <c r="F9" i="8"/>
  <c r="F12" i="8"/>
  <c r="F15" i="8"/>
  <c r="F18" i="8"/>
  <c r="F25" i="8"/>
  <c r="F28" i="8"/>
  <c r="F31" i="8"/>
  <c r="F34" i="8"/>
  <c r="F40" i="8"/>
  <c r="F8" i="8"/>
  <c r="F11" i="8"/>
  <c r="F14" i="8"/>
  <c r="F21" i="8"/>
  <c r="F24" i="8"/>
  <c r="F27" i="8"/>
  <c r="F30" i="8"/>
  <c r="F37" i="8"/>
  <c r="E13" i="8"/>
  <c r="E16" i="8"/>
  <c r="E19" i="8"/>
  <c r="E22" i="8"/>
  <c r="E29" i="8"/>
  <c r="E32" i="8"/>
  <c r="E35" i="8"/>
  <c r="E38" i="8"/>
  <c r="E41" i="8"/>
  <c r="E9" i="8"/>
  <c r="E12" i="8"/>
  <c r="E15" i="8"/>
  <c r="E18" i="8"/>
  <c r="E25" i="8"/>
  <c r="E28" i="8"/>
  <c r="E31" i="8"/>
  <c r="E34" i="8"/>
  <c r="E40" i="8"/>
  <c r="E8" i="8"/>
  <c r="E11" i="8"/>
  <c r="E14" i="8"/>
  <c r="E21" i="8"/>
  <c r="E24" i="8"/>
  <c r="E27" i="8"/>
  <c r="E30" i="8"/>
  <c r="E37" i="8"/>
  <c r="E10" i="8"/>
  <c r="E17" i="8"/>
  <c r="E20" i="8"/>
  <c r="E23" i="8"/>
  <c r="E26" i="8"/>
  <c r="E33" i="8"/>
  <c r="E36" i="8"/>
  <c r="E39" i="8"/>
  <c r="Z8" i="2"/>
  <c r="Z5" i="2"/>
  <c r="Z6" i="2"/>
  <c r="Z7" i="2"/>
  <c r="Z3" i="2"/>
  <c r="Z4" i="2"/>
  <c r="Q11" i="8"/>
  <c r="Q14" i="8"/>
  <c r="Q24" i="8"/>
  <c r="Q3" i="8"/>
  <c r="Q6" i="8"/>
  <c r="Q9" i="8"/>
  <c r="Q16" i="8"/>
  <c r="Q19" i="8"/>
  <c r="Q22" i="8"/>
  <c r="Q25" i="8"/>
  <c r="Q32" i="8"/>
  <c r="Q35" i="8"/>
  <c r="Q38" i="8"/>
  <c r="Q45" i="8"/>
  <c r="Q48" i="8"/>
  <c r="Q5" i="8"/>
  <c r="Q12" i="8"/>
  <c r="Q15" i="8"/>
  <c r="Q18" i="8"/>
  <c r="Q21" i="8"/>
  <c r="Q28" i="8"/>
  <c r="Q31" i="8"/>
  <c r="Q34" i="8"/>
  <c r="Q37" i="8"/>
  <c r="Q40" i="8"/>
  <c r="Q42" i="8"/>
  <c r="Q47" i="8"/>
  <c r="Q27" i="8"/>
  <c r="Q30" i="8"/>
  <c r="Q33" i="8"/>
  <c r="Q39" i="8"/>
  <c r="Q44" i="8"/>
  <c r="Q46" i="8"/>
  <c r="Q50" i="8"/>
  <c r="Q8" i="8"/>
  <c r="Q17" i="8"/>
  <c r="Q4" i="8"/>
  <c r="Q7" i="8"/>
  <c r="Q10" i="8"/>
  <c r="Q13" i="8"/>
  <c r="Q20" i="8"/>
  <c r="Q23" i="8"/>
  <c r="Q26" i="8"/>
  <c r="Q29" i="8"/>
  <c r="Q36" i="8"/>
  <c r="Q41" i="8"/>
  <c r="Q43" i="8"/>
  <c r="Q49" i="8"/>
  <c r="P4" i="8"/>
  <c r="P3" i="8"/>
  <c r="O6" i="8"/>
  <c r="O5" i="8"/>
  <c r="O12" i="8"/>
  <c r="O18" i="8"/>
  <c r="O21" i="8"/>
  <c r="O28" i="8"/>
  <c r="O31" i="8"/>
  <c r="O34" i="8"/>
  <c r="O40" i="8"/>
  <c r="O8" i="8"/>
  <c r="O11" i="8"/>
  <c r="O14" i="8"/>
  <c r="O17" i="8"/>
  <c r="O24" i="8"/>
  <c r="O27" i="8"/>
  <c r="O30" i="8"/>
  <c r="O33" i="8"/>
  <c r="O39" i="8"/>
  <c r="O44" i="8"/>
  <c r="O46" i="8"/>
  <c r="O50" i="8"/>
  <c r="O4" i="8"/>
  <c r="O7" i="8"/>
  <c r="O10" i="8"/>
  <c r="O13" i="8"/>
  <c r="O20" i="8"/>
  <c r="O23" i="8"/>
  <c r="O26" i="8"/>
  <c r="O29" i="8"/>
  <c r="O36" i="8"/>
  <c r="O41" i="8"/>
  <c r="O43" i="8"/>
  <c r="O49" i="8"/>
  <c r="O3" i="8"/>
  <c r="O9" i="8"/>
  <c r="O16" i="8"/>
  <c r="O19" i="8"/>
  <c r="O22" i="8"/>
  <c r="O25" i="8"/>
  <c r="O32" i="8"/>
  <c r="O35" i="8"/>
  <c r="O38" i="8"/>
  <c r="O45" i="8"/>
  <c r="O48" i="8"/>
  <c r="O51" i="8"/>
  <c r="O15" i="8"/>
  <c r="O37" i="8"/>
  <c r="O42" i="8"/>
  <c r="O47" i="8"/>
  <c r="N39" i="8"/>
  <c r="N41" i="8"/>
  <c r="N43" i="8"/>
  <c r="N38" i="8"/>
  <c r="N45" i="8"/>
  <c r="N37" i="8"/>
  <c r="N40" i="8"/>
  <c r="N42" i="8"/>
  <c r="N44" i="8"/>
  <c r="N46" i="8"/>
  <c r="N5" i="8"/>
  <c r="N4" i="8"/>
  <c r="N3" i="8"/>
  <c r="M46" i="8"/>
  <c r="M51" i="8"/>
  <c r="M43" i="8"/>
  <c r="M39" i="8"/>
  <c r="M50" i="8"/>
  <c r="M42" i="8"/>
  <c r="M12" i="8"/>
  <c r="M18" i="8"/>
  <c r="M8" i="8"/>
  <c r="M11" i="8"/>
  <c r="M14" i="8"/>
  <c r="M24" i="8"/>
  <c r="M27" i="8"/>
  <c r="M30" i="8"/>
  <c r="M40" i="8"/>
  <c r="M49" i="8"/>
  <c r="M45" i="8"/>
  <c r="M41" i="8"/>
  <c r="M37" i="8"/>
  <c r="M33" i="8"/>
  <c r="M29" i="8"/>
  <c r="M25" i="8"/>
  <c r="M21" i="8"/>
  <c r="M17" i="8"/>
  <c r="M13" i="8"/>
  <c r="M9" i="8"/>
  <c r="M5" i="8"/>
  <c r="M15" i="8"/>
  <c r="M4" i="8"/>
  <c r="M7" i="8"/>
  <c r="M10" i="8"/>
  <c r="M20" i="8"/>
  <c r="M23" i="8"/>
  <c r="M26" i="8"/>
  <c r="M36" i="8"/>
  <c r="M3" i="8"/>
  <c r="M6" i="8"/>
  <c r="M16" i="8"/>
  <c r="M19" i="8"/>
  <c r="M22" i="8"/>
  <c r="M32" i="8"/>
  <c r="M35" i="8"/>
  <c r="M38" i="8"/>
  <c r="M48" i="8"/>
  <c r="M28" i="8"/>
  <c r="M31" i="8"/>
  <c r="M34" i="8"/>
  <c r="M44" i="8"/>
  <c r="M47" i="8"/>
  <c r="L5" i="8"/>
  <c r="L4" i="8"/>
  <c r="L6" i="8"/>
  <c r="L3" i="8"/>
  <c r="K5" i="8"/>
  <c r="K4" i="8"/>
  <c r="K7" i="8"/>
  <c r="K20" i="8"/>
  <c r="K23" i="8"/>
  <c r="K3" i="8"/>
  <c r="K6" i="8"/>
  <c r="K13" i="8"/>
  <c r="K16" i="8"/>
  <c r="K19" i="8"/>
  <c r="K22" i="8"/>
  <c r="K29" i="8"/>
  <c r="K32" i="8"/>
  <c r="K35" i="8"/>
  <c r="K38" i="8"/>
  <c r="K8" i="8"/>
  <c r="K9" i="8"/>
  <c r="K12" i="8"/>
  <c r="K15" i="8"/>
  <c r="K18" i="8"/>
  <c r="K25" i="8"/>
  <c r="K28" i="8"/>
  <c r="K31" i="8"/>
  <c r="K34" i="8"/>
  <c r="K41" i="8"/>
  <c r="K11" i="8"/>
  <c r="K14" i="8"/>
  <c r="K21" i="8"/>
  <c r="K24" i="8"/>
  <c r="K27" i="8"/>
  <c r="K30" i="8"/>
  <c r="K37" i="8"/>
  <c r="K40" i="8"/>
  <c r="K10" i="8"/>
  <c r="K17" i="8"/>
  <c r="K26" i="8"/>
  <c r="K33" i="8"/>
  <c r="K36" i="8"/>
  <c r="K39" i="8"/>
  <c r="J3" i="8"/>
  <c r="J6" i="8"/>
  <c r="J16" i="8"/>
  <c r="J19" i="8"/>
  <c r="J22" i="8"/>
  <c r="J32" i="8"/>
  <c r="J35" i="8"/>
  <c r="J9" i="8"/>
  <c r="J12" i="8"/>
  <c r="J15" i="8"/>
  <c r="J18" i="8"/>
  <c r="J25" i="8"/>
  <c r="J28" i="8"/>
  <c r="J31" i="8"/>
  <c r="J34" i="8"/>
  <c r="J41" i="8"/>
  <c r="J5" i="8"/>
  <c r="J8" i="8"/>
  <c r="J11" i="8"/>
  <c r="J14" i="8"/>
  <c r="J21" i="8"/>
  <c r="J24" i="8"/>
  <c r="J27" i="8"/>
  <c r="J30" i="8"/>
  <c r="J37" i="8"/>
  <c r="J40" i="8"/>
  <c r="J4" i="8"/>
  <c r="J7" i="8"/>
  <c r="J10" i="8"/>
  <c r="J17" i="8"/>
  <c r="J20" i="8"/>
  <c r="J23" i="8"/>
  <c r="J26" i="8"/>
  <c r="J33" i="8"/>
  <c r="J36" i="8"/>
  <c r="J39" i="8"/>
  <c r="J13" i="8"/>
  <c r="J29" i="8"/>
  <c r="J38" i="8"/>
  <c r="I3" i="8"/>
  <c r="I6" i="8"/>
  <c r="I9" i="8"/>
  <c r="I12" i="8"/>
  <c r="I18" i="8"/>
  <c r="I25" i="8"/>
  <c r="I28" i="8"/>
  <c r="I31" i="8"/>
  <c r="I34" i="8"/>
  <c r="I41" i="8"/>
  <c r="I5" i="8"/>
  <c r="I8" i="8"/>
  <c r="I11" i="8"/>
  <c r="I14" i="8"/>
  <c r="I21" i="8"/>
  <c r="I24" i="8"/>
  <c r="I27" i="8"/>
  <c r="I30" i="8"/>
  <c r="I37" i="8"/>
  <c r="I40" i="8"/>
  <c r="I4" i="8"/>
  <c r="I7" i="8"/>
  <c r="I10" i="8"/>
  <c r="I17" i="8"/>
  <c r="I20" i="8"/>
  <c r="I23" i="8"/>
  <c r="I26" i="8"/>
  <c r="I33" i="8"/>
  <c r="I36" i="8"/>
  <c r="I39" i="8"/>
  <c r="I13" i="8"/>
  <c r="I16" i="8"/>
  <c r="I19" i="8"/>
  <c r="I22" i="8"/>
  <c r="I29" i="8"/>
  <c r="I32" i="8"/>
  <c r="I35" i="8"/>
  <c r="I38" i="8"/>
  <c r="I15" i="8"/>
  <c r="H9" i="8"/>
  <c r="H5" i="8"/>
  <c r="H8" i="8"/>
  <c r="H11" i="8"/>
  <c r="H14" i="8"/>
  <c r="H21" i="8"/>
  <c r="H24" i="8"/>
  <c r="H27" i="8"/>
  <c r="H37" i="8"/>
  <c r="H40" i="8"/>
  <c r="H4" i="8"/>
  <c r="H7" i="8"/>
  <c r="H10" i="8"/>
  <c r="H17" i="8"/>
  <c r="H20" i="8"/>
  <c r="H23" i="8"/>
  <c r="H26" i="8"/>
  <c r="H33" i="8"/>
  <c r="H36" i="8"/>
  <c r="H39" i="8"/>
  <c r="H3" i="8"/>
  <c r="H6" i="8"/>
  <c r="H13" i="8"/>
  <c r="H16" i="8"/>
  <c r="H19" i="8"/>
  <c r="H22" i="8"/>
  <c r="H29" i="8"/>
  <c r="H32" i="8"/>
  <c r="H35" i="8"/>
  <c r="H38" i="8"/>
  <c r="H12" i="8"/>
  <c r="H15" i="8"/>
  <c r="H18" i="8"/>
  <c r="H25" i="8"/>
  <c r="H28" i="8"/>
  <c r="H31" i="8"/>
  <c r="H34" i="8"/>
  <c r="H30" i="8"/>
  <c r="G5" i="8"/>
  <c r="G7" i="8"/>
  <c r="G10" i="8"/>
  <c r="G17" i="8"/>
  <c r="G20" i="8"/>
  <c r="G26" i="8"/>
  <c r="G33" i="8"/>
  <c r="G36" i="8"/>
  <c r="G3" i="8"/>
  <c r="G6" i="8"/>
  <c r="G13" i="8"/>
  <c r="G16" i="8"/>
  <c r="G19" i="8"/>
  <c r="G22" i="8"/>
  <c r="G29" i="8"/>
  <c r="G32" i="8"/>
  <c r="G35" i="8"/>
  <c r="G38" i="8"/>
  <c r="G9" i="8"/>
  <c r="G12" i="8"/>
  <c r="G15" i="8"/>
  <c r="G18" i="8"/>
  <c r="G25" i="8"/>
  <c r="G28" i="8"/>
  <c r="G31" i="8"/>
  <c r="G34" i="8"/>
  <c r="G41" i="8"/>
  <c r="G8" i="8"/>
  <c r="G11" i="8"/>
  <c r="G14" i="8"/>
  <c r="G21" i="8"/>
  <c r="G24" i="8"/>
  <c r="G27" i="8"/>
  <c r="G30" i="8"/>
  <c r="G37" i="8"/>
  <c r="G40" i="8"/>
  <c r="G4" i="8"/>
  <c r="G23" i="8"/>
  <c r="G39" i="8"/>
  <c r="F4" i="8"/>
  <c r="F3" i="8"/>
  <c r="E5" i="8"/>
  <c r="E3" i="8"/>
  <c r="E4" i="8"/>
  <c r="E6" i="8"/>
  <c r="D5" i="8"/>
  <c r="AB9" i="2"/>
  <c r="AA9" i="2"/>
  <c r="D8" i="8"/>
  <c r="AB12" i="2"/>
  <c r="AA12" i="2"/>
  <c r="D11" i="8"/>
  <c r="D4" i="8"/>
  <c r="D7" i="8"/>
  <c r="D10" i="8"/>
  <c r="AB11" i="2"/>
  <c r="AA11" i="2"/>
  <c r="AB18" i="2"/>
  <c r="AA18" i="2"/>
  <c r="D17" i="8"/>
  <c r="AB21" i="2"/>
  <c r="AA21" i="2"/>
  <c r="D20" i="8"/>
  <c r="AB24" i="2"/>
  <c r="AA24" i="2"/>
  <c r="D23" i="8"/>
  <c r="D26" i="8"/>
  <c r="AB27" i="2"/>
  <c r="AA27" i="2"/>
  <c r="AB34" i="2"/>
  <c r="AA34" i="2"/>
  <c r="D33" i="8"/>
  <c r="AB37" i="2"/>
  <c r="AA37" i="2"/>
  <c r="D36" i="8"/>
  <c r="AB40" i="2"/>
  <c r="AA40" i="2"/>
  <c r="D39" i="8"/>
  <c r="AB43" i="2"/>
  <c r="AA43" i="2"/>
  <c r="AB17" i="2"/>
  <c r="AA17" i="2"/>
  <c r="D16" i="8"/>
  <c r="AB20" i="2"/>
  <c r="AA20" i="2"/>
  <c r="D19" i="8"/>
  <c r="D22" i="8"/>
  <c r="AB23" i="2"/>
  <c r="AA23" i="2"/>
  <c r="AB30" i="2"/>
  <c r="AA30" i="2"/>
  <c r="D29" i="8"/>
  <c r="AB33" i="2"/>
  <c r="AA33" i="2"/>
  <c r="D32" i="8"/>
  <c r="AB36" i="2"/>
  <c r="AA36" i="2"/>
  <c r="D35" i="8"/>
  <c r="D38" i="8"/>
  <c r="AB39" i="2"/>
  <c r="AA39" i="2"/>
  <c r="AB46" i="2"/>
  <c r="AA46" i="2"/>
  <c r="D3" i="8"/>
  <c r="D6" i="8"/>
  <c r="AB14" i="2"/>
  <c r="AA14" i="2"/>
  <c r="D13" i="8"/>
  <c r="AB10" i="2"/>
  <c r="AA10" i="2"/>
  <c r="D9" i="8"/>
  <c r="AB13" i="2"/>
  <c r="AA13" i="2"/>
  <c r="D12" i="8"/>
  <c r="AB16" i="2"/>
  <c r="AA16" i="2"/>
  <c r="D15" i="8"/>
  <c r="D18" i="8"/>
  <c r="AB19" i="2"/>
  <c r="AA19" i="2"/>
  <c r="AB26" i="2"/>
  <c r="AA26" i="2"/>
  <c r="D25" i="8"/>
  <c r="AB29" i="2"/>
  <c r="AA29" i="2"/>
  <c r="D28" i="8"/>
  <c r="AB32" i="2"/>
  <c r="AA32" i="2"/>
  <c r="D31" i="8"/>
  <c r="D34" i="8"/>
  <c r="AB35" i="2"/>
  <c r="AA35" i="2"/>
  <c r="AB42" i="2"/>
  <c r="AA42" i="2"/>
  <c r="D41" i="8"/>
  <c r="AB45" i="2"/>
  <c r="AA45" i="2"/>
  <c r="AB48" i="2"/>
  <c r="AA48" i="2"/>
  <c r="D14" i="8"/>
  <c r="AB15" i="2"/>
  <c r="AA15" i="2"/>
  <c r="AB22" i="2"/>
  <c r="AA22" i="2"/>
  <c r="D21" i="8"/>
  <c r="AB25" i="2"/>
  <c r="AA25" i="2"/>
  <c r="D24" i="8"/>
  <c r="AB28" i="2"/>
  <c r="AA28" i="2"/>
  <c r="D27" i="8"/>
  <c r="D30" i="8"/>
  <c r="AB31" i="2"/>
  <c r="AA31" i="2"/>
  <c r="AB38" i="2"/>
  <c r="AA38" i="2"/>
  <c r="D37" i="8"/>
  <c r="AB41" i="2"/>
  <c r="AA41" i="2"/>
  <c r="D40" i="8"/>
  <c r="AB44" i="2"/>
  <c r="AA44" i="2"/>
  <c r="AB47" i="2"/>
  <c r="AA47" i="2"/>
  <c r="C4" i="8"/>
  <c r="C7" i="8"/>
  <c r="C10" i="8"/>
  <c r="C20" i="8"/>
  <c r="C23" i="8"/>
  <c r="C26" i="8"/>
  <c r="C33" i="8"/>
  <c r="C36" i="8"/>
  <c r="C39" i="8"/>
  <c r="C3" i="8"/>
  <c r="C6" i="8"/>
  <c r="C13" i="8"/>
  <c r="C16" i="8"/>
  <c r="C19" i="8"/>
  <c r="C22" i="8"/>
  <c r="C29" i="8"/>
  <c r="C32" i="8"/>
  <c r="C35" i="8"/>
  <c r="C38" i="8"/>
  <c r="C9" i="8"/>
  <c r="C12" i="8"/>
  <c r="C15" i="8"/>
  <c r="C18" i="8"/>
  <c r="C25" i="8"/>
  <c r="C28" i="8"/>
  <c r="C31" i="8"/>
  <c r="C34" i="8"/>
  <c r="C41" i="8"/>
  <c r="C11" i="8"/>
  <c r="C14" i="8"/>
  <c r="C21" i="8"/>
  <c r="C24" i="8"/>
  <c r="C27" i="8"/>
  <c r="C30" i="8"/>
  <c r="C37" i="8"/>
  <c r="C40" i="8"/>
  <c r="C5" i="8"/>
  <c r="C8" i="8"/>
  <c r="C17" i="8"/>
  <c r="B40" i="8"/>
  <c r="B32" i="8"/>
  <c r="B41" i="8"/>
  <c r="B33" i="8"/>
  <c r="B2" i="8"/>
  <c r="B10" i="8"/>
  <c r="B18" i="8"/>
  <c r="B26" i="8"/>
  <c r="B6" i="8"/>
  <c r="B7" i="8"/>
  <c r="B8" i="8"/>
  <c r="B9" i="8"/>
  <c r="B16" i="8"/>
  <c r="B17" i="8"/>
  <c r="B24" i="8"/>
  <c r="B25" i="8"/>
  <c r="B39" i="8"/>
  <c r="B35" i="8"/>
  <c r="B31" i="8"/>
  <c r="B27" i="8"/>
  <c r="B23" i="8"/>
  <c r="B19" i="8"/>
  <c r="B15" i="8"/>
  <c r="B11" i="8"/>
  <c r="B3" i="8"/>
  <c r="B4" i="8"/>
  <c r="B5" i="8"/>
  <c r="B14" i="8"/>
  <c r="B22" i="8"/>
  <c r="B30" i="8"/>
  <c r="B38" i="8"/>
  <c r="B12" i="8"/>
  <c r="B13" i="8"/>
  <c r="B20" i="8"/>
  <c r="B21" i="8"/>
  <c r="B28" i="8"/>
  <c r="B29" i="8"/>
  <c r="B36" i="8"/>
  <c r="B37" i="8"/>
  <c r="B34" i="8"/>
  <c r="P2" i="8"/>
  <c r="M2" i="8"/>
  <c r="L2" i="8"/>
  <c r="F35" i="1"/>
  <c r="F39" i="1"/>
  <c r="F37" i="1"/>
  <c r="F38" i="1"/>
  <c r="F36" i="1"/>
  <c r="H35" i="1"/>
  <c r="F34" i="1"/>
  <c r="F33" i="1"/>
  <c r="F32" i="1"/>
  <c r="F31" i="1"/>
  <c r="F30" i="1"/>
  <c r="F29" i="1"/>
  <c r="F28" i="1"/>
  <c r="AR3" i="2"/>
  <c r="F27" i="1"/>
  <c r="F26" i="1"/>
  <c r="Z38" i="2"/>
  <c r="Z17" i="2"/>
  <c r="Z18" i="2"/>
  <c r="Z19" i="2"/>
  <c r="Z21" i="2"/>
  <c r="Z24" i="2"/>
  <c r="Z42" i="2"/>
  <c r="Z49" i="2"/>
  <c r="Z50" i="2"/>
  <c r="Z51" i="2"/>
  <c r="Z52" i="2"/>
  <c r="F25" i="1"/>
  <c r="H24" i="1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T49" i="8" l="1"/>
  <c r="U49" i="8" s="1"/>
  <c r="V49" i="8" s="1"/>
  <c r="T27" i="8"/>
  <c r="U27" i="8" s="1"/>
  <c r="T29" i="8"/>
  <c r="U29" i="8" s="1"/>
  <c r="T51" i="8"/>
  <c r="U51" i="8" s="1"/>
  <c r="V51" i="8" s="1"/>
  <c r="T50" i="8"/>
  <c r="U50" i="8" s="1"/>
  <c r="V50" i="8" s="1"/>
  <c r="T3" i="8"/>
  <c r="U3" i="8" s="1"/>
  <c r="T42" i="8"/>
  <c r="U42" i="8" s="1"/>
  <c r="T45" i="8"/>
  <c r="U45" i="8" s="1"/>
  <c r="T44" i="8"/>
  <c r="U44" i="8" s="1"/>
  <c r="T28" i="8"/>
  <c r="U28" i="8" s="1"/>
  <c r="T12" i="8"/>
  <c r="U12" i="8" s="1"/>
  <c r="T13" i="8"/>
  <c r="U13" i="8" s="1"/>
  <c r="T15" i="8"/>
  <c r="U15" i="8" s="1"/>
  <c r="T31" i="8"/>
  <c r="U31" i="8" s="1"/>
  <c r="T22" i="8"/>
  <c r="U22" i="8" s="1"/>
  <c r="T11" i="8"/>
  <c r="U11" i="8" s="1"/>
  <c r="T36" i="8"/>
  <c r="U36" i="8" s="1"/>
  <c r="T20" i="8"/>
  <c r="U20" i="8" s="1"/>
  <c r="T10" i="8"/>
  <c r="U10" i="8" s="1"/>
  <c r="T38" i="8"/>
  <c r="U38" i="8" s="1"/>
  <c r="T37" i="8"/>
  <c r="U37" i="8" s="1"/>
  <c r="T21" i="8"/>
  <c r="U21" i="8" s="1"/>
  <c r="T30" i="8"/>
  <c r="U30" i="8" s="1"/>
  <c r="Q2" i="8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T43" i="8"/>
  <c r="U43" i="8" s="1"/>
  <c r="H2" i="8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24" i="8"/>
  <c r="U24" i="8" s="1"/>
  <c r="T8" i="8"/>
  <c r="U8" i="8" s="1"/>
  <c r="T40" i="8"/>
  <c r="U40" i="8" s="1"/>
  <c r="O2" i="8"/>
  <c r="N2" i="8"/>
  <c r="K2" i="8"/>
  <c r="J2" i="8"/>
  <c r="J32" i="1"/>
  <c r="K32" i="1"/>
  <c r="K31" i="1"/>
  <c r="I2" i="8"/>
  <c r="J31" i="1"/>
  <c r="G2" i="8"/>
  <c r="J29" i="1"/>
  <c r="F2" i="8"/>
  <c r="K28" i="1"/>
  <c r="J27" i="1"/>
  <c r="E2" i="8"/>
  <c r="Z22" i="2"/>
  <c r="D2" i="8"/>
  <c r="C2" i="8"/>
  <c r="J25" i="1"/>
  <c r="K35" i="1"/>
  <c r="Z31" i="2"/>
  <c r="Z34" i="2"/>
  <c r="Z46" i="2"/>
  <c r="K29" i="1"/>
  <c r="Z44" i="2"/>
  <c r="Z36" i="2"/>
  <c r="Z48" i="2"/>
  <c r="Z40" i="2"/>
  <c r="Z29" i="2"/>
  <c r="Z26" i="2"/>
  <c r="Z13" i="2"/>
  <c r="Z47" i="2"/>
  <c r="Z45" i="2"/>
  <c r="Z43" i="2"/>
  <c r="Z41" i="2"/>
  <c r="Z39" i="2"/>
  <c r="Z37" i="2"/>
  <c r="Z35" i="2"/>
  <c r="Z33" i="2"/>
  <c r="Z30" i="2"/>
  <c r="Z27" i="2"/>
  <c r="Z25" i="2"/>
  <c r="Z23" i="2"/>
  <c r="Z15" i="2"/>
  <c r="Z10" i="2"/>
  <c r="K33" i="1"/>
  <c r="K37" i="1"/>
  <c r="K24" i="1"/>
  <c r="Z11" i="2"/>
  <c r="K30" i="1"/>
  <c r="K38" i="1"/>
  <c r="K39" i="1"/>
  <c r="K25" i="1"/>
  <c r="Z14" i="2"/>
  <c r="Z9" i="2"/>
  <c r="K36" i="1"/>
  <c r="K27" i="1"/>
  <c r="Z32" i="2"/>
  <c r="Z28" i="2"/>
  <c r="Z20" i="2"/>
  <c r="Z16" i="2"/>
  <c r="Z12" i="2"/>
  <c r="J35" i="1"/>
  <c r="K26" i="1"/>
  <c r="I24" i="1"/>
  <c r="J24" i="1"/>
  <c r="I35" i="1"/>
  <c r="H39" i="1"/>
  <c r="J39" i="1"/>
  <c r="H37" i="1"/>
  <c r="J37" i="1"/>
  <c r="H38" i="1"/>
  <c r="H36" i="1"/>
  <c r="H34" i="1"/>
  <c r="K34" i="1"/>
  <c r="J34" i="1"/>
  <c r="I34" i="1"/>
  <c r="H33" i="1"/>
  <c r="J33" i="1"/>
  <c r="H32" i="1"/>
  <c r="H31" i="1"/>
  <c r="H30" i="1"/>
  <c r="J30" i="1"/>
  <c r="H29" i="1"/>
  <c r="H28" i="1"/>
  <c r="J28" i="1"/>
  <c r="H27" i="1"/>
  <c r="H26" i="1"/>
  <c r="J26" i="1"/>
  <c r="H25" i="1"/>
  <c r="I31" i="1" l="1"/>
  <c r="I28" i="1"/>
  <c r="I33" i="1"/>
  <c r="I37" i="1"/>
  <c r="I30" i="1"/>
  <c r="H41" i="8"/>
  <c r="T41" i="8" s="1"/>
  <c r="U41" i="8" s="1"/>
  <c r="I26" i="1"/>
  <c r="I39" i="1"/>
  <c r="T2" i="8"/>
  <c r="U2" i="8" s="1"/>
  <c r="I29" i="1"/>
  <c r="B17" i="1"/>
  <c r="F48" i="1" s="1"/>
  <c r="B16" i="1"/>
  <c r="I32" i="1"/>
  <c r="I25" i="1"/>
  <c r="M20" i="1"/>
  <c r="M19" i="1"/>
  <c r="I38" i="1"/>
  <c r="I36" i="1"/>
  <c r="J38" i="1"/>
  <c r="J36" i="1"/>
  <c r="V5" i="8" l="1"/>
  <c r="M21" i="1"/>
  <c r="M14" i="1" s="1"/>
  <c r="V4" i="8"/>
  <c r="V44" i="8"/>
  <c r="V20" i="8"/>
  <c r="V23" i="8"/>
  <c r="V43" i="8"/>
  <c r="V17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7" i="1"/>
  <c r="E57" i="1" l="1"/>
  <c r="M22" i="1"/>
</calcChain>
</file>

<file path=xl/sharedStrings.xml><?xml version="1.0" encoding="utf-8"?>
<sst xmlns="http://schemas.openxmlformats.org/spreadsheetml/2006/main" count="744" uniqueCount="271">
  <si>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</si>
  <si>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</si>
  <si>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</si>
  <si>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</si>
  <si>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</si>
  <si>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</si>
  <si>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</si>
  <si>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</si>
  <si>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</si>
  <si>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</si>
  <si>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</si>
  <si>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</si>
  <si>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</si>
  <si>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</si>
  <si>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</si>
  <si>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</si>
  <si>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</si>
  <si>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</si>
  <si>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</si>
  <si>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</si>
  <si>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</si>
  <si>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</si>
  <si>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</si>
  <si>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</si>
  <si>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</si>
  <si>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</si>
  <si>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</si>
  <si>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</si>
  <si>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</si>
  <si>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</si>
  <si>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</si>
  <si>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</si>
  <si>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</si>
  <si>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</si>
  <si>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</si>
  <si>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</si>
  <si>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</si>
  <si>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</si>
  <si>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</si>
  <si>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</si>
  <si>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</si>
  <si>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</si>
  <si>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</si>
  <si>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</si>
  <si>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</si>
  <si>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</si>
  <si>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</si>
  <si>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</si>
  <si>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</si>
  <si>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</si>
  <si>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</si>
  <si>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</si>
  <si>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</si>
  <si>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</si>
  <si>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</si>
  <si>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</si>
  <si>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</si>
  <si>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</si>
  <si>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</si>
  <si>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</si>
  <si>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</si>
  <si>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</si>
  <si>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</si>
  <si>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</si>
  <si>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</si>
  <si>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</si>
  <si>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</si>
  <si>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</si>
  <si>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</si>
  <si>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</si>
  <si>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</si>
  <si>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</si>
  <si>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</si>
  <si>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</si>
  <si>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</si>
  <si>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</si>
  <si>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</si>
  <si>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</si>
  <si>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</si>
  <si>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</si>
  <si>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</si>
  <si>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</si>
  <si>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</si>
  <si>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</si>
  <si>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</si>
  <si>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</si>
  <si>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</si>
  <si>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</si>
  <si>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</si>
  <si>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</si>
  <si>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</si>
  <si>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</si>
  <si>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</si>
  <si>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</si>
  <si>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</si>
  <si>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</si>
  <si>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</si>
  <si>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</si>
  <si>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JSS1 A</t>
  </si>
  <si>
    <t>MMC</t>
  </si>
  <si>
    <t>Board master</t>
  </si>
  <si>
    <t xml:space="preserve">Intelligent but quite playful </t>
  </si>
  <si>
    <t>Ass. Class Captain</t>
  </si>
  <si>
    <t>Marker holder</t>
  </si>
  <si>
    <t xml:space="preserve">Vernacular Ambassador </t>
  </si>
  <si>
    <t xml:space="preserve">Basic Technology </t>
  </si>
  <si>
    <t>Idris Bukar Bako</t>
  </si>
  <si>
    <t>Ruby Springfield College 2nd Term Scoresheet,2025</t>
  </si>
  <si>
    <t>Teacher</t>
  </si>
  <si>
    <t>Class JSS 1A</t>
  </si>
  <si>
    <t xml:space="preserve">Ali Musa Ali </t>
  </si>
  <si>
    <t xml:space="preserve">AbdulQahhar Musa Dagash </t>
  </si>
  <si>
    <t xml:space="preserve">Abubakar Ismail Bako </t>
  </si>
  <si>
    <t xml:space="preserve">Abubakar Gana Mahmud </t>
  </si>
  <si>
    <t xml:space="preserve">Abatcha Kolo Ibrahim </t>
  </si>
  <si>
    <t xml:space="preserve">Abbagana Muhammed Sadiq </t>
  </si>
  <si>
    <t xml:space="preserve">Abbagana Abba Masta </t>
  </si>
  <si>
    <t xml:space="preserve">Bakare Mohammed Mahre </t>
  </si>
  <si>
    <t xml:space="preserve">Bwala Aaron Pual </t>
  </si>
  <si>
    <t xml:space="preserve">Ibrahim Mohammed Musa </t>
  </si>
  <si>
    <t xml:space="preserve">Isa Abe Chiwar </t>
  </si>
  <si>
    <t>Muhd Waheed Zannah</t>
  </si>
  <si>
    <t xml:space="preserve">Mohammed Kashim Shettima </t>
  </si>
  <si>
    <t xml:space="preserve">Musa Gajeke Hassan </t>
  </si>
  <si>
    <t xml:space="preserve">Mohammed Abba Mustapha </t>
  </si>
  <si>
    <t xml:space="preserve">Mohammed Abubakar Kashim </t>
  </si>
  <si>
    <t xml:space="preserve">Nazir Mohammed Mohammed </t>
  </si>
  <si>
    <t xml:space="preserve">Obigwe Daniel </t>
  </si>
  <si>
    <t xml:space="preserve">Abubakar Adam Maryam </t>
  </si>
  <si>
    <t xml:space="preserve">Arjinoma Abba Hauwa </t>
  </si>
  <si>
    <t xml:space="preserve">Abdulkadir Ibrahim Halima </t>
  </si>
  <si>
    <t xml:space="preserve">Abdallah Aisha </t>
  </si>
  <si>
    <t xml:space="preserve">Abdullahi Mohammed Fatima </t>
  </si>
  <si>
    <t xml:space="preserve">Bukar Zanna Fatima </t>
  </si>
  <si>
    <t xml:space="preserve">Bright Domonion </t>
  </si>
  <si>
    <t xml:space="preserve">Denis Teru Grace </t>
  </si>
  <si>
    <t xml:space="preserve">Ezeamukwu Chimamanda </t>
  </si>
  <si>
    <t xml:space="preserve">Gabriel Confort </t>
  </si>
  <si>
    <t xml:space="preserve">Hyelayuna Magdalene </t>
  </si>
  <si>
    <t xml:space="preserve">Madine Jirbrin Ajide </t>
  </si>
  <si>
    <t xml:space="preserve">Mohammed Hauwa Makinta </t>
  </si>
  <si>
    <t xml:space="preserve">Mohammed Ridwa wasilat </t>
  </si>
  <si>
    <t xml:space="preserve">Martha Ishaku </t>
  </si>
  <si>
    <t xml:space="preserve">Musa Baba Hajara </t>
  </si>
  <si>
    <t xml:space="preserve">Mohammed Umar Halima </t>
  </si>
  <si>
    <t xml:space="preserve">Ndubuise Chiamaka </t>
  </si>
  <si>
    <t xml:space="preserve">Uthman Aisha Bashir </t>
  </si>
  <si>
    <t xml:space="preserve">Tanimu Malgwi Hyelhira </t>
  </si>
  <si>
    <t xml:space="preserve">Okonkwo Chiagoze </t>
  </si>
  <si>
    <t xml:space="preserve">Vincent Favour Eve </t>
  </si>
  <si>
    <t xml:space="preserve">Yahaya Fatima </t>
  </si>
  <si>
    <t xml:space="preserve">Zulaihat Usman Gajeke </t>
  </si>
  <si>
    <t xml:space="preserve">Kaltum Mohammed N. </t>
  </si>
  <si>
    <t>AL HASSAN KHALID MUH'D</t>
  </si>
  <si>
    <t>ABATCHA MOHAMMED M.</t>
  </si>
  <si>
    <t>ABDULKUDUS DAUDA YUSUF</t>
  </si>
  <si>
    <t>DARIUS DANJUMA</t>
  </si>
  <si>
    <t>EZEKIEL DAVID ABANA</t>
  </si>
  <si>
    <t>ELIJAH EPHRAIM HAGIN</t>
  </si>
  <si>
    <t>IBRAHIM ABDULLAHI HASHIM</t>
  </si>
  <si>
    <t>MOHAMMED MARTE</t>
  </si>
  <si>
    <t>MUHAMMAD BABAGANA M.</t>
  </si>
  <si>
    <t>MUHAMMED MODUYE</t>
  </si>
  <si>
    <t>MUHAMMED M RABIU</t>
  </si>
  <si>
    <t>SADIQ BUKAR ALLAU</t>
  </si>
  <si>
    <t>USMAN MUHAMMED USMAN</t>
  </si>
  <si>
    <t>ABUBAKAR AHMED HADIZA</t>
  </si>
  <si>
    <t>ABDULHAMID AISHA</t>
  </si>
  <si>
    <t>BUKAR MUHAMMED HAUWA</t>
  </si>
  <si>
    <t>BALLAMA MUH'D HALIMA</t>
  </si>
  <si>
    <t>HALIM ALHAJI MAI</t>
  </si>
  <si>
    <t>JAMIMA JOHN JOSEPH</t>
  </si>
  <si>
    <t>JAFIDA MICHAEL PAPKA</t>
  </si>
  <si>
    <t>LUJAIN  ADAMU ISAH</t>
  </si>
  <si>
    <t>KABIR LUKMAN ZULAIKA</t>
  </si>
  <si>
    <t>KALTUM ABBA AJIKOLO</t>
  </si>
  <si>
    <t>MARYAM IBRAHIM ADAMU</t>
  </si>
  <si>
    <t>MARYAM LAWAN YAUMI</t>
  </si>
  <si>
    <t>REJOICE YUSUF MAMZA</t>
  </si>
  <si>
    <t>TIJJANI MUHAMMED FATIMA</t>
  </si>
  <si>
    <t>SHETTIMA KALLI MARYAM</t>
  </si>
  <si>
    <t>UMMI  QUTHUM ALKON</t>
  </si>
  <si>
    <t>ZARANDZA ABIGAIL</t>
  </si>
  <si>
    <t>BATULA BUKAR GANA</t>
  </si>
  <si>
    <t>YUSUF GONI SALMA</t>
  </si>
  <si>
    <t>BUKAR ABBA HAUWA</t>
  </si>
  <si>
    <t>ZAKARIYA ESTHER</t>
  </si>
  <si>
    <t>BORNO</t>
  </si>
  <si>
    <t>NGALA</t>
  </si>
  <si>
    <t>YOBE</t>
  </si>
  <si>
    <t>NGURU</t>
  </si>
  <si>
    <t>BIU</t>
  </si>
  <si>
    <t>CHIBOK</t>
  </si>
  <si>
    <t>HAWUL</t>
  </si>
  <si>
    <t>BADRUM</t>
  </si>
  <si>
    <t>KUNDUGA</t>
  </si>
  <si>
    <t>JERE</t>
  </si>
  <si>
    <t>NGANZAI</t>
  </si>
  <si>
    <t>DIKWA</t>
  </si>
  <si>
    <t>ASKIRA/UBA</t>
  </si>
  <si>
    <t>PLATEAU</t>
  </si>
  <si>
    <t>KANKE</t>
  </si>
  <si>
    <t>LAGOS</t>
  </si>
  <si>
    <t>IKORODU</t>
  </si>
  <si>
    <t>DAMBOA</t>
  </si>
  <si>
    <t>MONGUNO</t>
  </si>
  <si>
    <t>BAMA</t>
  </si>
  <si>
    <t>MARTE</t>
  </si>
  <si>
    <t>ADAMAWA</t>
  </si>
  <si>
    <t>MICHIKA</t>
  </si>
  <si>
    <t>BENISHEK</t>
  </si>
  <si>
    <t>VICTOR EBENEXER</t>
  </si>
  <si>
    <t>ALI UMAR AISHA</t>
  </si>
  <si>
    <t>AMELIA GEORGE G</t>
  </si>
  <si>
    <t>JAMES EMMANUEL</t>
  </si>
  <si>
    <t>FAVOUR SHANNA M.</t>
  </si>
  <si>
    <t>ONDO</t>
  </si>
  <si>
    <t>AKOKO</t>
  </si>
  <si>
    <t>SHANI</t>
  </si>
  <si>
    <t>MADAGALI</t>
  </si>
  <si>
    <t>GWOZA</t>
  </si>
  <si>
    <t>VICTOR EBENEZER</t>
  </si>
  <si>
    <t>Admission_No</t>
  </si>
  <si>
    <t>Admission_No:</t>
  </si>
  <si>
    <t>Password</t>
  </si>
  <si>
    <t>16th January, 2026</t>
  </si>
  <si>
    <t>RSC/2026/JSS1A/0001</t>
  </si>
  <si>
    <t>Email</t>
  </si>
  <si>
    <t>2nd</t>
  </si>
  <si>
    <t>aishatuhassan233@gmail.com</t>
  </si>
  <si>
    <t>kuburagana@gmail.com</t>
  </si>
  <si>
    <t>mulikat606@gmail.com</t>
  </si>
  <si>
    <t>danjumdanalami@gmail.com</t>
  </si>
  <si>
    <t>zeelijah277@gmail.com</t>
  </si>
  <si>
    <t>alhabdulkli@gmail.com</t>
  </si>
  <si>
    <t>muhammadamarte54@gmail.com</t>
  </si>
  <si>
    <t>bgmammami10@gmail.com</t>
  </si>
  <si>
    <t>zaramuhammad@gmail.com</t>
  </si>
  <si>
    <t>rabiu3030@gmail.com</t>
  </si>
  <si>
    <t>arikbik2010@gmail.com</t>
  </si>
  <si>
    <t>musbuk2012@gmail.com</t>
  </si>
  <si>
    <t>ahmedabubakarglobalventures@gmail.com</t>
  </si>
  <si>
    <t>amaaluminium@gmail.com</t>
  </si>
  <si>
    <t>mbj5643@gmail.com</t>
  </si>
  <si>
    <t>alhajimai@gmail.com</t>
  </si>
  <si>
    <t>helensunday135@gmail.com</t>
  </si>
  <si>
    <t>adamuisa2006@gmail.com</t>
  </si>
  <si>
    <t>lukmansholakabir@gmail.com</t>
  </si>
  <si>
    <t>hauwaalisadiq@gmail.com</t>
  </si>
  <si>
    <t>ibrahimadamu@gmail.com</t>
  </si>
  <si>
    <t>lawanalhajibukar1@gmail.com</t>
  </si>
  <si>
    <t>kachallawasiniaudu@gmail.com</t>
  </si>
  <si>
    <t>yayanatijjani14@gmail.com</t>
  </si>
  <si>
    <t>aishaturwagana@gmail.com</t>
  </si>
  <si>
    <t>soulmateiyabo@gmail.com</t>
  </si>
  <si>
    <t>chiweluka@gmail.com</t>
  </si>
  <si>
    <t>binagid@gmail.com</t>
  </si>
  <si>
    <t>gfirdausiyusuf25@gmail.com</t>
  </si>
  <si>
    <t>alaminbukar2@gmail.com</t>
  </si>
  <si>
    <t>zakariyali2@gmail.com</t>
  </si>
  <si>
    <t>drukwaksman@gmail.com</t>
  </si>
  <si>
    <t>glandageorge509@gmail.com</t>
  </si>
  <si>
    <t>jtalake@gmail.com</t>
  </si>
  <si>
    <t xml:space="preserve">FATIMA ABDULRAZAK KADI </t>
  </si>
  <si>
    <t>ISHAQ MUHAMMED NUR</t>
  </si>
  <si>
    <t>17th January, 2026</t>
  </si>
  <si>
    <t>alargemb@gmail.com</t>
  </si>
  <si>
    <t>papkamichael2017@gmail.com</t>
  </si>
  <si>
    <t>muhammadusman6969@gmail.com</t>
  </si>
  <si>
    <t>daudaabana645@gmail.com</t>
  </si>
  <si>
    <t>ozigiozanatonizer234@gmail.com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</si>
</sst>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4"/>
      <name val="Tahoma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000000"/>
      <name val="Calibri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0">
    <xf numFmtId="0" fontId="0" fillId="0" borderId="0"/>
    <xf numFmtId="0" fontId="10" fillId="0" borderId="0"/>
    <xf numFmtId="0" fontId="15" fillId="0" borderId="0"/>
    <xf numFmtId="0" fontId="10" fillId="0" borderId="0"/>
    <xf numFmtId="0" fontId="16" fillId="0" borderId="0">
      <alignment vertical="center"/>
    </xf>
    <xf numFmtId="0" fontId="18" fillId="0" borderId="0">
      <protection locked="0"/>
    </xf>
    <xf numFmtId="0" fontId="17" fillId="0" borderId="0">
      <protection locked="0"/>
    </xf>
    <xf numFmtId="0" fontId="9" fillId="0" borderId="0"/>
    <xf numFmtId="0" fontId="9" fillId="0" borderId="0"/>
    <xf numFmtId="0" fontId="33" fillId="0" borderId="0">
      <protection locked="0"/>
    </xf>
    <xf numFmtId="0" fontId="6" fillId="0" borderId="0"/>
    <xf numFmtId="0" fontId="4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>
      <protection locked="0"/>
    </xf>
    <xf numFmtId="0" fontId="1" fillId="0" borderId="0"/>
    <xf numFmtId="0" fontId="1" fillId="0" borderId="0"/>
    <xf numFmtId="0" fontId="17" fillId="0" borderId="0">
      <protection locked="0"/>
    </xf>
    <xf numFmtId="0" fontId="1" fillId="0" borderId="0"/>
  </cellStyleXfs>
  <cellXfs count="348">
    <xf numFmtId="0" fontId="0" fillId="0" borderId="0" xfId="0"/>
    <xf numFmtId="0" fontId="0" fillId="0" borderId="2" xfId="0" applyBorder="1"/>
    <xf numFmtId="0" fontId="11" fillId="0" borderId="0" xfId="0" applyFont="1"/>
    <xf numFmtId="0" fontId="0" fillId="0" borderId="9" xfId="0" applyBorder="1"/>
    <xf numFmtId="0" fontId="12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3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11" fillId="0" borderId="0" xfId="0" applyFont="1" applyBorder="1"/>
    <xf numFmtId="0" fontId="0" fillId="0" borderId="24" xfId="0" applyBorder="1"/>
    <xf numFmtId="0" fontId="0" fillId="0" borderId="25" xfId="0" applyBorder="1"/>
    <xf numFmtId="0" fontId="12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20" fillId="0" borderId="9" xfId="0" applyFont="1" applyBorder="1"/>
    <xf numFmtId="49" fontId="21" fillId="0" borderId="9" xfId="0" applyNumberFormat="1" applyFont="1" applyBorder="1"/>
    <xf numFmtId="0" fontId="20" fillId="0" borderId="8" xfId="0" applyFont="1" applyBorder="1" applyProtection="1">
      <protection locked="0"/>
    </xf>
    <xf numFmtId="0" fontId="20" fillId="0" borderId="0" xfId="0" applyFont="1" applyBorder="1"/>
    <xf numFmtId="0" fontId="21" fillId="0" borderId="0" xfId="0" applyFont="1" applyBorder="1"/>
    <xf numFmtId="0" fontId="21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20" fillId="0" borderId="16" xfId="0" applyFont="1" applyBorder="1"/>
    <xf numFmtId="0" fontId="21" fillId="0" borderId="18" xfId="0" applyFont="1" applyBorder="1"/>
    <xf numFmtId="0" fontId="23" fillId="0" borderId="8" xfId="0" applyFont="1" applyBorder="1"/>
    <xf numFmtId="0" fontId="24" fillId="0" borderId="11" xfId="0" applyFont="1" applyBorder="1"/>
    <xf numFmtId="0" fontId="23" fillId="0" borderId="9" xfId="0" applyFont="1" applyBorder="1"/>
    <xf numFmtId="0" fontId="23" fillId="0" borderId="0" xfId="0" applyFont="1" applyBorder="1"/>
    <xf numFmtId="0" fontId="23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0" xfId="0" applyFill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20" fillId="4" borderId="9" xfId="8" applyFont="1" applyFill="1" applyBorder="1"/>
    <xf numFmtId="0" fontId="0" fillId="4" borderId="0" xfId="0" applyFill="1"/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2" fillId="8" borderId="9" xfId="0" applyFont="1" applyFill="1" applyBorder="1" applyAlignment="1">
      <alignment vertical="center"/>
    </xf>
    <xf numFmtId="0" fontId="22" fillId="8" borderId="9" xfId="0" applyFont="1" applyFill="1" applyBorder="1" applyAlignment="1">
      <alignment vertical="center" textRotation="90"/>
    </xf>
    <xf numFmtId="0" fontId="22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0" xfId="0" applyFill="1"/>
    <xf numFmtId="0" fontId="13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3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0" xfId="0" applyFill="1"/>
    <xf numFmtId="0" fontId="13" fillId="3" borderId="9" xfId="0" applyFont="1" applyFill="1" applyBorder="1" applyAlignment="1">
      <alignment vertical="center"/>
    </xf>
    <xf numFmtId="0" fontId="13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21" fillId="0" borderId="9" xfId="0" applyNumberFormat="1" applyFont="1" applyBorder="1" applyAlignment="1">
      <alignment textRotation="90" wrapText="1"/>
    </xf>
    <xf numFmtId="49" fontId="21" fillId="0" borderId="9" xfId="0" applyNumberFormat="1" applyFont="1" applyBorder="1" applyAlignment="1">
      <alignment vertical="center" textRotation="90" wrapText="1"/>
    </xf>
    <xf numFmtId="0" fontId="25" fillId="0" borderId="9" xfId="0" applyFont="1" applyBorder="1" applyAlignment="1">
      <alignment textRotation="45"/>
    </xf>
    <xf numFmtId="0" fontId="25" fillId="0" borderId="9" xfId="0" applyFont="1" applyBorder="1" applyAlignment="1" applyProtection="1">
      <alignment textRotation="45"/>
      <protection locked="0"/>
    </xf>
    <xf numFmtId="0" fontId="17" fillId="0" borderId="9" xfId="0" applyFont="1" applyBorder="1" applyAlignment="1"/>
    <xf numFmtId="0" fontId="17" fillId="0" borderId="9" xfId="0" applyFont="1" applyBorder="1" applyAlignment="1">
      <alignment vertical="center"/>
    </xf>
    <xf numFmtId="0" fontId="27" fillId="0" borderId="9" xfId="0" applyFont="1" applyBorder="1" applyAlignment="1"/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27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8" fillId="0" borderId="31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/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0" fillId="0" borderId="9" xfId="0" applyBorder="1" applyAlignment="1">
      <alignment vertical="center"/>
    </xf>
    <xf numFmtId="0" fontId="0" fillId="0" borderId="11" xfId="0" applyBorder="1" applyAlignment="1"/>
    <xf numFmtId="0" fontId="34" fillId="0" borderId="29" xfId="0" applyNumberFormat="1" applyFont="1" applyFill="1" applyBorder="1" applyAlignment="1">
      <alignment horizontal="left"/>
    </xf>
    <xf numFmtId="0" fontId="0" fillId="0" borderId="9" xfId="0" applyBorder="1" applyAlignment="1"/>
    <xf numFmtId="0" fontId="35" fillId="0" borderId="29" xfId="0" applyNumberFormat="1" applyFont="1" applyFill="1" applyBorder="1" applyAlignment="1">
      <alignment horizontal="left"/>
    </xf>
    <xf numFmtId="0" fontId="6" fillId="0" borderId="9" xfId="0" applyFont="1" applyBorder="1" applyAlignment="1"/>
    <xf numFmtId="0" fontId="36" fillId="0" borderId="9" xfId="0" applyFont="1" applyBorder="1" applyAlignment="1">
      <alignment wrapText="1"/>
    </xf>
    <xf numFmtId="0" fontId="36" fillId="0" borderId="9" xfId="0" applyFont="1" applyBorder="1" applyAlignment="1">
      <alignment horizontal="left" vertical="center" wrapText="1"/>
    </xf>
    <xf numFmtId="0" fontId="36" fillId="0" borderId="9" xfId="0" applyFont="1" applyBorder="1" applyAlignment="1">
      <alignment vertical="center" wrapText="1"/>
    </xf>
    <xf numFmtId="0" fontId="37" fillId="0" borderId="9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left" vertical="center"/>
    </xf>
    <xf numFmtId="0" fontId="36" fillId="0" borderId="9" xfId="0" applyFont="1" applyBorder="1" applyAlignment="1">
      <alignment horizontal="left" wrapText="1"/>
    </xf>
    <xf numFmtId="0" fontId="37" fillId="0" borderId="9" xfId="0" applyFont="1" applyBorder="1" applyAlignment="1">
      <alignment vertical="center" wrapText="1"/>
    </xf>
    <xf numFmtId="0" fontId="36" fillId="0" borderId="9" xfId="0" applyFont="1" applyBorder="1" applyAlignment="1">
      <alignment vertical="top" wrapText="1"/>
    </xf>
    <xf numFmtId="0" fontId="38" fillId="0" borderId="9" xfId="0" applyFont="1" applyBorder="1" applyAlignment="1">
      <alignment vertical="top" wrapText="1"/>
    </xf>
    <xf numFmtId="0" fontId="39" fillId="0" borderId="9" xfId="0" applyFont="1" applyBorder="1" applyAlignment="1">
      <alignment vertical="center" wrapText="1"/>
    </xf>
    <xf numFmtId="0" fontId="39" fillId="0" borderId="9" xfId="0" applyFont="1" applyBorder="1" applyAlignment="1">
      <alignment horizontal="left" vertical="top" wrapText="1"/>
    </xf>
    <xf numFmtId="0" fontId="39" fillId="0" borderId="9" xfId="0" applyFont="1" applyBorder="1" applyAlignment="1">
      <alignment vertical="top" wrapText="1"/>
    </xf>
    <xf numFmtId="0" fontId="39" fillId="0" borderId="9" xfId="0" applyFont="1" applyBorder="1" applyAlignment="1">
      <alignment horizontal="left" vertical="center" wrapText="1"/>
    </xf>
    <xf numFmtId="0" fontId="39" fillId="0" borderId="9" xfId="0" applyFont="1" applyBorder="1" applyAlignment="1">
      <alignment wrapText="1"/>
    </xf>
    <xf numFmtId="0" fontId="39" fillId="0" borderId="9" xfId="0" applyFont="1" applyFill="1" applyBorder="1" applyAlignment="1">
      <alignment vertical="center" wrapText="1"/>
    </xf>
    <xf numFmtId="0" fontId="39" fillId="0" borderId="9" xfId="0" applyFont="1" applyFill="1" applyBorder="1" applyAlignment="1">
      <alignment horizontal="left" vertical="center" wrapText="1"/>
    </xf>
    <xf numFmtId="0" fontId="40" fillId="0" borderId="9" xfId="0" applyFont="1" applyBorder="1" applyAlignment="1"/>
    <xf numFmtId="0" fontId="40" fillId="0" borderId="9" xfId="0" applyFont="1" applyBorder="1" applyAlignment="1">
      <alignment vertic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1" fillId="0" borderId="9" xfId="0" applyFont="1" applyBorder="1" applyAlignment="1">
      <alignment vertical="top" wrapText="1"/>
    </xf>
    <xf numFmtId="0" fontId="36" fillId="0" borderId="9" xfId="0" applyFont="1" applyBorder="1" applyAlignment="1">
      <alignment horizontal="left" vertical="top" wrapText="1"/>
    </xf>
    <xf numFmtId="0" fontId="36" fillId="0" borderId="9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horizontal="left" vertical="center" wrapText="1"/>
    </xf>
    <xf numFmtId="0" fontId="0" fillId="0" borderId="0" xfId="0"/>
    <xf numFmtId="0" fontId="42" fillId="0" borderId="0" xfId="0" applyFont="1"/>
    <xf numFmtId="0" fontId="43" fillId="0" borderId="9" xfId="0" applyFont="1" applyFill="1" applyBorder="1" applyAlignment="1">
      <alignment vertical="center" wrapText="1"/>
    </xf>
    <xf numFmtId="0" fontId="42" fillId="0" borderId="0" xfId="0" applyFont="1" applyBorder="1"/>
    <xf numFmtId="0" fontId="43" fillId="0" borderId="10" xfId="0" applyFont="1" applyFill="1" applyBorder="1" applyAlignment="1">
      <alignment vertical="center" wrapText="1"/>
    </xf>
    <xf numFmtId="0" fontId="40" fillId="0" borderId="10" xfId="0" applyFont="1" applyBorder="1" applyAlignment="1">
      <alignment vertical="center"/>
    </xf>
    <xf numFmtId="0" fontId="0" fillId="0" borderId="11" xfId="0" applyBorder="1"/>
    <xf numFmtId="0" fontId="17" fillId="0" borderId="11" xfId="0" applyFont="1" applyBorder="1" applyAlignment="1"/>
    <xf numFmtId="0" fontId="40" fillId="0" borderId="11" xfId="0" applyFont="1" applyBorder="1" applyAlignment="1"/>
    <xf numFmtId="0" fontId="0" fillId="0" borderId="0" xfId="0" applyBorder="1" applyAlignment="1">
      <alignment vertical="center"/>
    </xf>
    <xf numFmtId="0" fontId="40" fillId="0" borderId="10" xfId="0" applyFont="1" applyBorder="1" applyAlignment="1"/>
    <xf numFmtId="0" fontId="40" fillId="0" borderId="1" xfId="0" applyFont="1" applyBorder="1" applyAlignment="1"/>
    <xf numFmtId="0" fontId="0" fillId="0" borderId="11" xfId="0" applyFont="1" applyBorder="1"/>
    <xf numFmtId="0" fontId="25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4" fillId="0" borderId="0" xfId="0" applyFont="1"/>
    <xf numFmtId="0" fontId="0" fillId="8" borderId="9" xfId="0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/>
    <xf numFmtId="0" fontId="0" fillId="3" borderId="9" xfId="0" applyFill="1" applyBorder="1" applyAlignment="1"/>
    <xf numFmtId="0" fontId="0" fillId="4" borderId="11" xfId="0" applyFill="1" applyBorder="1" applyAlignment="1"/>
    <xf numFmtId="0" fontId="7" fillId="8" borderId="9" xfId="0" applyFont="1" applyFill="1" applyBorder="1" applyAlignment="1">
      <alignment vertical="center"/>
    </xf>
    <xf numFmtId="0" fontId="0" fillId="0" borderId="0" xfId="0"/>
    <xf numFmtId="0" fontId="17" fillId="0" borderId="0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45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4" fillId="0" borderId="0" xfId="11"/>
    <xf numFmtId="0" fontId="2" fillId="15" borderId="35" xfId="0" applyFont="1" applyFill="1" applyBorder="1"/>
    <xf numFmtId="0" fontId="2" fillId="0" borderId="35" xfId="0" applyFont="1" applyBorder="1"/>
    <xf numFmtId="0" fontId="39" fillId="0" borderId="9" xfId="0" applyFont="1" applyFill="1" applyBorder="1" applyAlignment="1">
      <alignment vertical="center" wrapText="1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8" fillId="0" borderId="9" xfId="4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top"/>
    </xf>
    <xf numFmtId="0" fontId="47" fillId="8" borderId="9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8" fillId="0" borderId="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11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5" borderId="9" xfId="0" applyFont="1" applyFill="1" applyBorder="1" applyAlignment="1">
      <alignment vertical="center"/>
    </xf>
    <xf numFmtId="0" fontId="28" fillId="0" borderId="28" xfId="0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6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4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13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7" borderId="9" xfId="0" applyFont="1" applyFill="1" applyBorder="1" applyAlignment="1">
      <alignment vertical="center"/>
    </xf>
    <xf numFmtId="0" fontId="0" fillId="0" borderId="9" xfId="0" applyBorder="1"/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/>
    <xf numFmtId="0" fontId="46" fillId="12" borderId="9" xfId="0" applyFont="1" applyFill="1" applyBorder="1" applyAlignment="1">
      <alignment vertical="center"/>
    </xf>
    <xf numFmtId="0" fontId="0" fillId="0" borderId="9" xfId="0" applyBorder="1" applyAlignment="1">
      <alignment horizontal="left"/>
    </xf>
    <xf numFmtId="0" fontId="48" fillId="0" borderId="9" xfId="0" applyFont="1" applyBorder="1" applyAlignment="1">
      <alignment horizontal="left" vertical="center"/>
    </xf>
    <xf numFmtId="0" fontId="48" fillId="0" borderId="27" xfId="0" applyFont="1" applyBorder="1" applyAlignment="1">
      <alignment horizontal="left" vertical="center"/>
    </xf>
    <xf numFmtId="0" fontId="48" fillId="0" borderId="9" xfId="0" applyFont="1" applyBorder="1" applyAlignment="1">
      <alignment horizontal="left"/>
    </xf>
    <xf numFmtId="0" fontId="48" fillId="0" borderId="9" xfId="0" applyFont="1" applyBorder="1" applyAlignment="1"/>
    <xf numFmtId="0" fontId="17" fillId="0" borderId="9" xfId="0" applyFont="1" applyBorder="1" applyAlignment="1">
      <alignment horizontal="center"/>
    </xf>
    <xf numFmtId="0" fontId="49" fillId="0" borderId="9" xfId="0" applyFont="1" applyBorder="1" applyAlignment="1">
      <alignment horizontal="left"/>
    </xf>
    <xf numFmtId="0" fontId="4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48" fillId="0" borderId="32" xfId="0" applyFont="1" applyBorder="1" applyAlignment="1">
      <alignment horizontal="left" vertical="center"/>
    </xf>
    <xf numFmtId="0" fontId="48" fillId="0" borderId="33" xfId="0" applyFont="1" applyBorder="1" applyAlignment="1">
      <alignment horizontal="left" vertical="center"/>
    </xf>
    <xf numFmtId="0" fontId="48" fillId="0" borderId="34" xfId="0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14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46" fillId="3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46" fillId="8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46" fillId="14" borderId="9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46" fillId="9" borderId="9" xfId="0" applyFont="1" applyFill="1" applyBorder="1" applyAlignment="1">
      <alignment vertical="center"/>
    </xf>
    <xf numFmtId="0" fontId="19" fillId="0" borderId="18" xfId="0" applyFont="1" applyBorder="1"/>
    <xf numFmtId="0" fontId="19" fillId="0" borderId="0" xfId="0" applyFont="1" applyBorder="1"/>
    <xf numFmtId="0" fontId="0" fillId="0" borderId="0" xfId="0"/>
    <xf numFmtId="0" fontId="21" fillId="0" borderId="6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textRotation="90"/>
    </xf>
    <xf numFmtId="49" fontId="21" fillId="0" borderId="9" xfId="0" applyNumberFormat="1" applyFont="1" applyBorder="1" applyAlignment="1">
      <alignment horizontal="center" textRotation="90"/>
    </xf>
    <xf numFmtId="49" fontId="21" fillId="0" borderId="7" xfId="0" applyNumberFormat="1" applyFont="1" applyBorder="1" applyAlignment="1">
      <alignment horizontal="center" textRotation="90" wrapText="1"/>
    </xf>
    <xf numFmtId="49" fontId="21" fillId="0" borderId="9" xfId="0" applyNumberFormat="1" applyFont="1" applyBorder="1" applyAlignment="1">
      <alignment horizontal="center" textRotation="90" wrapText="1"/>
    </xf>
    <xf numFmtId="49" fontId="21" fillId="0" borderId="10" xfId="0" applyNumberFormat="1" applyFont="1" applyBorder="1" applyAlignment="1">
      <alignment horizontal="left" textRotation="90" wrapText="1"/>
    </xf>
    <xf numFmtId="49" fontId="21" fillId="0" borderId="28" xfId="0" applyNumberFormat="1" applyFont="1" applyBorder="1" applyAlignment="1">
      <alignment horizontal="left" textRotation="90" wrapText="1"/>
    </xf>
    <xf numFmtId="49" fontId="21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3" fillId="0" borderId="9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0" fillId="0" borderId="11" xfId="0" applyFont="1" applyBorder="1"/>
    <xf numFmtId="0" fontId="20" fillId="0" borderId="13" xfId="0" applyFont="1" applyBorder="1"/>
    <xf numFmtId="0" fontId="20" fillId="0" borderId="14" xfId="0" applyFont="1" applyBorder="1"/>
    <xf numFmtId="0" fontId="21" fillId="0" borderId="10" xfId="0" applyFont="1" applyBorder="1"/>
    <xf numFmtId="0" fontId="21" fillId="0" borderId="1" xfId="0" applyFont="1" applyBorder="1"/>
    <xf numFmtId="0" fontId="21" fillId="0" borderId="13" xfId="0" applyFont="1" applyBorder="1" applyAlignment="1">
      <alignment horizontal="right"/>
    </xf>
    <xf numFmtId="0" fontId="21" fillId="0" borderId="14" xfId="0" applyFont="1" applyBorder="1" applyAlignment="1">
      <alignment horizontal="right"/>
    </xf>
    <xf numFmtId="0" fontId="20" fillId="0" borderId="9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1" fillId="0" borderId="7" xfId="0" applyFont="1" applyBorder="1"/>
    <xf numFmtId="0" fontId="21" fillId="0" borderId="4" xfId="0" applyFont="1" applyBorder="1"/>
    <xf numFmtId="0" fontId="20" fillId="0" borderId="5" xfId="0" applyFont="1" applyBorder="1"/>
    <xf numFmtId="0" fontId="20" fillId="0" borderId="12" xfId="0" applyFont="1" applyBorder="1"/>
    <xf numFmtId="0" fontId="21" fillId="0" borderId="9" xfId="0" applyFont="1" applyBorder="1"/>
    <xf numFmtId="0" fontId="21" fillId="0" borderId="11" xfId="0" applyFont="1" applyBorder="1"/>
    <xf numFmtId="164" fontId="20" fillId="0" borderId="2" xfId="0" applyNumberFormat="1" applyFont="1" applyBorder="1"/>
    <xf numFmtId="164" fontId="20" fillId="0" borderId="15" xfId="0" applyNumberFormat="1" applyFont="1" applyBorder="1"/>
    <xf numFmtId="0" fontId="21" fillId="0" borderId="0" xfId="0" applyFont="1" applyBorder="1" applyAlignment="1">
      <alignment horizontal="left"/>
    </xf>
    <xf numFmtId="0" fontId="20" fillId="0" borderId="0" xfId="0" applyFont="1" applyBorder="1"/>
    <xf numFmtId="0" fontId="21" fillId="0" borderId="0" xfId="0" applyFont="1" applyBorder="1"/>
    <xf numFmtId="0" fontId="21" fillId="0" borderId="16" xfId="0" applyFont="1" applyBorder="1"/>
    <xf numFmtId="0" fontId="20" fillId="0" borderId="0" xfId="0" applyFont="1" applyBorder="1" applyAlignment="1">
      <alignment horizontal="center"/>
    </xf>
    <xf numFmtId="0" fontId="20" fillId="0" borderId="16" xfId="0" applyFont="1" applyBorder="1"/>
    <xf numFmtId="0" fontId="0" fillId="0" borderId="9" xfId="0" applyFont="1" applyBorder="1" applyAlignment="1">
      <alignment horizontal="left"/>
    </xf>
    <xf numFmtId="0" fontId="0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9" fillId="0" borderId="11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7" xfId="0" applyFont="1" applyBorder="1" applyAlignment="1">
      <alignment horizontal="center"/>
    </xf>
  </cellXfs>
  <cellStyles count="20">
    <cellStyle name="Hyperlink" xfId="11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17"/>
    <cellStyle name="Normal 2 2 4" xfId="14"/>
    <cellStyle name="Normal 2 3" xfId="5"/>
    <cellStyle name="Normal 2 3 2" xfId="15"/>
    <cellStyle name="Normal 2 4" xfId="9"/>
    <cellStyle name="Normal 2 4 2" xfId="18"/>
    <cellStyle name="Normal 2 5" xfId="13"/>
    <cellStyle name="Normal 3" xfId="1"/>
    <cellStyle name="Normal 3 2" xfId="4"/>
    <cellStyle name="Normal 3 3" xfId="10"/>
    <cellStyle name="Normal 3 3 2" xfId="19"/>
    <cellStyle name="Normal 3 4" xfId="12"/>
    <cellStyle name="Normal 4" xfId="7"/>
    <cellStyle name="Normal 4 2" xfId="16"/>
  </cellStyles>
  <dxfs count="60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16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2" name="Table2" displayName="Table2" ref="A1:J51" totalsRowShown="0" headerRowDxfId="59" dataDxfId="58">
  <autoFilter ref="A1:J51"/>
  <tableColumns count="10">
    <tableColumn id="1" name="Admission_No" dataDxfId="57"/>
    <tableColumn id="2" name="Names " dataDxfId="56"/>
    <tableColumn id="3" name="Class " dataDxfId="55"/>
    <tableColumn id="4" name="Age" dataDxfId="54"/>
    <tableColumn id="5" name="State of Origin " dataDxfId="53"/>
    <tableColumn id="6" name="LGA" dataDxfId="52"/>
    <tableColumn id="7" name="Term " dataDxfId="51"/>
    <tableColumn id="8" name="Next Term Begins" dataDxfId="50"/>
    <tableColumn id="11" name="Password" dataDxfId="49"/>
    <tableColumn id="9" name="Email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51" totalsRowShown="0" headerRowDxfId="47">
  <autoFilter ref="A1:C51"/>
  <tableColumns count="3">
    <tableColumn id="1" name="Admission_No" dataDxfId="46"/>
    <tableColumn id="2" name="Comments" dataDxfId="45"/>
    <tableColumn id="3" name="Position of authourity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I55" totalsRowShown="0" headerRowDxfId="43" dataDxfId="42" tableBorderDxfId="41">
  <autoFilter ref="A1:I55"/>
  <tableColumns count="9">
    <tableColumn id="1" name="Admission_No" dataDxfId="40"/>
    <tableColumn id="2" name="Puntuality " dataDxfId="39"/>
    <tableColumn id="3" name="Attendance in class" dataDxfId="38"/>
    <tableColumn id="4" name="Neatness" dataDxfId="37"/>
    <tableColumn id="5" name="Politeness" dataDxfId="36"/>
    <tableColumn id="6" name="Honesty" dataDxfId="35"/>
    <tableColumn id="7" name="Attentiveness" dataDxfId="34"/>
    <tableColumn id="8" name="Obedience" dataDxfId="33"/>
    <tableColumn id="9" name="Self Control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F51" totalsRowShown="0" headerRowDxfId="31" dataDxfId="30">
  <autoFilter ref="A1:F51"/>
  <tableColumns count="6">
    <tableColumn id="1" name="Admission_No" dataDxfId="29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Scoresheet!Q3</calculatedColumnFormula>
    </tableColumn>
    <tableColumn id="4" name="Basic Technology" dataDxfId="18">
      <calculatedColumnFormula>Scoresheet!Y3</calculatedColumnFormula>
    </tableColumn>
    <tableColumn id="5" name="C.R.K." dataDxfId="17">
      <calculatedColumnFormula>Scoresheet!AJ3</calculatedColumnFormula>
    </tableColumn>
    <tableColumn id="6" name="Social Studies" dataDxfId="16">
      <calculatedColumnFormula>Scoresheet!AR3</calculatedColumnFormula>
    </tableColumn>
    <tableColumn id="7" name="Agric Science" dataDxfId="15">
      <calculatedColumnFormula>Scoresheet!AZ3</calculatedColumnFormula>
    </tableColumn>
    <tableColumn id="8" name="Basic Science" dataDxfId="14">
      <calculatedColumnFormula>Scoresheet!BH3</calculatedColumnFormula>
    </tableColumn>
    <tableColumn id="9" name="Business Studies" dataDxfId="13">
      <calculatedColumnFormula>Scoresheet!BP3</calculatedColumnFormula>
    </tableColumn>
    <tableColumn id="10" name="Computer Science" dataDxfId="12">
      <calculatedColumnFormula>Scoresheet!BX3</calculatedColumnFormula>
    </tableColumn>
    <tableColumn id="11" name="Home Economics" dataDxfId="11">
      <calculatedColumnFormula>Scoresheet!CF3</calculatedColumnFormula>
    </tableColumn>
    <tableColumn id="12" name="P.H.E." dataDxfId="10">
      <calculatedColumnFormula>Scoresheet!CN3</calculatedColumnFormula>
    </tableColumn>
    <tableColumn id="13" name="Fine Art" dataDxfId="9">
      <calculatedColumnFormula>Scoresheet!CV3</calculatedColumnFormula>
    </tableColumn>
    <tableColumn id="14" name="French" dataDxfId="8">
      <calculatedColumnFormula>Scoresheet!DD3</calculatedColumnFormula>
    </tableColumn>
    <tableColumn id="15" name="Hausa" dataDxfId="7">
      <calculatedColumnFormula>Scoresheet!DL3</calculatedColumnFormula>
    </tableColumn>
    <tableColumn id="16" name="Civic Educatuion" dataDxfId="6">
      <calculatedColumnFormula>Scoresheet!DT3</calculatedColumnFormula>
    </tableColumn>
    <tableColumn id="17" name="Literature " dataDxfId="5">
      <calculatedColumnFormula>Scoresheet!EB3</calculatedColumnFormula>
    </tableColumn>
    <tableColumn id="18" name="History" dataDxfId="4">
      <calculatedColumnFormula>Scoresheet!EJ3</calculatedColumnFormula>
    </tableColumn>
    <tableColumn id="19" name="I.R.K." dataDxfId="3">
      <calculatedColumnFormula>Scoresheet!ER3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aramuhammad@gmail.com" TargetMode="External"/><Relationship Id="rId13" Type="http://schemas.openxmlformats.org/officeDocument/2006/relationships/hyperlink" Target="mailto:amaaluminium@gmail.com" TargetMode="External"/><Relationship Id="rId18" Type="http://schemas.openxmlformats.org/officeDocument/2006/relationships/hyperlink" Target="mailto:papkamichael2017@gmail.com" TargetMode="External"/><Relationship Id="rId26" Type="http://schemas.openxmlformats.org/officeDocument/2006/relationships/hyperlink" Target="mailto:aishaturwagana@gmail.com" TargetMode="External"/><Relationship Id="rId39" Type="http://schemas.openxmlformats.org/officeDocument/2006/relationships/hyperlink" Target="mailto:ozigiozanatonizer234@gmail.com" TargetMode="External"/><Relationship Id="rId3" Type="http://schemas.openxmlformats.org/officeDocument/2006/relationships/hyperlink" Target="mailto:mulikat606@gmail.com" TargetMode="External"/><Relationship Id="rId21" Type="http://schemas.openxmlformats.org/officeDocument/2006/relationships/hyperlink" Target="mailto:hauwaalisadiq@gmail.com" TargetMode="External"/><Relationship Id="rId34" Type="http://schemas.openxmlformats.org/officeDocument/2006/relationships/hyperlink" Target="mailto:glandageorge509@gmail.com" TargetMode="External"/><Relationship Id="rId7" Type="http://schemas.openxmlformats.org/officeDocument/2006/relationships/hyperlink" Target="mailto:bgmammami10@gmail.com" TargetMode="External"/><Relationship Id="rId12" Type="http://schemas.openxmlformats.org/officeDocument/2006/relationships/hyperlink" Target="mailto:ahmedabubakarglobalventures@gmail.com" TargetMode="External"/><Relationship Id="rId17" Type="http://schemas.openxmlformats.org/officeDocument/2006/relationships/hyperlink" Target="mailto:helensunday135@gmail.com" TargetMode="External"/><Relationship Id="rId25" Type="http://schemas.openxmlformats.org/officeDocument/2006/relationships/hyperlink" Target="mailto:yayanatijjani14@gmail.com" TargetMode="External"/><Relationship Id="rId33" Type="http://schemas.openxmlformats.org/officeDocument/2006/relationships/hyperlink" Target="mailto:drukwaksman@gmail.com" TargetMode="External"/><Relationship Id="rId38" Type="http://schemas.openxmlformats.org/officeDocument/2006/relationships/hyperlink" Target="mailto:daudaabana645@gmail.com" TargetMode="External"/><Relationship Id="rId2" Type="http://schemas.openxmlformats.org/officeDocument/2006/relationships/hyperlink" Target="mailto:kuburagana@gmail.com" TargetMode="External"/><Relationship Id="rId16" Type="http://schemas.openxmlformats.org/officeDocument/2006/relationships/hyperlink" Target="mailto:alhajimai@gmail.com" TargetMode="External"/><Relationship Id="rId20" Type="http://schemas.openxmlformats.org/officeDocument/2006/relationships/hyperlink" Target="mailto:lukmansholakabir@gmail.com" TargetMode="External"/><Relationship Id="rId29" Type="http://schemas.openxmlformats.org/officeDocument/2006/relationships/hyperlink" Target="mailto:binagid@gmail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aishatuhassan233@gmail.com" TargetMode="External"/><Relationship Id="rId6" Type="http://schemas.openxmlformats.org/officeDocument/2006/relationships/hyperlink" Target="mailto:muhammadamarte54@gmail.com" TargetMode="External"/><Relationship Id="rId11" Type="http://schemas.openxmlformats.org/officeDocument/2006/relationships/hyperlink" Target="mailto:musbuk2012@gmail.com" TargetMode="External"/><Relationship Id="rId24" Type="http://schemas.openxmlformats.org/officeDocument/2006/relationships/hyperlink" Target="mailto:kachallawasiniaudu@gmail.com" TargetMode="External"/><Relationship Id="rId32" Type="http://schemas.openxmlformats.org/officeDocument/2006/relationships/hyperlink" Target="mailto:zakariyali2@gmail.com" TargetMode="External"/><Relationship Id="rId37" Type="http://schemas.openxmlformats.org/officeDocument/2006/relationships/hyperlink" Target="mailto:muhammadusman6969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lhabdulkli@gmail.com" TargetMode="External"/><Relationship Id="rId15" Type="http://schemas.openxmlformats.org/officeDocument/2006/relationships/hyperlink" Target="mailto:mbj5643@gmail.com" TargetMode="External"/><Relationship Id="rId23" Type="http://schemas.openxmlformats.org/officeDocument/2006/relationships/hyperlink" Target="mailto:lawanalhajibukar1@gmail.com" TargetMode="External"/><Relationship Id="rId28" Type="http://schemas.openxmlformats.org/officeDocument/2006/relationships/hyperlink" Target="mailto:chiweluka@gmail.com" TargetMode="External"/><Relationship Id="rId36" Type="http://schemas.openxmlformats.org/officeDocument/2006/relationships/hyperlink" Target="mailto:danjumdanalami@gmail.com" TargetMode="External"/><Relationship Id="rId10" Type="http://schemas.openxmlformats.org/officeDocument/2006/relationships/hyperlink" Target="mailto:arikbik2010@gmail.com" TargetMode="External"/><Relationship Id="rId19" Type="http://schemas.openxmlformats.org/officeDocument/2006/relationships/hyperlink" Target="mailto:adamuisa2006@gmail.com" TargetMode="External"/><Relationship Id="rId31" Type="http://schemas.openxmlformats.org/officeDocument/2006/relationships/hyperlink" Target="mailto:alaminbukar2@gmail.com" TargetMode="External"/><Relationship Id="rId4" Type="http://schemas.openxmlformats.org/officeDocument/2006/relationships/hyperlink" Target="mailto:zeelijah277@gmail.com" TargetMode="External"/><Relationship Id="rId9" Type="http://schemas.openxmlformats.org/officeDocument/2006/relationships/hyperlink" Target="mailto:rabiu3030@gmail.com" TargetMode="External"/><Relationship Id="rId14" Type="http://schemas.openxmlformats.org/officeDocument/2006/relationships/hyperlink" Target="mailto:alargemb@gmail.com" TargetMode="External"/><Relationship Id="rId22" Type="http://schemas.openxmlformats.org/officeDocument/2006/relationships/hyperlink" Target="mailto:ibrahimadamu@gmail.com" TargetMode="External"/><Relationship Id="rId27" Type="http://schemas.openxmlformats.org/officeDocument/2006/relationships/hyperlink" Target="mailto:soulmateiyabo@gmail.com" TargetMode="External"/><Relationship Id="rId30" Type="http://schemas.openxmlformats.org/officeDocument/2006/relationships/hyperlink" Target="mailto:gfirdausiyusuf25@gmail.com" TargetMode="External"/><Relationship Id="rId35" Type="http://schemas.openxmlformats.org/officeDocument/2006/relationships/hyperlink" Target="mailto:jtalake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3"/>
  <sheetViews>
    <sheetView tabSelected="1" topLeftCell="B24" zoomScale="85" zoomScaleNormal="85" workbookViewId="0">
      <selection activeCell="J41" sqref="J41"/>
    </sheetView>
  </sheetViews>
  <sheetFormatPr defaultColWidth="9" defaultRowHeight="15"/>
  <cols>
    <col min="1" max="1" width="18.85546875" style="160" customWidth="1"/>
    <col min="2" max="2" width="33.140625" bestFit="1" customWidth="1"/>
    <col min="3" max="3" width="12.85546875" customWidth="1"/>
    <col min="4" max="4" width="7.28515625" customWidth="1"/>
    <col min="5" max="5" width="16.140625" customWidth="1"/>
    <col min="6" max="6" width="17.140625" bestFit="1" customWidth="1"/>
    <col min="7" max="7" width="15.140625" bestFit="1" customWidth="1"/>
    <col min="8" max="8" width="28" style="168" customWidth="1"/>
    <col min="9" max="9" width="18.5703125" style="204" customWidth="1"/>
    <col min="10" max="10" width="40.28515625" style="168" customWidth="1"/>
    <col min="11" max="11" width="17.140625" style="168" customWidth="1"/>
    <col min="12" max="12" width="10" customWidth="1"/>
  </cols>
  <sheetData>
    <row r="1" spans="1:11">
      <c r="A1" s="161" t="s">
        <v>222</v>
      </c>
      <c r="B1" s="162" t="s">
        <v>0</v>
      </c>
      <c r="C1" s="162" t="s">
        <v>1</v>
      </c>
      <c r="D1" s="162" t="s">
        <v>2</v>
      </c>
      <c r="E1" s="162" t="s">
        <v>3</v>
      </c>
      <c r="F1" s="162" t="s">
        <v>4</v>
      </c>
      <c r="G1" s="162" t="s">
        <v>5</v>
      </c>
      <c r="H1" s="163" t="s">
        <v>6</v>
      </c>
      <c r="I1" s="208" t="s">
        <v>224</v>
      </c>
      <c r="J1" s="209" t="s">
        <v>227</v>
      </c>
      <c r="K1" s="162"/>
    </row>
    <row r="2" spans="1:11">
      <c r="A2" s="185">
        <v>1</v>
      </c>
      <c r="B2" s="142" t="s">
        <v>153</v>
      </c>
      <c r="C2" s="112" t="s">
        <v>98</v>
      </c>
      <c r="D2" s="112">
        <v>11</v>
      </c>
      <c r="E2" s="111" t="s">
        <v>187</v>
      </c>
      <c r="F2" s="112" t="s">
        <v>99</v>
      </c>
      <c r="G2" s="112" t="s">
        <v>228</v>
      </c>
      <c r="H2" s="112" t="s">
        <v>225</v>
      </c>
      <c r="I2" s="161">
        <v>1111</v>
      </c>
      <c r="J2" s="210" t="s">
        <v>229</v>
      </c>
      <c r="K2"/>
    </row>
    <row r="3" spans="1:11">
      <c r="A3" s="185">
        <v>2</v>
      </c>
      <c r="B3" s="143" t="s">
        <v>154</v>
      </c>
      <c r="C3" s="112" t="s">
        <v>98</v>
      </c>
      <c r="D3" s="112">
        <v>13</v>
      </c>
      <c r="E3" s="111" t="s">
        <v>187</v>
      </c>
      <c r="F3" s="112" t="s">
        <v>188</v>
      </c>
      <c r="G3" s="112" t="s">
        <v>228</v>
      </c>
      <c r="H3" s="112" t="s">
        <v>225</v>
      </c>
      <c r="I3" s="161">
        <v>1111</v>
      </c>
      <c r="J3" s="210" t="s">
        <v>230</v>
      </c>
      <c r="K3"/>
    </row>
    <row r="4" spans="1:11">
      <c r="A4" s="185">
        <v>3</v>
      </c>
      <c r="B4" s="144" t="s">
        <v>155</v>
      </c>
      <c r="C4" s="112" t="s">
        <v>98</v>
      </c>
      <c r="D4" s="112">
        <v>11</v>
      </c>
      <c r="E4" s="111" t="s">
        <v>189</v>
      </c>
      <c r="F4" s="112" t="s">
        <v>190</v>
      </c>
      <c r="G4" s="112" t="s">
        <v>228</v>
      </c>
      <c r="H4" s="112" t="s">
        <v>225</v>
      </c>
      <c r="I4" s="161">
        <v>1111</v>
      </c>
      <c r="J4" s="210" t="s">
        <v>231</v>
      </c>
      <c r="K4"/>
    </row>
    <row r="5" spans="1:11">
      <c r="A5" s="185">
        <v>4</v>
      </c>
      <c r="B5" s="145" t="s">
        <v>156</v>
      </c>
      <c r="C5" s="112" t="s">
        <v>98</v>
      </c>
      <c r="D5" s="112">
        <v>12</v>
      </c>
      <c r="E5" s="111" t="s">
        <v>187</v>
      </c>
      <c r="F5" s="112" t="s">
        <v>191</v>
      </c>
      <c r="G5" s="112" t="s">
        <v>228</v>
      </c>
      <c r="H5" s="112" t="s">
        <v>225</v>
      </c>
      <c r="I5" s="161">
        <v>1111</v>
      </c>
      <c r="J5" s="210" t="s">
        <v>232</v>
      </c>
      <c r="K5"/>
    </row>
    <row r="6" spans="1:11">
      <c r="A6" s="185">
        <v>5</v>
      </c>
      <c r="B6" s="144" t="s">
        <v>157</v>
      </c>
      <c r="C6" s="112" t="s">
        <v>98</v>
      </c>
      <c r="D6" s="112">
        <v>11</v>
      </c>
      <c r="E6" s="111" t="s">
        <v>187</v>
      </c>
      <c r="F6" s="112" t="s">
        <v>192</v>
      </c>
      <c r="G6" s="112" t="s">
        <v>228</v>
      </c>
      <c r="H6" s="112" t="s">
        <v>225</v>
      </c>
      <c r="I6" s="161">
        <v>1111</v>
      </c>
      <c r="J6" s="210" t="s">
        <v>269</v>
      </c>
      <c r="K6"/>
    </row>
    <row r="7" spans="1:11">
      <c r="A7" s="185">
        <v>6</v>
      </c>
      <c r="B7" s="143" t="s">
        <v>158</v>
      </c>
      <c r="C7" s="112" t="s">
        <v>98</v>
      </c>
      <c r="D7" s="112">
        <v>10</v>
      </c>
      <c r="E7" s="111" t="s">
        <v>187</v>
      </c>
      <c r="F7" s="112" t="s">
        <v>193</v>
      </c>
      <c r="G7" s="112" t="s">
        <v>228</v>
      </c>
      <c r="H7" s="112" t="s">
        <v>225</v>
      </c>
      <c r="I7" s="161">
        <v>1111</v>
      </c>
      <c r="J7" s="210" t="s">
        <v>233</v>
      </c>
      <c r="K7"/>
    </row>
    <row r="8" spans="1:11">
      <c r="A8" s="185">
        <v>7</v>
      </c>
      <c r="B8" s="146" t="s">
        <v>159</v>
      </c>
      <c r="C8" s="112" t="s">
        <v>98</v>
      </c>
      <c r="D8" s="112">
        <v>13</v>
      </c>
      <c r="E8" s="111" t="s">
        <v>187</v>
      </c>
      <c r="F8" s="112" t="s">
        <v>99</v>
      </c>
      <c r="G8" s="112" t="s">
        <v>228</v>
      </c>
      <c r="H8" s="112" t="s">
        <v>225</v>
      </c>
      <c r="I8" s="161">
        <v>1111</v>
      </c>
      <c r="J8" s="210" t="s">
        <v>234</v>
      </c>
      <c r="K8"/>
    </row>
    <row r="9" spans="1:11">
      <c r="A9" s="185">
        <v>8</v>
      </c>
      <c r="B9" s="143" t="s">
        <v>160</v>
      </c>
      <c r="C9" s="112" t="s">
        <v>98</v>
      </c>
      <c r="D9" s="112">
        <v>11</v>
      </c>
      <c r="E9" s="111" t="s">
        <v>187</v>
      </c>
      <c r="F9" s="112" t="s">
        <v>194</v>
      </c>
      <c r="G9" s="112" t="s">
        <v>228</v>
      </c>
      <c r="H9" s="112" t="s">
        <v>225</v>
      </c>
      <c r="I9" s="161">
        <v>1111</v>
      </c>
      <c r="J9" s="210" t="s">
        <v>235</v>
      </c>
      <c r="K9"/>
    </row>
    <row r="10" spans="1:11">
      <c r="A10" s="185">
        <v>9</v>
      </c>
      <c r="B10" s="143" t="s">
        <v>161</v>
      </c>
      <c r="C10" s="112" t="s">
        <v>98</v>
      </c>
      <c r="D10" s="112">
        <v>12</v>
      </c>
      <c r="E10" s="111" t="s">
        <v>187</v>
      </c>
      <c r="F10" s="112" t="s">
        <v>99</v>
      </c>
      <c r="G10" s="112" t="s">
        <v>228</v>
      </c>
      <c r="H10" s="112" t="s">
        <v>225</v>
      </c>
      <c r="I10" s="161">
        <v>1111</v>
      </c>
      <c r="J10" s="210" t="s">
        <v>236</v>
      </c>
      <c r="K10"/>
    </row>
    <row r="11" spans="1:11">
      <c r="A11" s="185">
        <v>10</v>
      </c>
      <c r="B11" s="147" t="s">
        <v>162</v>
      </c>
      <c r="C11" s="112" t="s">
        <v>98</v>
      </c>
      <c r="D11" s="112">
        <v>12</v>
      </c>
      <c r="E11" s="111" t="s">
        <v>187</v>
      </c>
      <c r="F11" s="112" t="s">
        <v>99</v>
      </c>
      <c r="G11" s="112" t="s">
        <v>228</v>
      </c>
      <c r="H11" s="112" t="s">
        <v>225</v>
      </c>
      <c r="I11" s="161">
        <v>1111</v>
      </c>
      <c r="J11" s="210" t="s">
        <v>237</v>
      </c>
      <c r="K11"/>
    </row>
    <row r="12" spans="1:11">
      <c r="A12" s="185">
        <v>11</v>
      </c>
      <c r="B12" s="143" t="s">
        <v>163</v>
      </c>
      <c r="C12" s="112" t="s">
        <v>98</v>
      </c>
      <c r="D12" s="112">
        <v>11</v>
      </c>
      <c r="E12" s="111" t="s">
        <v>187</v>
      </c>
      <c r="F12" s="112" t="s">
        <v>191</v>
      </c>
      <c r="G12" s="112" t="s">
        <v>228</v>
      </c>
      <c r="H12" s="112" t="s">
        <v>225</v>
      </c>
      <c r="I12" s="161">
        <v>1111</v>
      </c>
      <c r="J12" s="210" t="s">
        <v>238</v>
      </c>
      <c r="K12"/>
    </row>
    <row r="13" spans="1:11">
      <c r="A13" s="185">
        <v>12</v>
      </c>
      <c r="B13" s="147" t="s">
        <v>263</v>
      </c>
      <c r="C13" s="112" t="s">
        <v>98</v>
      </c>
      <c r="D13" s="112"/>
      <c r="E13" s="111"/>
      <c r="F13" s="112"/>
      <c r="G13" s="112" t="s">
        <v>228</v>
      </c>
      <c r="H13" s="112" t="s">
        <v>225</v>
      </c>
      <c r="I13" s="161">
        <v>1111</v>
      </c>
      <c r="J13" s="210" t="s">
        <v>239</v>
      </c>
      <c r="K13"/>
    </row>
    <row r="14" spans="1:11">
      <c r="A14" s="185">
        <v>13</v>
      </c>
      <c r="B14" s="143" t="s">
        <v>164</v>
      </c>
      <c r="C14" s="112" t="s">
        <v>98</v>
      </c>
      <c r="D14" s="112">
        <v>11</v>
      </c>
      <c r="E14" s="111" t="s">
        <v>187</v>
      </c>
      <c r="F14" s="112" t="s">
        <v>195</v>
      </c>
      <c r="G14" s="112" t="s">
        <v>228</v>
      </c>
      <c r="H14" s="112" t="s">
        <v>225</v>
      </c>
      <c r="I14" s="161">
        <v>1111</v>
      </c>
      <c r="J14" s="210" t="s">
        <v>240</v>
      </c>
      <c r="K14"/>
    </row>
    <row r="15" spans="1:11">
      <c r="A15" s="185">
        <v>14</v>
      </c>
      <c r="B15" s="143" t="s">
        <v>165</v>
      </c>
      <c r="C15" s="112" t="s">
        <v>98</v>
      </c>
      <c r="D15" s="112">
        <v>11</v>
      </c>
      <c r="E15" s="111" t="s">
        <v>187</v>
      </c>
      <c r="F15" s="112" t="s">
        <v>99</v>
      </c>
      <c r="G15" s="112" t="s">
        <v>228</v>
      </c>
      <c r="H15" s="112" t="s">
        <v>225</v>
      </c>
      <c r="I15" s="161">
        <v>1111</v>
      </c>
      <c r="J15" s="210" t="s">
        <v>268</v>
      </c>
      <c r="K15"/>
    </row>
    <row r="16" spans="1:11">
      <c r="A16" s="185">
        <v>15</v>
      </c>
      <c r="B16" s="143" t="s">
        <v>166</v>
      </c>
      <c r="C16" s="112" t="s">
        <v>98</v>
      </c>
      <c r="D16" s="112">
        <v>12</v>
      </c>
      <c r="E16" s="111" t="s">
        <v>187</v>
      </c>
      <c r="F16" s="112" t="s">
        <v>196</v>
      </c>
      <c r="G16" s="112" t="s">
        <v>228</v>
      </c>
      <c r="H16" s="112" t="s">
        <v>225</v>
      </c>
      <c r="I16" s="161">
        <v>1111</v>
      </c>
      <c r="J16" s="210" t="s">
        <v>241</v>
      </c>
      <c r="K16"/>
    </row>
    <row r="17" spans="1:11">
      <c r="A17" s="185">
        <v>16</v>
      </c>
      <c r="B17" s="148" t="s">
        <v>167</v>
      </c>
      <c r="C17" s="112" t="s">
        <v>98</v>
      </c>
      <c r="D17" s="112">
        <v>11</v>
      </c>
      <c r="E17" s="111" t="s">
        <v>187</v>
      </c>
      <c r="F17" s="112" t="s">
        <v>196</v>
      </c>
      <c r="G17" s="112" t="s">
        <v>228</v>
      </c>
      <c r="H17" s="112" t="s">
        <v>225</v>
      </c>
      <c r="I17" s="161">
        <v>1111</v>
      </c>
      <c r="J17" s="210" t="s">
        <v>242</v>
      </c>
      <c r="K17"/>
    </row>
    <row r="18" spans="1:11">
      <c r="A18" s="185">
        <v>17</v>
      </c>
      <c r="B18" s="143" t="s">
        <v>168</v>
      </c>
      <c r="C18" s="112" t="s">
        <v>98</v>
      </c>
      <c r="D18" s="112">
        <v>13</v>
      </c>
      <c r="E18" s="111" t="s">
        <v>187</v>
      </c>
      <c r="F18" s="112" t="s">
        <v>197</v>
      </c>
      <c r="G18" s="112" t="s">
        <v>228</v>
      </c>
      <c r="H18" s="112" t="s">
        <v>225</v>
      </c>
      <c r="I18" s="161">
        <v>1111</v>
      </c>
      <c r="J18" s="210" t="s">
        <v>266</v>
      </c>
      <c r="K18"/>
    </row>
    <row r="19" spans="1:11">
      <c r="A19" s="185">
        <v>18</v>
      </c>
      <c r="B19" s="142" t="s">
        <v>169</v>
      </c>
      <c r="C19" s="112" t="s">
        <v>98</v>
      </c>
      <c r="D19" s="112">
        <v>11</v>
      </c>
      <c r="E19" s="111" t="s">
        <v>187</v>
      </c>
      <c r="F19" s="112" t="s">
        <v>198</v>
      </c>
      <c r="G19" s="112" t="s">
        <v>228</v>
      </c>
      <c r="H19" s="112" t="s">
        <v>225</v>
      </c>
      <c r="I19" s="161">
        <v>1111</v>
      </c>
      <c r="J19" s="210" t="s">
        <v>243</v>
      </c>
      <c r="K19"/>
    </row>
    <row r="20" spans="1:11">
      <c r="A20" s="185">
        <v>19</v>
      </c>
      <c r="B20" s="143" t="s">
        <v>170</v>
      </c>
      <c r="C20" s="112" t="s">
        <v>98</v>
      </c>
      <c r="D20" s="112">
        <v>12</v>
      </c>
      <c r="E20" s="112" t="s">
        <v>187</v>
      </c>
      <c r="F20" s="112" t="s">
        <v>199</v>
      </c>
      <c r="G20" s="112" t="s">
        <v>228</v>
      </c>
      <c r="H20" s="112" t="s">
        <v>225</v>
      </c>
      <c r="I20" s="161">
        <v>1111</v>
      </c>
      <c r="J20" s="210" t="s">
        <v>244</v>
      </c>
      <c r="K20"/>
    </row>
    <row r="21" spans="1:11">
      <c r="A21" s="185">
        <v>20</v>
      </c>
      <c r="B21" s="149" t="s">
        <v>171</v>
      </c>
      <c r="C21" s="112" t="s">
        <v>98</v>
      </c>
      <c r="D21" s="112">
        <v>11</v>
      </c>
      <c r="E21" s="111" t="s">
        <v>200</v>
      </c>
      <c r="F21" s="112" t="s">
        <v>201</v>
      </c>
      <c r="G21" s="112" t="s">
        <v>228</v>
      </c>
      <c r="H21" s="112" t="s">
        <v>225</v>
      </c>
      <c r="I21" s="161">
        <v>1111</v>
      </c>
      <c r="J21" s="210" t="s">
        <v>245</v>
      </c>
      <c r="K21"/>
    </row>
    <row r="22" spans="1:11">
      <c r="A22" s="185">
        <v>21</v>
      </c>
      <c r="B22" s="143" t="s">
        <v>172</v>
      </c>
      <c r="C22" s="112" t="s">
        <v>98</v>
      </c>
      <c r="D22" s="112">
        <v>11</v>
      </c>
      <c r="E22" s="111" t="s">
        <v>187</v>
      </c>
      <c r="F22" s="112" t="s">
        <v>199</v>
      </c>
      <c r="G22" s="112" t="s">
        <v>228</v>
      </c>
      <c r="H22" s="112" t="s">
        <v>225</v>
      </c>
      <c r="I22" s="161">
        <v>1111</v>
      </c>
      <c r="J22" s="210" t="s">
        <v>267</v>
      </c>
      <c r="K22"/>
    </row>
    <row r="23" spans="1:11">
      <c r="A23" s="185">
        <v>22</v>
      </c>
      <c r="B23" s="164" t="s">
        <v>173</v>
      </c>
      <c r="C23" s="112" t="s">
        <v>98</v>
      </c>
      <c r="D23" s="112">
        <v>10</v>
      </c>
      <c r="E23" s="111" t="s">
        <v>187</v>
      </c>
      <c r="F23" s="112" t="s">
        <v>191</v>
      </c>
      <c r="G23" s="112" t="s">
        <v>228</v>
      </c>
      <c r="H23" s="112" t="s">
        <v>225</v>
      </c>
      <c r="I23" s="161">
        <v>1111</v>
      </c>
      <c r="J23" s="210" t="s">
        <v>246</v>
      </c>
      <c r="K23"/>
    </row>
    <row r="24" spans="1:11">
      <c r="A24" s="185">
        <v>23</v>
      </c>
      <c r="B24" s="144" t="s">
        <v>174</v>
      </c>
      <c r="C24" s="112" t="s">
        <v>98</v>
      </c>
      <c r="D24" s="112">
        <v>12</v>
      </c>
      <c r="E24" s="111" t="s">
        <v>202</v>
      </c>
      <c r="F24" s="112" t="s">
        <v>203</v>
      </c>
      <c r="G24" s="112" t="s">
        <v>228</v>
      </c>
      <c r="H24" s="112" t="s">
        <v>225</v>
      </c>
      <c r="I24" s="161">
        <v>1111</v>
      </c>
      <c r="J24" s="210" t="s">
        <v>247</v>
      </c>
      <c r="K24"/>
    </row>
    <row r="25" spans="1:11">
      <c r="A25" s="185">
        <v>24</v>
      </c>
      <c r="B25" s="165" t="s">
        <v>175</v>
      </c>
      <c r="C25" s="112" t="s">
        <v>98</v>
      </c>
      <c r="D25" s="112">
        <v>11</v>
      </c>
      <c r="E25" s="111" t="s">
        <v>187</v>
      </c>
      <c r="F25" s="112" t="s">
        <v>99</v>
      </c>
      <c r="G25" s="112" t="s">
        <v>228</v>
      </c>
      <c r="H25" s="112" t="s">
        <v>225</v>
      </c>
      <c r="I25" s="161">
        <v>1111</v>
      </c>
      <c r="J25" s="210" t="s">
        <v>248</v>
      </c>
      <c r="K25"/>
    </row>
    <row r="26" spans="1:11">
      <c r="A26" s="185">
        <v>25</v>
      </c>
      <c r="B26" s="144" t="s">
        <v>176</v>
      </c>
      <c r="C26" s="112" t="s">
        <v>98</v>
      </c>
      <c r="D26" s="112">
        <v>12</v>
      </c>
      <c r="E26" s="111" t="s">
        <v>187</v>
      </c>
      <c r="F26" s="112" t="s">
        <v>204</v>
      </c>
      <c r="G26" s="112" t="s">
        <v>228</v>
      </c>
      <c r="H26" s="112" t="s">
        <v>225</v>
      </c>
      <c r="I26" s="161">
        <v>1111</v>
      </c>
      <c r="J26" s="210" t="s">
        <v>249</v>
      </c>
      <c r="K26"/>
    </row>
    <row r="27" spans="1:11">
      <c r="A27" s="185">
        <v>26</v>
      </c>
      <c r="B27" s="149" t="s">
        <v>177</v>
      </c>
      <c r="C27" s="112" t="s">
        <v>98</v>
      </c>
      <c r="D27" s="112">
        <v>12</v>
      </c>
      <c r="E27" s="112" t="s">
        <v>187</v>
      </c>
      <c r="F27" s="112" t="s">
        <v>205</v>
      </c>
      <c r="G27" s="112" t="s">
        <v>228</v>
      </c>
      <c r="H27" s="112" t="s">
        <v>225</v>
      </c>
      <c r="I27" s="161">
        <v>1111</v>
      </c>
      <c r="J27" s="210" t="s">
        <v>250</v>
      </c>
      <c r="K27"/>
    </row>
    <row r="28" spans="1:11">
      <c r="A28" s="185">
        <v>27</v>
      </c>
      <c r="B28" s="144" t="s">
        <v>178</v>
      </c>
      <c r="C28" s="112" t="s">
        <v>98</v>
      </c>
      <c r="D28" s="112">
        <v>11</v>
      </c>
      <c r="E28" s="112" t="s">
        <v>187</v>
      </c>
      <c r="F28" s="112" t="s">
        <v>206</v>
      </c>
      <c r="G28" s="112" t="s">
        <v>228</v>
      </c>
      <c r="H28" s="112" t="s">
        <v>225</v>
      </c>
      <c r="I28" s="161">
        <v>1111</v>
      </c>
      <c r="J28" s="210" t="s">
        <v>251</v>
      </c>
      <c r="K28"/>
    </row>
    <row r="29" spans="1:11">
      <c r="A29" s="185">
        <v>28</v>
      </c>
      <c r="B29" s="149" t="s">
        <v>179</v>
      </c>
      <c r="C29" s="112" t="s">
        <v>98</v>
      </c>
      <c r="D29" s="112">
        <v>11</v>
      </c>
      <c r="E29" s="112" t="s">
        <v>187</v>
      </c>
      <c r="F29" s="112" t="s">
        <v>207</v>
      </c>
      <c r="G29" s="112" t="s">
        <v>228</v>
      </c>
      <c r="H29" s="112" t="s">
        <v>225</v>
      </c>
      <c r="I29" s="161">
        <v>1111</v>
      </c>
      <c r="J29" s="210" t="s">
        <v>252</v>
      </c>
      <c r="K29"/>
    </row>
    <row r="30" spans="1:11">
      <c r="A30" s="185">
        <v>29</v>
      </c>
      <c r="B30" s="143" t="s">
        <v>180</v>
      </c>
      <c r="C30" s="112" t="s">
        <v>98</v>
      </c>
      <c r="D30" s="112">
        <v>11</v>
      </c>
      <c r="E30" s="111" t="s">
        <v>187</v>
      </c>
      <c r="F30" s="112" t="s">
        <v>196</v>
      </c>
      <c r="G30" s="112" t="s">
        <v>228</v>
      </c>
      <c r="H30" s="112" t="s">
        <v>225</v>
      </c>
      <c r="I30" s="161">
        <v>1111</v>
      </c>
      <c r="J30" s="210" t="s">
        <v>253</v>
      </c>
      <c r="K30"/>
    </row>
    <row r="31" spans="1:11">
      <c r="A31" s="185">
        <v>30</v>
      </c>
      <c r="B31" s="149" t="s">
        <v>181</v>
      </c>
      <c r="C31" s="112" t="s">
        <v>98</v>
      </c>
      <c r="D31" s="112">
        <v>11</v>
      </c>
      <c r="E31" s="111" t="s">
        <v>187</v>
      </c>
      <c r="F31" s="112" t="s">
        <v>196</v>
      </c>
      <c r="G31" s="112" t="s">
        <v>228</v>
      </c>
      <c r="H31" s="112" t="s">
        <v>225</v>
      </c>
      <c r="I31" s="161">
        <v>1111</v>
      </c>
      <c r="J31" s="210" t="s">
        <v>254</v>
      </c>
      <c r="K31"/>
    </row>
    <row r="32" spans="1:11">
      <c r="A32" s="185">
        <v>31</v>
      </c>
      <c r="B32" s="144" t="s">
        <v>182</v>
      </c>
      <c r="C32" s="112" t="s">
        <v>98</v>
      </c>
      <c r="D32" s="112">
        <v>11</v>
      </c>
      <c r="E32" s="111" t="s">
        <v>208</v>
      </c>
      <c r="F32" s="112" t="s">
        <v>209</v>
      </c>
      <c r="G32" s="112" t="s">
        <v>228</v>
      </c>
      <c r="H32" s="112" t="s">
        <v>225</v>
      </c>
      <c r="I32" s="161">
        <v>1111</v>
      </c>
      <c r="J32" s="210" t="s">
        <v>255</v>
      </c>
      <c r="K32"/>
    </row>
    <row r="33" spans="1:11">
      <c r="A33" s="185">
        <v>32</v>
      </c>
      <c r="B33" s="142" t="s">
        <v>183</v>
      </c>
      <c r="C33" s="112" t="s">
        <v>98</v>
      </c>
      <c r="D33" s="112">
        <v>11</v>
      </c>
      <c r="E33" s="111" t="s">
        <v>187</v>
      </c>
      <c r="F33" s="112" t="s">
        <v>204</v>
      </c>
      <c r="G33" s="112" t="s">
        <v>228</v>
      </c>
      <c r="H33" s="112" t="s">
        <v>225</v>
      </c>
      <c r="I33" s="161">
        <v>1111</v>
      </c>
      <c r="J33" s="210" t="s">
        <v>256</v>
      </c>
      <c r="K33"/>
    </row>
    <row r="34" spans="1:11">
      <c r="A34" s="185">
        <v>33</v>
      </c>
      <c r="B34" s="144" t="s">
        <v>184</v>
      </c>
      <c r="C34" s="112" t="s">
        <v>98</v>
      </c>
      <c r="D34" s="112">
        <v>11</v>
      </c>
      <c r="E34" s="112" t="s">
        <v>187</v>
      </c>
      <c r="F34" s="112" t="s">
        <v>191</v>
      </c>
      <c r="G34" s="112" t="s">
        <v>228</v>
      </c>
      <c r="H34" s="112" t="s">
        <v>225</v>
      </c>
      <c r="I34" s="161">
        <v>1111</v>
      </c>
      <c r="J34" s="210" t="s">
        <v>257</v>
      </c>
      <c r="K34"/>
    </row>
    <row r="35" spans="1:11">
      <c r="A35" s="185">
        <v>34</v>
      </c>
      <c r="B35" s="142" t="s">
        <v>185</v>
      </c>
      <c r="C35" s="112" t="s">
        <v>98</v>
      </c>
      <c r="D35" s="112">
        <v>11</v>
      </c>
      <c r="E35" s="111" t="s">
        <v>187</v>
      </c>
      <c r="F35" s="112" t="s">
        <v>210</v>
      </c>
      <c r="G35" s="112" t="s">
        <v>228</v>
      </c>
      <c r="H35" s="112" t="s">
        <v>225</v>
      </c>
      <c r="I35" s="161">
        <v>1111</v>
      </c>
      <c r="J35" s="210" t="s">
        <v>258</v>
      </c>
      <c r="K35"/>
    </row>
    <row r="36" spans="1:11">
      <c r="A36" s="185">
        <v>35</v>
      </c>
      <c r="B36" s="144" t="s">
        <v>186</v>
      </c>
      <c r="C36" s="112" t="s">
        <v>98</v>
      </c>
      <c r="D36" s="112">
        <v>11</v>
      </c>
      <c r="E36" s="112" t="s">
        <v>187</v>
      </c>
      <c r="F36" s="112" t="s">
        <v>193</v>
      </c>
      <c r="G36" s="112" t="s">
        <v>228</v>
      </c>
      <c r="H36" s="112" t="s">
        <v>225</v>
      </c>
      <c r="I36" s="161">
        <v>1111</v>
      </c>
      <c r="J36" s="210" t="s">
        <v>259</v>
      </c>
      <c r="K36"/>
    </row>
    <row r="37" spans="1:11">
      <c r="A37" s="185">
        <v>36</v>
      </c>
      <c r="B37" s="144" t="s">
        <v>211</v>
      </c>
      <c r="C37" s="112" t="s">
        <v>98</v>
      </c>
      <c r="D37" s="112">
        <v>11</v>
      </c>
      <c r="E37" s="111" t="s">
        <v>216</v>
      </c>
      <c r="F37" s="112" t="s">
        <v>217</v>
      </c>
      <c r="G37" s="112" t="s">
        <v>228</v>
      </c>
      <c r="H37" s="112" t="s">
        <v>225</v>
      </c>
      <c r="I37" s="161">
        <v>1111</v>
      </c>
      <c r="J37" s="210" t="s">
        <v>270</v>
      </c>
      <c r="K37"/>
    </row>
    <row r="38" spans="1:11">
      <c r="A38" s="185">
        <v>37</v>
      </c>
      <c r="B38" s="144" t="s">
        <v>212</v>
      </c>
      <c r="C38" s="112" t="s">
        <v>98</v>
      </c>
      <c r="D38" s="112">
        <v>11</v>
      </c>
      <c r="E38" s="112" t="s">
        <v>187</v>
      </c>
      <c r="F38" s="112" t="s">
        <v>218</v>
      </c>
      <c r="G38" s="112" t="s">
        <v>228</v>
      </c>
      <c r="H38" s="112" t="s">
        <v>225</v>
      </c>
      <c r="I38" s="161">
        <v>1111</v>
      </c>
      <c r="J38" s="210" t="s">
        <v>260</v>
      </c>
      <c r="K38"/>
    </row>
    <row r="39" spans="1:11">
      <c r="A39" s="185">
        <v>38</v>
      </c>
      <c r="B39" s="144" t="s">
        <v>213</v>
      </c>
      <c r="C39" s="112" t="s">
        <v>98</v>
      </c>
      <c r="D39" s="112">
        <v>10</v>
      </c>
      <c r="E39" s="111" t="s">
        <v>187</v>
      </c>
      <c r="F39" s="112" t="s">
        <v>219</v>
      </c>
      <c r="G39" s="112" t="s">
        <v>228</v>
      </c>
      <c r="H39" s="112" t="s">
        <v>225</v>
      </c>
      <c r="I39" s="161">
        <v>1111</v>
      </c>
      <c r="J39" s="210" t="s">
        <v>261</v>
      </c>
      <c r="K39"/>
    </row>
    <row r="40" spans="1:11">
      <c r="A40" s="185">
        <v>39</v>
      </c>
      <c r="B40" s="144" t="s">
        <v>214</v>
      </c>
      <c r="C40" s="112" t="s">
        <v>98</v>
      </c>
      <c r="D40" s="112">
        <v>11</v>
      </c>
      <c r="E40" s="111" t="s">
        <v>187</v>
      </c>
      <c r="F40" s="112" t="s">
        <v>220</v>
      </c>
      <c r="G40" s="112" t="s">
        <v>228</v>
      </c>
      <c r="H40" s="112" t="s">
        <v>225</v>
      </c>
      <c r="I40" s="161">
        <v>1111</v>
      </c>
      <c r="J40" s="210" t="s">
        <v>262</v>
      </c>
      <c r="K40"/>
    </row>
    <row r="41" spans="1:11">
      <c r="A41" s="185">
        <v>40</v>
      </c>
      <c r="B41" s="166" t="s">
        <v>215</v>
      </c>
      <c r="C41" s="112" t="s">
        <v>98</v>
      </c>
      <c r="D41" s="112">
        <v>11</v>
      </c>
      <c r="E41" s="112" t="s">
        <v>187</v>
      </c>
      <c r="F41" s="112" t="s">
        <v>193</v>
      </c>
      <c r="G41" s="112" t="s">
        <v>228</v>
      </c>
      <c r="H41" s="112" t="s">
        <v>225</v>
      </c>
      <c r="I41" s="161">
        <v>1111</v>
      </c>
      <c r="J41" s="207"/>
      <c r="K41"/>
    </row>
    <row r="42" spans="1:11">
      <c r="A42" s="185">
        <v>41</v>
      </c>
      <c r="B42" s="166" t="s">
        <v>264</v>
      </c>
      <c r="C42" s="112" t="s">
        <v>98</v>
      </c>
      <c r="D42" s="112">
        <v>12</v>
      </c>
      <c r="E42" s="112" t="s">
        <v>187</v>
      </c>
      <c r="F42" s="112" t="s">
        <v>196</v>
      </c>
      <c r="G42" s="112" t="s">
        <v>228</v>
      </c>
      <c r="H42" s="112" t="s">
        <v>265</v>
      </c>
      <c r="I42" s="161">
        <v>1111</v>
      </c>
      <c r="J42" s="161"/>
      <c r="K42"/>
    </row>
    <row r="43" spans="1:11">
      <c r="A43" s="161"/>
      <c r="B43" s="166"/>
      <c r="C43" s="112"/>
      <c r="D43" s="112"/>
      <c r="E43" s="112"/>
      <c r="F43" s="112"/>
      <c r="G43" s="112"/>
      <c r="H43" s="112"/>
      <c r="I43" s="205"/>
      <c r="J43" s="161"/>
      <c r="K43"/>
    </row>
    <row r="44" spans="1:11">
      <c r="A44" s="161"/>
      <c r="B44" s="166"/>
      <c r="C44" s="112"/>
      <c r="D44" s="112"/>
      <c r="E44" s="112"/>
      <c r="F44" s="112"/>
      <c r="G44" s="112"/>
      <c r="H44" s="112"/>
      <c r="I44" s="205"/>
      <c r="J44" s="161"/>
      <c r="K44"/>
    </row>
    <row r="45" spans="1:11">
      <c r="A45" s="161"/>
      <c r="B45" s="167"/>
      <c r="C45" s="112"/>
      <c r="D45" s="112"/>
      <c r="E45" s="112"/>
      <c r="F45" s="112"/>
      <c r="G45" s="112"/>
      <c r="H45" s="112"/>
      <c r="I45" s="205"/>
      <c r="J45" s="161"/>
      <c r="K45"/>
    </row>
    <row r="46" spans="1:11">
      <c r="A46" s="161"/>
      <c r="B46" s="166"/>
      <c r="C46" s="112"/>
      <c r="D46" s="112"/>
      <c r="E46" s="112"/>
      <c r="F46" s="112"/>
      <c r="G46" s="112"/>
      <c r="H46" s="112"/>
      <c r="I46" s="205"/>
      <c r="J46" s="161"/>
      <c r="K46"/>
    </row>
    <row r="47" spans="1:11">
      <c r="A47" s="161"/>
      <c r="B47" s="167"/>
      <c r="C47" s="112"/>
      <c r="D47" s="112"/>
      <c r="E47" s="112"/>
      <c r="F47" s="112"/>
      <c r="G47" s="112"/>
      <c r="H47" s="112"/>
      <c r="I47" s="205"/>
      <c r="J47" s="161"/>
      <c r="K47"/>
    </row>
    <row r="48" spans="1:11">
      <c r="A48" s="169"/>
      <c r="B48" s="170"/>
      <c r="C48" s="159"/>
      <c r="D48" s="159"/>
      <c r="E48" s="159"/>
      <c r="F48" s="159"/>
      <c r="G48" s="159"/>
      <c r="H48" s="159"/>
      <c r="I48" s="206"/>
      <c r="J48" s="169"/>
      <c r="K48"/>
    </row>
    <row r="49" spans="1:11">
      <c r="A49" s="169"/>
      <c r="B49" s="170"/>
      <c r="C49" s="159"/>
      <c r="D49" s="159"/>
      <c r="E49" s="159"/>
      <c r="F49" s="159"/>
      <c r="G49" s="159"/>
      <c r="H49" s="159"/>
      <c r="I49" s="206"/>
      <c r="J49" s="169"/>
      <c r="K49"/>
    </row>
    <row r="50" spans="1:11">
      <c r="A50" s="169"/>
      <c r="B50" s="170"/>
      <c r="C50" s="159"/>
      <c r="D50" s="159"/>
      <c r="E50" s="159"/>
      <c r="F50" s="159"/>
      <c r="G50" s="159"/>
      <c r="H50" s="159"/>
      <c r="I50" s="206"/>
      <c r="J50" s="169"/>
      <c r="K50"/>
    </row>
    <row r="51" spans="1:11">
      <c r="A51" s="171"/>
      <c r="B51" s="172"/>
      <c r="C51" s="173"/>
      <c r="D51" s="173"/>
      <c r="E51" s="173"/>
      <c r="F51" s="173"/>
      <c r="G51" s="173"/>
      <c r="H51" s="173"/>
      <c r="I51" s="206"/>
      <c r="J51" s="171"/>
      <c r="K51"/>
    </row>
    <row r="52" spans="1:11">
      <c r="C52" s="11"/>
      <c r="K52"/>
    </row>
    <row r="53" spans="1:11">
      <c r="K53"/>
    </row>
  </sheetData>
  <phoneticPr fontId="14" type="noConversion"/>
  <hyperlinks>
    <hyperlink ref="J2" r:id="rId1"/>
    <hyperlink ref="J3" r:id="rId2"/>
    <hyperlink ref="J4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8" r:id="rId33"/>
    <hyperlink ref="J39" r:id="rId34"/>
    <hyperlink ref="J40" r:id="rId35"/>
    <hyperlink ref="J5" r:id="rId36"/>
    <hyperlink ref="J15" r:id="rId37"/>
    <hyperlink ref="J6" r:id="rId38"/>
    <hyperlink ref="J37" r:id="rId39"/>
  </hyperlinks>
  <pageMargins left="0.7" right="0.7" top="0.75" bottom="0.75" header="0.3" footer="0.3"/>
  <pageSetup orientation="portrait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B13" sqref="B13"/>
    </sheetView>
  </sheetViews>
  <sheetFormatPr defaultColWidth="9" defaultRowHeight="15"/>
  <cols>
    <col min="1" max="1" width="20.5703125" customWidth="1"/>
    <col min="2" max="2" width="41.85546875" customWidth="1"/>
    <col min="3" max="3" width="22.42578125" customWidth="1"/>
  </cols>
  <sheetData>
    <row r="1" spans="1:5">
      <c r="A1" s="12" t="s">
        <v>222</v>
      </c>
      <c r="B1" s="12" t="s">
        <v>19</v>
      </c>
      <c r="C1" s="12" t="s">
        <v>20</v>
      </c>
      <c r="D1" s="12"/>
      <c r="E1" s="12"/>
    </row>
    <row r="2" spans="1:5">
      <c r="A2" s="185">
        <v>1</v>
      </c>
      <c r="B2" s="112" t="s">
        <v>85</v>
      </c>
      <c r="C2" s="111" t="s">
        <v>22</v>
      </c>
    </row>
    <row r="3" spans="1:5">
      <c r="A3" s="185">
        <v>2</v>
      </c>
      <c r="B3" s="112" t="s">
        <v>85</v>
      </c>
      <c r="C3" s="111" t="s">
        <v>100</v>
      </c>
    </row>
    <row r="4" spans="1:5">
      <c r="A4" s="185">
        <v>3</v>
      </c>
      <c r="B4" s="112" t="s">
        <v>85</v>
      </c>
      <c r="C4" s="111" t="s">
        <v>22</v>
      </c>
    </row>
    <row r="5" spans="1:5">
      <c r="A5" s="185">
        <v>4</v>
      </c>
      <c r="B5" s="112" t="s">
        <v>85</v>
      </c>
      <c r="C5" s="111" t="s">
        <v>22</v>
      </c>
    </row>
    <row r="6" spans="1:5">
      <c r="A6" s="185">
        <v>5</v>
      </c>
      <c r="B6" s="112" t="s">
        <v>85</v>
      </c>
      <c r="C6" s="111" t="s">
        <v>22</v>
      </c>
    </row>
    <row r="7" spans="1:5">
      <c r="A7" s="185">
        <v>6</v>
      </c>
      <c r="B7" s="112" t="s">
        <v>85</v>
      </c>
      <c r="C7" s="111" t="s">
        <v>22</v>
      </c>
    </row>
    <row r="8" spans="1:5">
      <c r="A8" s="185">
        <v>7</v>
      </c>
      <c r="B8" s="112" t="s">
        <v>85</v>
      </c>
      <c r="C8" s="111" t="s">
        <v>22</v>
      </c>
    </row>
    <row r="9" spans="1:5">
      <c r="A9" s="185">
        <v>8</v>
      </c>
      <c r="B9" s="112" t="s">
        <v>85</v>
      </c>
      <c r="C9" s="111" t="s">
        <v>22</v>
      </c>
    </row>
    <row r="10" spans="1:5">
      <c r="A10" s="185">
        <v>9</v>
      </c>
      <c r="B10" s="112" t="s">
        <v>85</v>
      </c>
      <c r="C10" s="111" t="s">
        <v>22</v>
      </c>
    </row>
    <row r="11" spans="1:5">
      <c r="A11" s="185">
        <v>10</v>
      </c>
      <c r="B11" s="112" t="s">
        <v>101</v>
      </c>
      <c r="C11" s="111" t="s">
        <v>22</v>
      </c>
    </row>
    <row r="12" spans="1:5">
      <c r="A12" s="185">
        <v>11</v>
      </c>
      <c r="B12" s="112" t="s">
        <v>85</v>
      </c>
      <c r="C12" s="111" t="s">
        <v>22</v>
      </c>
    </row>
    <row r="13" spans="1:5">
      <c r="A13" s="185">
        <v>12</v>
      </c>
      <c r="B13" s="112" t="s">
        <v>85</v>
      </c>
      <c r="C13" s="111" t="s">
        <v>22</v>
      </c>
    </row>
    <row r="14" spans="1:5">
      <c r="A14" s="185">
        <v>13</v>
      </c>
      <c r="B14" s="112" t="s">
        <v>85</v>
      </c>
      <c r="C14" s="111" t="s">
        <v>22</v>
      </c>
    </row>
    <row r="15" spans="1:5">
      <c r="A15" s="185">
        <v>14</v>
      </c>
      <c r="B15" s="112" t="s">
        <v>85</v>
      </c>
      <c r="C15" s="111" t="s">
        <v>102</v>
      </c>
    </row>
    <row r="16" spans="1:5">
      <c r="A16" s="185">
        <v>15</v>
      </c>
      <c r="B16" s="112" t="s">
        <v>85</v>
      </c>
      <c r="C16" s="111" t="s">
        <v>22</v>
      </c>
    </row>
    <row r="17" spans="1:3">
      <c r="A17" s="185">
        <v>16</v>
      </c>
      <c r="B17" s="112" t="s">
        <v>85</v>
      </c>
      <c r="C17" s="111" t="s">
        <v>22</v>
      </c>
    </row>
    <row r="18" spans="1:3">
      <c r="A18" s="185">
        <v>17</v>
      </c>
      <c r="B18" s="112" t="s">
        <v>85</v>
      </c>
      <c r="C18" s="111" t="s">
        <v>22</v>
      </c>
    </row>
    <row r="19" spans="1:3">
      <c r="A19" s="185">
        <v>18</v>
      </c>
      <c r="B19" s="112" t="s">
        <v>85</v>
      </c>
      <c r="C19" s="111" t="s">
        <v>22</v>
      </c>
    </row>
    <row r="20" spans="1:3">
      <c r="A20" s="185">
        <v>19</v>
      </c>
      <c r="B20" s="112" t="s">
        <v>101</v>
      </c>
      <c r="C20" s="111" t="s">
        <v>103</v>
      </c>
    </row>
    <row r="21" spans="1:3">
      <c r="A21" s="185">
        <v>20</v>
      </c>
      <c r="B21" s="112" t="s">
        <v>85</v>
      </c>
      <c r="C21" s="111" t="s">
        <v>22</v>
      </c>
    </row>
    <row r="22" spans="1:3">
      <c r="A22" s="185">
        <v>21</v>
      </c>
      <c r="B22" s="112" t="s">
        <v>85</v>
      </c>
      <c r="C22" s="111" t="s">
        <v>22</v>
      </c>
    </row>
    <row r="23" spans="1:3">
      <c r="A23" s="185">
        <v>22</v>
      </c>
      <c r="B23" s="112" t="s">
        <v>85</v>
      </c>
      <c r="C23" s="111" t="s">
        <v>22</v>
      </c>
    </row>
    <row r="24" spans="1:3">
      <c r="A24" s="185">
        <v>23</v>
      </c>
      <c r="B24" s="112" t="s">
        <v>85</v>
      </c>
      <c r="C24" s="111" t="s">
        <v>22</v>
      </c>
    </row>
    <row r="25" spans="1:3">
      <c r="A25" s="185">
        <v>24</v>
      </c>
      <c r="B25" s="112" t="s">
        <v>85</v>
      </c>
      <c r="C25" s="111" t="s">
        <v>22</v>
      </c>
    </row>
    <row r="26" spans="1:3">
      <c r="A26" s="185">
        <v>25</v>
      </c>
      <c r="B26" s="112" t="s">
        <v>85</v>
      </c>
      <c r="C26" s="111" t="s">
        <v>22</v>
      </c>
    </row>
    <row r="27" spans="1:3">
      <c r="A27" s="185">
        <v>26</v>
      </c>
      <c r="B27" s="112" t="s">
        <v>101</v>
      </c>
      <c r="C27" s="111" t="s">
        <v>104</v>
      </c>
    </row>
    <row r="28" spans="1:3">
      <c r="A28" s="185">
        <v>27</v>
      </c>
      <c r="B28" s="112" t="s">
        <v>85</v>
      </c>
      <c r="C28" s="111" t="s">
        <v>22</v>
      </c>
    </row>
    <row r="29" spans="1:3">
      <c r="A29" s="185">
        <v>28</v>
      </c>
      <c r="B29" s="112" t="s">
        <v>101</v>
      </c>
      <c r="C29" s="111" t="s">
        <v>22</v>
      </c>
    </row>
    <row r="30" spans="1:3">
      <c r="A30" s="185">
        <v>29</v>
      </c>
      <c r="B30" s="112" t="s">
        <v>101</v>
      </c>
      <c r="C30" s="111" t="s">
        <v>22</v>
      </c>
    </row>
    <row r="31" spans="1:3">
      <c r="A31" s="185">
        <v>30</v>
      </c>
      <c r="B31" s="112" t="s">
        <v>85</v>
      </c>
      <c r="C31" s="111" t="s">
        <v>22</v>
      </c>
    </row>
    <row r="32" spans="1:3">
      <c r="A32" s="185">
        <v>31</v>
      </c>
      <c r="B32" s="112" t="s">
        <v>85</v>
      </c>
      <c r="C32" s="111" t="s">
        <v>22</v>
      </c>
    </row>
    <row r="33" spans="1:3">
      <c r="A33" s="185">
        <v>32</v>
      </c>
      <c r="B33" s="112" t="s">
        <v>85</v>
      </c>
      <c r="C33" s="111" t="s">
        <v>22</v>
      </c>
    </row>
    <row r="34" spans="1:3">
      <c r="A34" s="185">
        <v>33</v>
      </c>
      <c r="B34" s="112" t="s">
        <v>85</v>
      </c>
      <c r="C34" s="111" t="s">
        <v>22</v>
      </c>
    </row>
    <row r="35" spans="1:3">
      <c r="A35" s="185">
        <v>34</v>
      </c>
      <c r="B35" s="112" t="s">
        <v>85</v>
      </c>
      <c r="C35" s="111" t="s">
        <v>22</v>
      </c>
    </row>
    <row r="36" spans="1:3">
      <c r="A36" s="185">
        <v>35</v>
      </c>
      <c r="B36" s="112" t="s">
        <v>85</v>
      </c>
      <c r="C36" s="111" t="s">
        <v>22</v>
      </c>
    </row>
    <row r="37" spans="1:3">
      <c r="A37" s="185">
        <v>36</v>
      </c>
      <c r="B37" s="112" t="s">
        <v>85</v>
      </c>
      <c r="C37" s="111" t="s">
        <v>22</v>
      </c>
    </row>
    <row r="38" spans="1:3">
      <c r="A38" s="185">
        <v>37</v>
      </c>
      <c r="B38" s="112" t="s">
        <v>85</v>
      </c>
      <c r="C38" s="111" t="s">
        <v>22</v>
      </c>
    </row>
    <row r="39" spans="1:3">
      <c r="A39" s="185">
        <v>38</v>
      </c>
      <c r="B39" s="112" t="s">
        <v>85</v>
      </c>
      <c r="C39" s="111" t="s">
        <v>22</v>
      </c>
    </row>
    <row r="40" spans="1:3">
      <c r="A40" s="185">
        <v>39</v>
      </c>
      <c r="B40" s="112" t="s">
        <v>85</v>
      </c>
      <c r="C40" s="111" t="s">
        <v>21</v>
      </c>
    </row>
    <row r="41" spans="1:3">
      <c r="A41" s="185">
        <v>40</v>
      </c>
      <c r="B41" s="112" t="s">
        <v>85</v>
      </c>
      <c r="C41" s="111" t="s">
        <v>22</v>
      </c>
    </row>
    <row r="42" spans="1:3">
      <c r="A42" s="161"/>
      <c r="B42" s="112"/>
      <c r="C42" s="111"/>
    </row>
    <row r="43" spans="1:3">
      <c r="A43" s="161"/>
      <c r="B43" s="112"/>
      <c r="C43" s="111"/>
    </row>
    <row r="44" spans="1:3">
      <c r="A44" s="161"/>
      <c r="B44" s="112"/>
      <c r="C44" s="111"/>
    </row>
    <row r="45" spans="1:3">
      <c r="A45" s="161"/>
      <c r="B45" s="112"/>
      <c r="C45" s="111"/>
    </row>
    <row r="46" spans="1:3">
      <c r="A46" s="161"/>
      <c r="B46" s="112"/>
      <c r="C46" s="111"/>
    </row>
    <row r="47" spans="1:3">
      <c r="A47" s="161"/>
      <c r="B47" s="112"/>
      <c r="C47" s="111"/>
    </row>
    <row r="48" spans="1:3">
      <c r="A48" s="169"/>
      <c r="B48" s="112"/>
      <c r="C48" s="111"/>
    </row>
    <row r="49" spans="1:3">
      <c r="A49" s="169"/>
      <c r="B49" s="112"/>
      <c r="C49" s="111"/>
    </row>
    <row r="50" spans="1:3">
      <c r="A50" s="169"/>
      <c r="B50" s="112"/>
      <c r="C50" s="111"/>
    </row>
    <row r="51" spans="1:3">
      <c r="A51" s="171"/>
      <c r="B51" s="112"/>
      <c r="C51" s="1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5"/>
  <sheetViews>
    <sheetView workbookViewId="0">
      <selection activeCell="A2" sqref="A2:A51"/>
    </sheetView>
  </sheetViews>
  <sheetFormatPr defaultColWidth="9" defaultRowHeight="15"/>
  <cols>
    <col min="1" max="1" width="21.855468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2" t="s">
        <v>222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74" t="s">
        <v>30</v>
      </c>
    </row>
    <row r="2" spans="1:9">
      <c r="A2" s="185">
        <v>1</v>
      </c>
      <c r="B2" s="111">
        <v>3</v>
      </c>
      <c r="C2" s="111">
        <v>5</v>
      </c>
      <c r="D2" s="111">
        <v>3</v>
      </c>
      <c r="E2" s="111">
        <v>3</v>
      </c>
      <c r="F2" s="111">
        <v>2</v>
      </c>
      <c r="G2" s="111">
        <v>3</v>
      </c>
      <c r="H2" s="111">
        <v>2</v>
      </c>
      <c r="I2" s="175">
        <v>4</v>
      </c>
    </row>
    <row r="3" spans="1:9">
      <c r="A3" s="185">
        <v>2</v>
      </c>
      <c r="B3" s="111">
        <v>3</v>
      </c>
      <c r="C3" s="111">
        <v>5</v>
      </c>
      <c r="D3" s="111">
        <v>3</v>
      </c>
      <c r="E3" s="111">
        <v>3</v>
      </c>
      <c r="F3" s="111">
        <v>2</v>
      </c>
      <c r="G3" s="111">
        <v>4</v>
      </c>
      <c r="H3" s="111">
        <v>2</v>
      </c>
      <c r="I3" s="175">
        <v>4</v>
      </c>
    </row>
    <row r="4" spans="1:9">
      <c r="A4" s="185">
        <v>3</v>
      </c>
      <c r="B4" s="111">
        <v>3</v>
      </c>
      <c r="C4" s="111">
        <v>5</v>
      </c>
      <c r="D4" s="111">
        <v>3</v>
      </c>
      <c r="E4" s="111">
        <v>3</v>
      </c>
      <c r="F4" s="111">
        <v>2</v>
      </c>
      <c r="G4" s="111">
        <v>3</v>
      </c>
      <c r="H4" s="111">
        <v>2</v>
      </c>
      <c r="I4" s="175">
        <v>4</v>
      </c>
    </row>
    <row r="5" spans="1:9">
      <c r="A5" s="185">
        <v>4</v>
      </c>
      <c r="B5" s="111">
        <v>3</v>
      </c>
      <c r="C5" s="111">
        <v>5</v>
      </c>
      <c r="D5" s="111">
        <v>3</v>
      </c>
      <c r="E5" s="111">
        <v>3</v>
      </c>
      <c r="F5" s="111">
        <v>2</v>
      </c>
      <c r="G5" s="111">
        <v>4</v>
      </c>
      <c r="H5" s="111">
        <v>2</v>
      </c>
      <c r="I5" s="175">
        <v>4</v>
      </c>
    </row>
    <row r="6" spans="1:9">
      <c r="A6" s="185">
        <v>5</v>
      </c>
      <c r="B6" s="111">
        <v>3</v>
      </c>
      <c r="C6" s="111">
        <v>5</v>
      </c>
      <c r="D6" s="111">
        <v>3</v>
      </c>
      <c r="E6" s="111">
        <v>3</v>
      </c>
      <c r="F6" s="111">
        <v>2</v>
      </c>
      <c r="G6" s="111">
        <v>4</v>
      </c>
      <c r="H6" s="111">
        <v>2</v>
      </c>
      <c r="I6" s="175">
        <v>4</v>
      </c>
    </row>
    <row r="7" spans="1:9">
      <c r="A7" s="185">
        <v>6</v>
      </c>
      <c r="B7" s="111">
        <v>3</v>
      </c>
      <c r="C7" s="111">
        <v>5</v>
      </c>
      <c r="D7" s="111">
        <v>3</v>
      </c>
      <c r="E7" s="111">
        <v>3</v>
      </c>
      <c r="F7" s="111">
        <v>2</v>
      </c>
      <c r="G7" s="111">
        <v>4</v>
      </c>
      <c r="H7" s="111">
        <v>2</v>
      </c>
      <c r="I7" s="175">
        <v>4</v>
      </c>
    </row>
    <row r="8" spans="1:9">
      <c r="A8" s="185">
        <v>7</v>
      </c>
      <c r="B8" s="111">
        <v>2</v>
      </c>
      <c r="C8" s="111">
        <v>5</v>
      </c>
      <c r="D8" s="111">
        <v>3</v>
      </c>
      <c r="E8" s="111">
        <v>3</v>
      </c>
      <c r="F8" s="111">
        <v>2</v>
      </c>
      <c r="G8" s="111">
        <v>3</v>
      </c>
      <c r="H8" s="111">
        <v>2</v>
      </c>
      <c r="I8" s="175">
        <v>4</v>
      </c>
    </row>
    <row r="9" spans="1:9">
      <c r="A9" s="185">
        <v>8</v>
      </c>
      <c r="B9" s="111">
        <v>3</v>
      </c>
      <c r="C9" s="111">
        <v>5</v>
      </c>
      <c r="D9" s="111">
        <v>3</v>
      </c>
      <c r="E9" s="111">
        <v>3</v>
      </c>
      <c r="F9" s="111">
        <v>2</v>
      </c>
      <c r="G9" s="111">
        <v>4</v>
      </c>
      <c r="H9" s="111">
        <v>2</v>
      </c>
      <c r="I9" s="175">
        <v>4</v>
      </c>
    </row>
    <row r="10" spans="1:9">
      <c r="A10" s="185">
        <v>9</v>
      </c>
      <c r="B10" s="111">
        <v>3</v>
      </c>
      <c r="C10" s="111">
        <v>5</v>
      </c>
      <c r="D10" s="111">
        <v>3</v>
      </c>
      <c r="E10" s="111">
        <v>3</v>
      </c>
      <c r="F10" s="111">
        <v>2</v>
      </c>
      <c r="G10" s="111">
        <v>3</v>
      </c>
      <c r="H10" s="111">
        <v>2</v>
      </c>
      <c r="I10" s="175">
        <v>4</v>
      </c>
    </row>
    <row r="11" spans="1:9">
      <c r="A11" s="185">
        <v>10</v>
      </c>
      <c r="B11" s="111">
        <v>4</v>
      </c>
      <c r="C11" s="111">
        <v>5</v>
      </c>
      <c r="D11" s="111">
        <v>3</v>
      </c>
      <c r="E11" s="111">
        <v>3</v>
      </c>
      <c r="F11" s="111">
        <v>2</v>
      </c>
      <c r="G11" s="111">
        <v>3</v>
      </c>
      <c r="H11" s="111">
        <v>2</v>
      </c>
      <c r="I11" s="175">
        <v>4</v>
      </c>
    </row>
    <row r="12" spans="1:9">
      <c r="A12" s="185">
        <v>11</v>
      </c>
      <c r="B12" s="111">
        <v>4</v>
      </c>
      <c r="C12" s="111">
        <v>3</v>
      </c>
      <c r="D12" s="111">
        <v>3</v>
      </c>
      <c r="E12" s="111">
        <v>3</v>
      </c>
      <c r="F12" s="111">
        <v>2</v>
      </c>
      <c r="G12" s="111">
        <v>4</v>
      </c>
      <c r="H12" s="111">
        <v>2</v>
      </c>
      <c r="I12" s="175">
        <v>4</v>
      </c>
    </row>
    <row r="13" spans="1:9">
      <c r="A13" s="185">
        <v>12</v>
      </c>
      <c r="B13" s="111">
        <v>2</v>
      </c>
      <c r="C13" s="111">
        <v>5</v>
      </c>
      <c r="D13" s="111">
        <v>3</v>
      </c>
      <c r="E13" s="111">
        <v>3</v>
      </c>
      <c r="F13" s="111">
        <v>2</v>
      </c>
      <c r="G13" s="111">
        <v>4</v>
      </c>
      <c r="H13" s="111">
        <v>2</v>
      </c>
      <c r="I13" s="175">
        <v>4</v>
      </c>
    </row>
    <row r="14" spans="1:9">
      <c r="A14" s="185">
        <v>13</v>
      </c>
      <c r="B14" s="111">
        <v>3</v>
      </c>
      <c r="C14" s="111">
        <v>4</v>
      </c>
      <c r="D14" s="111">
        <v>3</v>
      </c>
      <c r="E14" s="111">
        <v>3</v>
      </c>
      <c r="F14" s="111">
        <v>2</v>
      </c>
      <c r="G14" s="111">
        <v>4</v>
      </c>
      <c r="H14" s="111">
        <v>2</v>
      </c>
      <c r="I14" s="175">
        <v>4</v>
      </c>
    </row>
    <row r="15" spans="1:9">
      <c r="A15" s="185">
        <v>14</v>
      </c>
      <c r="B15" s="111">
        <v>4</v>
      </c>
      <c r="C15" s="111">
        <v>5</v>
      </c>
      <c r="D15" s="111">
        <v>3</v>
      </c>
      <c r="E15" s="111">
        <v>3</v>
      </c>
      <c r="F15" s="111">
        <v>2</v>
      </c>
      <c r="G15" s="111">
        <v>3</v>
      </c>
      <c r="H15" s="111">
        <v>2</v>
      </c>
      <c r="I15" s="175">
        <v>4</v>
      </c>
    </row>
    <row r="16" spans="1:9">
      <c r="A16" s="185">
        <v>15</v>
      </c>
      <c r="B16" s="111">
        <v>3</v>
      </c>
      <c r="C16" s="111">
        <v>4</v>
      </c>
      <c r="D16" s="111">
        <v>2</v>
      </c>
      <c r="E16" s="111">
        <v>3</v>
      </c>
      <c r="F16" s="111">
        <v>2</v>
      </c>
      <c r="G16" s="111">
        <v>2</v>
      </c>
      <c r="H16" s="111">
        <v>2</v>
      </c>
      <c r="I16" s="175">
        <v>4</v>
      </c>
    </row>
    <row r="17" spans="1:9">
      <c r="A17" s="185">
        <v>16</v>
      </c>
      <c r="B17" s="111">
        <v>4</v>
      </c>
      <c r="C17" s="111">
        <v>5</v>
      </c>
      <c r="D17" s="111">
        <v>3</v>
      </c>
      <c r="E17" s="111">
        <v>3</v>
      </c>
      <c r="F17" s="111">
        <v>2</v>
      </c>
      <c r="G17" s="111">
        <v>4</v>
      </c>
      <c r="H17" s="111">
        <v>2</v>
      </c>
      <c r="I17" s="175">
        <v>4</v>
      </c>
    </row>
    <row r="18" spans="1:9">
      <c r="A18" s="185">
        <v>17</v>
      </c>
      <c r="B18" s="111">
        <v>4</v>
      </c>
      <c r="C18" s="111">
        <v>5</v>
      </c>
      <c r="D18" s="111">
        <v>3</v>
      </c>
      <c r="E18" s="111">
        <v>3</v>
      </c>
      <c r="F18" s="111">
        <v>2</v>
      </c>
      <c r="G18" s="111">
        <v>4</v>
      </c>
      <c r="H18" s="111">
        <v>2</v>
      </c>
      <c r="I18" s="175">
        <v>4</v>
      </c>
    </row>
    <row r="19" spans="1:9">
      <c r="A19" s="185">
        <v>18</v>
      </c>
      <c r="B19" s="111">
        <v>3</v>
      </c>
      <c r="C19" s="111">
        <v>5</v>
      </c>
      <c r="D19" s="111">
        <v>3</v>
      </c>
      <c r="E19" s="111">
        <v>3</v>
      </c>
      <c r="F19" s="111">
        <v>2</v>
      </c>
      <c r="G19" s="111">
        <v>3</v>
      </c>
      <c r="H19" s="111">
        <v>2</v>
      </c>
      <c r="I19" s="175">
        <v>4</v>
      </c>
    </row>
    <row r="20" spans="1:9">
      <c r="A20" s="185">
        <v>19</v>
      </c>
      <c r="B20" s="111">
        <v>4</v>
      </c>
      <c r="C20" s="111">
        <v>5</v>
      </c>
      <c r="D20" s="111">
        <v>3</v>
      </c>
      <c r="E20" s="111">
        <v>3</v>
      </c>
      <c r="F20" s="111">
        <v>2</v>
      </c>
      <c r="G20" s="111">
        <v>4</v>
      </c>
      <c r="H20" s="111">
        <v>2</v>
      </c>
      <c r="I20" s="175">
        <v>4</v>
      </c>
    </row>
    <row r="21" spans="1:9">
      <c r="A21" s="185">
        <v>20</v>
      </c>
      <c r="B21" s="111">
        <v>4</v>
      </c>
      <c r="C21" s="111">
        <v>5</v>
      </c>
      <c r="D21" s="111">
        <v>3</v>
      </c>
      <c r="E21" s="111">
        <v>3</v>
      </c>
      <c r="F21" s="111">
        <v>2</v>
      </c>
      <c r="G21" s="111">
        <v>4</v>
      </c>
      <c r="H21" s="111">
        <v>2</v>
      </c>
      <c r="I21" s="175">
        <v>4</v>
      </c>
    </row>
    <row r="22" spans="1:9">
      <c r="A22" s="185">
        <v>21</v>
      </c>
      <c r="B22" s="111">
        <v>3</v>
      </c>
      <c r="C22" s="111">
        <v>5</v>
      </c>
      <c r="D22" s="111">
        <v>3</v>
      </c>
      <c r="E22" s="111">
        <v>3</v>
      </c>
      <c r="F22" s="111">
        <v>2</v>
      </c>
      <c r="G22" s="111">
        <v>4</v>
      </c>
      <c r="H22" s="111">
        <v>2</v>
      </c>
      <c r="I22" s="175">
        <v>4</v>
      </c>
    </row>
    <row r="23" spans="1:9">
      <c r="A23" s="185">
        <v>22</v>
      </c>
      <c r="B23" s="111">
        <v>4</v>
      </c>
      <c r="C23" s="111">
        <v>5</v>
      </c>
      <c r="D23" s="111">
        <v>3</v>
      </c>
      <c r="E23" s="111">
        <v>3</v>
      </c>
      <c r="F23" s="111">
        <v>2</v>
      </c>
      <c r="G23" s="111">
        <v>4</v>
      </c>
      <c r="H23" s="111">
        <v>2</v>
      </c>
      <c r="I23" s="175">
        <v>4</v>
      </c>
    </row>
    <row r="24" spans="1:9">
      <c r="A24" s="185">
        <v>23</v>
      </c>
      <c r="B24" s="111">
        <v>4</v>
      </c>
      <c r="C24" s="111">
        <v>5</v>
      </c>
      <c r="D24" s="111">
        <v>3</v>
      </c>
      <c r="E24" s="111">
        <v>3</v>
      </c>
      <c r="F24" s="111">
        <v>2</v>
      </c>
      <c r="G24" s="111">
        <v>4</v>
      </c>
      <c r="H24" s="111">
        <v>2</v>
      </c>
      <c r="I24" s="175">
        <v>4</v>
      </c>
    </row>
    <row r="25" spans="1:9">
      <c r="A25" s="185">
        <v>24</v>
      </c>
      <c r="B25" s="111">
        <v>0</v>
      </c>
      <c r="C25" s="111">
        <v>0</v>
      </c>
      <c r="D25" s="111">
        <v>0</v>
      </c>
      <c r="E25" s="111">
        <v>0</v>
      </c>
      <c r="F25" s="111">
        <v>0</v>
      </c>
      <c r="G25" s="111">
        <v>0</v>
      </c>
      <c r="H25" s="111">
        <v>0</v>
      </c>
      <c r="I25" s="175">
        <v>0</v>
      </c>
    </row>
    <row r="26" spans="1:9">
      <c r="A26" s="185">
        <v>25</v>
      </c>
      <c r="B26" s="111">
        <v>3</v>
      </c>
      <c r="C26" s="111">
        <v>5</v>
      </c>
      <c r="D26" s="111">
        <v>3</v>
      </c>
      <c r="E26" s="111">
        <v>3</v>
      </c>
      <c r="F26" s="111">
        <v>2</v>
      </c>
      <c r="G26" s="111">
        <v>4</v>
      </c>
      <c r="H26" s="111">
        <v>2</v>
      </c>
      <c r="I26" s="175">
        <v>4</v>
      </c>
    </row>
    <row r="27" spans="1:9">
      <c r="A27" s="185">
        <v>26</v>
      </c>
      <c r="B27" s="111">
        <v>3</v>
      </c>
      <c r="C27" s="111">
        <v>5</v>
      </c>
      <c r="D27" s="111">
        <v>3</v>
      </c>
      <c r="E27" s="111">
        <v>3</v>
      </c>
      <c r="F27" s="111">
        <v>2</v>
      </c>
      <c r="G27" s="111">
        <v>4</v>
      </c>
      <c r="H27" s="111">
        <v>1</v>
      </c>
      <c r="I27" s="175">
        <v>4</v>
      </c>
    </row>
    <row r="28" spans="1:9">
      <c r="A28" s="185">
        <v>27</v>
      </c>
      <c r="B28" s="111">
        <v>4</v>
      </c>
      <c r="C28" s="111">
        <v>5</v>
      </c>
      <c r="D28" s="111">
        <v>3</v>
      </c>
      <c r="E28" s="111">
        <v>3</v>
      </c>
      <c r="F28" s="111">
        <v>2</v>
      </c>
      <c r="G28" s="111">
        <v>4</v>
      </c>
      <c r="H28" s="111">
        <v>2</v>
      </c>
      <c r="I28" s="175">
        <v>4</v>
      </c>
    </row>
    <row r="29" spans="1:9">
      <c r="A29" s="185">
        <v>28</v>
      </c>
      <c r="B29" s="111">
        <v>2</v>
      </c>
      <c r="C29" s="111">
        <v>5</v>
      </c>
      <c r="D29" s="111">
        <v>3</v>
      </c>
      <c r="E29" s="111">
        <v>3</v>
      </c>
      <c r="F29" s="111">
        <v>2</v>
      </c>
      <c r="G29" s="111">
        <v>4</v>
      </c>
      <c r="H29" s="111">
        <v>1</v>
      </c>
      <c r="I29" s="175">
        <v>4</v>
      </c>
    </row>
    <row r="30" spans="1:9">
      <c r="A30" s="185">
        <v>29</v>
      </c>
      <c r="B30" s="111">
        <v>4</v>
      </c>
      <c r="C30" s="111">
        <v>5</v>
      </c>
      <c r="D30" s="111">
        <v>3</v>
      </c>
      <c r="E30" s="111">
        <v>3</v>
      </c>
      <c r="F30" s="111">
        <v>2</v>
      </c>
      <c r="G30" s="111">
        <v>4</v>
      </c>
      <c r="H30" s="111">
        <v>1</v>
      </c>
      <c r="I30" s="175">
        <v>3</v>
      </c>
    </row>
    <row r="31" spans="1:9">
      <c r="A31" s="185">
        <v>30</v>
      </c>
      <c r="B31" s="111">
        <v>4</v>
      </c>
      <c r="C31" s="111">
        <v>5</v>
      </c>
      <c r="D31" s="111">
        <v>3</v>
      </c>
      <c r="E31" s="111">
        <v>3</v>
      </c>
      <c r="F31" s="111">
        <v>2</v>
      </c>
      <c r="G31" s="111">
        <v>4</v>
      </c>
      <c r="H31" s="111">
        <v>2</v>
      </c>
      <c r="I31" s="175">
        <v>4</v>
      </c>
    </row>
    <row r="32" spans="1:9">
      <c r="A32" s="185">
        <v>31</v>
      </c>
      <c r="B32" s="111">
        <v>4</v>
      </c>
      <c r="C32" s="111">
        <v>5</v>
      </c>
      <c r="D32" s="111">
        <v>3</v>
      </c>
      <c r="E32" s="111">
        <v>3</v>
      </c>
      <c r="F32" s="111">
        <v>2</v>
      </c>
      <c r="G32" s="111">
        <v>4</v>
      </c>
      <c r="H32" s="111">
        <v>2</v>
      </c>
      <c r="I32" s="175">
        <v>4</v>
      </c>
    </row>
    <row r="33" spans="1:9">
      <c r="A33" s="185">
        <v>32</v>
      </c>
      <c r="B33" s="111">
        <v>3</v>
      </c>
      <c r="C33" s="111">
        <v>5</v>
      </c>
      <c r="D33" s="111">
        <v>3</v>
      </c>
      <c r="E33" s="111">
        <v>3</v>
      </c>
      <c r="F33" s="111">
        <v>2</v>
      </c>
      <c r="G33" s="111">
        <v>4</v>
      </c>
      <c r="H33" s="111">
        <v>2</v>
      </c>
      <c r="I33" s="175">
        <v>4</v>
      </c>
    </row>
    <row r="34" spans="1:9">
      <c r="A34" s="185">
        <v>33</v>
      </c>
      <c r="B34" s="111">
        <v>4</v>
      </c>
      <c r="C34" s="111">
        <v>5</v>
      </c>
      <c r="D34" s="111">
        <v>3</v>
      </c>
      <c r="E34" s="111">
        <v>3</v>
      </c>
      <c r="F34" s="111">
        <v>2</v>
      </c>
      <c r="G34" s="111">
        <v>4</v>
      </c>
      <c r="H34" s="111">
        <v>2</v>
      </c>
      <c r="I34" s="175">
        <v>4</v>
      </c>
    </row>
    <row r="35" spans="1:9">
      <c r="A35" s="185">
        <v>34</v>
      </c>
      <c r="B35" s="111">
        <v>4</v>
      </c>
      <c r="C35" s="111">
        <v>5</v>
      </c>
      <c r="D35" s="111">
        <v>3</v>
      </c>
      <c r="E35" s="111">
        <v>3</v>
      </c>
      <c r="F35" s="111">
        <v>2</v>
      </c>
      <c r="G35" s="111">
        <v>4</v>
      </c>
      <c r="H35" s="111">
        <v>2</v>
      </c>
      <c r="I35" s="175">
        <v>4</v>
      </c>
    </row>
    <row r="36" spans="1:9">
      <c r="A36" s="185">
        <v>35</v>
      </c>
      <c r="B36" s="111">
        <v>4</v>
      </c>
      <c r="C36" s="111">
        <v>5</v>
      </c>
      <c r="D36" s="111">
        <v>3</v>
      </c>
      <c r="E36" s="111">
        <v>3</v>
      </c>
      <c r="F36" s="111">
        <v>2</v>
      </c>
      <c r="G36" s="111">
        <v>4</v>
      </c>
      <c r="H36" s="111">
        <v>2</v>
      </c>
      <c r="I36" s="175">
        <v>4</v>
      </c>
    </row>
    <row r="37" spans="1:9">
      <c r="A37" s="185">
        <v>36</v>
      </c>
      <c r="B37" s="111">
        <v>3</v>
      </c>
      <c r="C37" s="111">
        <v>5</v>
      </c>
      <c r="D37" s="111">
        <v>3</v>
      </c>
      <c r="E37" s="111">
        <v>3</v>
      </c>
      <c r="F37" s="111">
        <v>2</v>
      </c>
      <c r="G37" s="111">
        <v>4</v>
      </c>
      <c r="H37" s="111">
        <v>2</v>
      </c>
      <c r="I37" s="175">
        <v>4</v>
      </c>
    </row>
    <row r="38" spans="1:9">
      <c r="A38" s="185">
        <v>37</v>
      </c>
      <c r="B38" s="111">
        <v>4</v>
      </c>
      <c r="C38" s="111">
        <v>5</v>
      </c>
      <c r="D38" s="111">
        <v>3</v>
      </c>
      <c r="E38" s="111">
        <v>3</v>
      </c>
      <c r="F38" s="111">
        <v>2</v>
      </c>
      <c r="G38" s="111">
        <v>4</v>
      </c>
      <c r="H38" s="111">
        <v>2</v>
      </c>
      <c r="I38" s="175">
        <v>4</v>
      </c>
    </row>
    <row r="39" spans="1:9">
      <c r="A39" s="185">
        <v>38</v>
      </c>
      <c r="B39" s="111">
        <v>4</v>
      </c>
      <c r="C39" s="111">
        <v>5</v>
      </c>
      <c r="D39" s="111">
        <v>3</v>
      </c>
      <c r="E39" s="111">
        <v>3</v>
      </c>
      <c r="F39" s="111">
        <v>2</v>
      </c>
      <c r="G39" s="111">
        <v>4</v>
      </c>
      <c r="H39" s="111">
        <v>2</v>
      </c>
      <c r="I39" s="175">
        <v>4</v>
      </c>
    </row>
    <row r="40" spans="1:9">
      <c r="A40" s="185">
        <v>39</v>
      </c>
      <c r="B40" s="111">
        <v>4</v>
      </c>
      <c r="C40" s="111">
        <v>5</v>
      </c>
      <c r="D40" s="111">
        <v>3</v>
      </c>
      <c r="E40" s="111">
        <v>3</v>
      </c>
      <c r="F40" s="111">
        <v>2</v>
      </c>
      <c r="G40" s="111">
        <v>4</v>
      </c>
      <c r="H40" s="111">
        <v>2</v>
      </c>
      <c r="I40" s="175">
        <v>4</v>
      </c>
    </row>
    <row r="41" spans="1:9">
      <c r="A41" s="185">
        <v>40</v>
      </c>
      <c r="B41" s="111">
        <v>4</v>
      </c>
      <c r="C41" s="111">
        <v>5</v>
      </c>
      <c r="D41" s="111">
        <v>3</v>
      </c>
      <c r="E41" s="111">
        <v>3</v>
      </c>
      <c r="F41" s="111">
        <v>2</v>
      </c>
      <c r="G41" s="111">
        <v>4</v>
      </c>
      <c r="H41" s="111">
        <v>2</v>
      </c>
      <c r="I41" s="175">
        <v>4</v>
      </c>
    </row>
    <row r="42" spans="1:9">
      <c r="A42" s="161"/>
      <c r="B42" s="111">
        <v>3</v>
      </c>
      <c r="C42" s="111">
        <v>5</v>
      </c>
      <c r="D42" s="111">
        <v>3</v>
      </c>
      <c r="E42" s="111">
        <v>3</v>
      </c>
      <c r="F42" s="111">
        <v>2</v>
      </c>
      <c r="G42" s="111">
        <v>4</v>
      </c>
      <c r="H42" s="111">
        <v>2</v>
      </c>
      <c r="I42" s="175">
        <v>4</v>
      </c>
    </row>
    <row r="43" spans="1:9">
      <c r="A43" s="161"/>
      <c r="B43" s="111">
        <v>4</v>
      </c>
      <c r="C43" s="111">
        <v>5</v>
      </c>
      <c r="D43" s="111">
        <v>3</v>
      </c>
      <c r="E43" s="111">
        <v>3</v>
      </c>
      <c r="F43" s="111">
        <v>2</v>
      </c>
      <c r="G43" s="111">
        <v>4</v>
      </c>
      <c r="H43" s="111">
        <v>2</v>
      </c>
      <c r="I43" s="175">
        <v>4</v>
      </c>
    </row>
    <row r="44" spans="1:9">
      <c r="A44" s="161"/>
      <c r="B44" s="111">
        <v>3</v>
      </c>
      <c r="C44" s="111">
        <v>5</v>
      </c>
      <c r="D44" s="111">
        <v>3</v>
      </c>
      <c r="E44" s="111">
        <v>3</v>
      </c>
      <c r="F44" s="111">
        <v>2</v>
      </c>
      <c r="G44" s="111">
        <v>4</v>
      </c>
      <c r="H44" s="111">
        <v>2</v>
      </c>
      <c r="I44" s="175">
        <v>4</v>
      </c>
    </row>
    <row r="45" spans="1:9">
      <c r="A45" s="161"/>
      <c r="B45" s="111">
        <v>3</v>
      </c>
      <c r="C45" s="111">
        <v>5</v>
      </c>
      <c r="D45" s="111">
        <v>3</v>
      </c>
      <c r="E45" s="111">
        <v>3</v>
      </c>
      <c r="F45" s="111">
        <v>2</v>
      </c>
      <c r="G45" s="111">
        <v>4</v>
      </c>
      <c r="H45" s="111">
        <v>2</v>
      </c>
      <c r="I45" s="175">
        <v>4</v>
      </c>
    </row>
    <row r="46" spans="1:9">
      <c r="A46" s="161"/>
      <c r="B46" s="111">
        <v>4</v>
      </c>
      <c r="C46" s="111">
        <v>5</v>
      </c>
      <c r="D46" s="111">
        <v>3</v>
      </c>
      <c r="E46" s="111">
        <v>3</v>
      </c>
      <c r="F46" s="111">
        <v>2</v>
      </c>
      <c r="G46" s="111">
        <v>4</v>
      </c>
      <c r="H46" s="111">
        <v>2</v>
      </c>
      <c r="I46" s="175">
        <v>4</v>
      </c>
    </row>
    <row r="47" spans="1:9">
      <c r="A47" s="161"/>
      <c r="B47" s="111">
        <v>4</v>
      </c>
      <c r="C47" s="111">
        <v>5</v>
      </c>
      <c r="D47" s="111">
        <v>3</v>
      </c>
      <c r="E47" s="111">
        <v>3</v>
      </c>
      <c r="F47" s="111">
        <v>2</v>
      </c>
      <c r="G47" s="111">
        <v>4</v>
      </c>
      <c r="H47" s="111">
        <v>2</v>
      </c>
      <c r="I47" s="175">
        <v>4</v>
      </c>
    </row>
    <row r="48" spans="1:9">
      <c r="A48" s="169"/>
      <c r="B48" s="111">
        <v>4</v>
      </c>
      <c r="C48" s="111">
        <v>5</v>
      </c>
      <c r="D48" s="111">
        <v>3</v>
      </c>
      <c r="E48" s="111">
        <v>3</v>
      </c>
      <c r="F48" s="111">
        <v>2</v>
      </c>
      <c r="G48" s="111">
        <v>4</v>
      </c>
      <c r="H48" s="111">
        <v>2</v>
      </c>
      <c r="I48" s="175">
        <v>4</v>
      </c>
    </row>
    <row r="49" spans="1:9">
      <c r="A49" s="169"/>
      <c r="B49" s="111">
        <v>4</v>
      </c>
      <c r="C49" s="111">
        <v>5</v>
      </c>
      <c r="D49" s="111">
        <v>3</v>
      </c>
      <c r="E49" s="111">
        <v>3</v>
      </c>
      <c r="F49" s="111">
        <v>2</v>
      </c>
      <c r="G49" s="111">
        <v>4</v>
      </c>
      <c r="H49" s="111">
        <v>2</v>
      </c>
      <c r="I49" s="175">
        <v>4</v>
      </c>
    </row>
    <row r="50" spans="1:9">
      <c r="A50" s="169"/>
      <c r="B50" s="111">
        <v>4</v>
      </c>
      <c r="C50" s="111">
        <v>5</v>
      </c>
      <c r="D50" s="111">
        <v>3</v>
      </c>
      <c r="E50" s="111">
        <v>3</v>
      </c>
      <c r="F50" s="111">
        <v>2</v>
      </c>
      <c r="G50" s="111">
        <v>4</v>
      </c>
      <c r="H50" s="111">
        <v>2</v>
      </c>
      <c r="I50" s="175">
        <v>4</v>
      </c>
    </row>
    <row r="51" spans="1:9">
      <c r="A51" s="171"/>
      <c r="B51" s="111">
        <v>4</v>
      </c>
      <c r="C51" s="111">
        <v>5</v>
      </c>
      <c r="D51" s="111">
        <v>3</v>
      </c>
      <c r="E51" s="111">
        <v>3</v>
      </c>
      <c r="F51" s="111">
        <v>2</v>
      </c>
      <c r="G51" s="111">
        <v>4</v>
      </c>
      <c r="H51" s="111">
        <v>2</v>
      </c>
      <c r="I51" s="175">
        <v>4</v>
      </c>
    </row>
    <row r="52" spans="1:9">
      <c r="A52" s="177"/>
      <c r="B52" s="158"/>
      <c r="C52" s="158"/>
      <c r="D52" s="158"/>
      <c r="E52" s="158"/>
      <c r="F52" s="158"/>
      <c r="G52" s="158"/>
      <c r="H52" s="158"/>
      <c r="I52" s="176"/>
    </row>
    <row r="53" spans="1:9">
      <c r="A53" s="177"/>
      <c r="B53" s="158"/>
      <c r="C53" s="158"/>
      <c r="D53" s="158"/>
      <c r="E53" s="158"/>
      <c r="F53" s="158"/>
      <c r="G53" s="158"/>
      <c r="H53" s="158"/>
      <c r="I53" s="176"/>
    </row>
    <row r="54" spans="1:9">
      <c r="A54" s="177"/>
      <c r="B54" s="158"/>
      <c r="C54" s="158"/>
      <c r="D54" s="158"/>
      <c r="E54" s="158"/>
      <c r="F54" s="158"/>
      <c r="G54" s="158"/>
      <c r="H54" s="158"/>
      <c r="I54" s="176"/>
    </row>
    <row r="55" spans="1:9">
      <c r="A55" s="177"/>
      <c r="B55" s="178"/>
      <c r="C55" s="178"/>
      <c r="D55" s="178"/>
      <c r="E55" s="178"/>
      <c r="F55" s="178"/>
      <c r="G55" s="178"/>
      <c r="H55" s="178"/>
      <c r="I55" s="17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3" width="12.7109375" customWidth="1"/>
  </cols>
  <sheetData>
    <row r="1" spans="1:7">
      <c r="A1" s="12" t="s">
        <v>222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7">
      <c r="A2" s="185">
        <v>1</v>
      </c>
      <c r="B2" s="113">
        <v>4</v>
      </c>
      <c r="C2" s="113">
        <v>3</v>
      </c>
      <c r="D2" s="113">
        <v>3</v>
      </c>
      <c r="E2" s="113">
        <v>5</v>
      </c>
      <c r="F2" s="113">
        <v>3</v>
      </c>
      <c r="G2" s="16"/>
    </row>
    <row r="3" spans="1:7">
      <c r="A3" s="185">
        <v>2</v>
      </c>
      <c r="B3" s="113">
        <v>3</v>
      </c>
      <c r="C3" s="113">
        <v>3</v>
      </c>
      <c r="D3" s="113">
        <v>3</v>
      </c>
      <c r="E3" s="113">
        <v>5</v>
      </c>
      <c r="F3" s="113">
        <v>3</v>
      </c>
      <c r="G3" s="16"/>
    </row>
    <row r="4" spans="1:7">
      <c r="A4" s="185">
        <v>3</v>
      </c>
      <c r="B4" s="113">
        <v>4</v>
      </c>
      <c r="C4" s="113">
        <v>3</v>
      </c>
      <c r="D4" s="113">
        <v>3</v>
      </c>
      <c r="E4" s="113">
        <v>5</v>
      </c>
      <c r="F4" s="113">
        <v>3</v>
      </c>
      <c r="G4" s="16"/>
    </row>
    <row r="5" spans="1:7">
      <c r="A5" s="185">
        <v>4</v>
      </c>
      <c r="B5" s="113">
        <v>4</v>
      </c>
      <c r="C5" s="113">
        <v>3</v>
      </c>
      <c r="D5" s="113">
        <v>3</v>
      </c>
      <c r="E5" s="113">
        <v>5</v>
      </c>
      <c r="F5" s="113">
        <v>3</v>
      </c>
      <c r="G5" s="16"/>
    </row>
    <row r="6" spans="1:7">
      <c r="A6" s="185">
        <v>5</v>
      </c>
      <c r="B6" s="113">
        <v>4</v>
      </c>
      <c r="C6" s="113">
        <v>3</v>
      </c>
      <c r="D6" s="113">
        <v>3</v>
      </c>
      <c r="E6" s="113">
        <v>5</v>
      </c>
      <c r="F6" s="113">
        <v>3</v>
      </c>
      <c r="G6" s="16"/>
    </row>
    <row r="7" spans="1:7">
      <c r="A7" s="185">
        <v>6</v>
      </c>
      <c r="B7" s="113">
        <v>4</v>
      </c>
      <c r="C7" s="113">
        <v>3</v>
      </c>
      <c r="D7" s="113">
        <v>3</v>
      </c>
      <c r="E7" s="113">
        <v>5</v>
      </c>
      <c r="F7" s="113">
        <v>3</v>
      </c>
      <c r="G7" s="16"/>
    </row>
    <row r="8" spans="1:7">
      <c r="A8" s="185">
        <v>7</v>
      </c>
      <c r="B8" s="113">
        <v>3</v>
      </c>
      <c r="C8" s="113">
        <v>3</v>
      </c>
      <c r="D8" s="113">
        <v>3</v>
      </c>
      <c r="E8" s="113">
        <v>5</v>
      </c>
      <c r="F8" s="113">
        <v>3</v>
      </c>
      <c r="G8" s="16"/>
    </row>
    <row r="9" spans="1:7">
      <c r="A9" s="185">
        <v>8</v>
      </c>
      <c r="B9" s="113">
        <v>4</v>
      </c>
      <c r="C9" s="113">
        <v>3</v>
      </c>
      <c r="D9" s="113">
        <v>3</v>
      </c>
      <c r="E9" s="113">
        <v>5</v>
      </c>
      <c r="F9" s="113">
        <v>3</v>
      </c>
      <c r="G9" s="16"/>
    </row>
    <row r="10" spans="1:7">
      <c r="A10" s="185">
        <v>9</v>
      </c>
      <c r="B10" s="113">
        <v>4</v>
      </c>
      <c r="C10" s="113">
        <v>3</v>
      </c>
      <c r="D10" s="113">
        <v>3</v>
      </c>
      <c r="E10" s="113">
        <v>5</v>
      </c>
      <c r="F10" s="113">
        <v>3</v>
      </c>
      <c r="G10" s="16"/>
    </row>
    <row r="11" spans="1:7">
      <c r="A11" s="185">
        <v>10</v>
      </c>
      <c r="B11" s="113">
        <v>4</v>
      </c>
      <c r="C11" s="113">
        <v>3</v>
      </c>
      <c r="D11" s="113">
        <v>3</v>
      </c>
      <c r="E11" s="113">
        <v>5</v>
      </c>
      <c r="F11" s="113">
        <v>3</v>
      </c>
      <c r="G11" s="16"/>
    </row>
    <row r="12" spans="1:7">
      <c r="A12" s="185">
        <v>11</v>
      </c>
      <c r="B12" s="113">
        <v>3</v>
      </c>
      <c r="C12" s="113">
        <v>3</v>
      </c>
      <c r="D12" s="113">
        <v>3</v>
      </c>
      <c r="E12" s="113">
        <v>5</v>
      </c>
      <c r="F12" s="113">
        <v>3</v>
      </c>
      <c r="G12" s="16"/>
    </row>
    <row r="13" spans="1:7">
      <c r="A13" s="185">
        <v>12</v>
      </c>
      <c r="B13" s="113">
        <v>4</v>
      </c>
      <c r="C13" s="113">
        <v>3</v>
      </c>
      <c r="D13" s="113">
        <v>3</v>
      </c>
      <c r="E13" s="113">
        <v>5</v>
      </c>
      <c r="F13" s="113">
        <v>3</v>
      </c>
      <c r="G13" s="16"/>
    </row>
    <row r="14" spans="1:7">
      <c r="A14" s="185">
        <v>13</v>
      </c>
      <c r="B14" s="113">
        <v>4</v>
      </c>
      <c r="C14" s="113">
        <v>3</v>
      </c>
      <c r="D14" s="113">
        <v>3</v>
      </c>
      <c r="E14" s="113">
        <v>5</v>
      </c>
      <c r="F14" s="113">
        <v>2</v>
      </c>
      <c r="G14" s="16"/>
    </row>
    <row r="15" spans="1:7">
      <c r="A15" s="185">
        <v>14</v>
      </c>
      <c r="B15" s="113">
        <v>4</v>
      </c>
      <c r="C15" s="113">
        <v>3</v>
      </c>
      <c r="D15" s="113">
        <v>3</v>
      </c>
      <c r="E15" s="113">
        <v>5</v>
      </c>
      <c r="F15" s="113">
        <v>3</v>
      </c>
      <c r="G15" s="16"/>
    </row>
    <row r="16" spans="1:7">
      <c r="A16" s="185">
        <v>15</v>
      </c>
      <c r="B16" s="113">
        <v>4</v>
      </c>
      <c r="C16" s="113">
        <v>2</v>
      </c>
      <c r="D16" s="113">
        <v>3</v>
      </c>
      <c r="E16" s="113">
        <v>5</v>
      </c>
      <c r="F16" s="113">
        <v>3</v>
      </c>
      <c r="G16" s="16"/>
    </row>
    <row r="17" spans="1:7">
      <c r="A17" s="185">
        <v>16</v>
      </c>
      <c r="B17" s="113">
        <v>4</v>
      </c>
      <c r="C17" s="113">
        <v>3</v>
      </c>
      <c r="D17" s="113">
        <v>3</v>
      </c>
      <c r="E17" s="113">
        <v>5</v>
      </c>
      <c r="F17" s="113">
        <v>3</v>
      </c>
      <c r="G17" s="16"/>
    </row>
    <row r="18" spans="1:7">
      <c r="A18" s="185">
        <v>17</v>
      </c>
      <c r="B18" s="113">
        <v>4</v>
      </c>
      <c r="C18" s="113">
        <v>3</v>
      </c>
      <c r="D18" s="113">
        <v>3</v>
      </c>
      <c r="E18" s="113">
        <v>5</v>
      </c>
      <c r="F18" s="113">
        <v>3</v>
      </c>
      <c r="G18" s="16"/>
    </row>
    <row r="19" spans="1:7">
      <c r="A19" s="185">
        <v>18</v>
      </c>
      <c r="B19" s="113">
        <v>4</v>
      </c>
      <c r="C19" s="113">
        <v>3</v>
      </c>
      <c r="D19" s="113">
        <v>3</v>
      </c>
      <c r="E19" s="113">
        <v>5</v>
      </c>
      <c r="F19" s="113">
        <v>3</v>
      </c>
      <c r="G19" s="16"/>
    </row>
    <row r="20" spans="1:7">
      <c r="A20" s="185">
        <v>19</v>
      </c>
      <c r="B20" s="113">
        <v>4</v>
      </c>
      <c r="C20" s="113">
        <v>3</v>
      </c>
      <c r="D20" s="113">
        <v>3</v>
      </c>
      <c r="E20" s="113">
        <v>5</v>
      </c>
      <c r="F20" s="113">
        <v>3</v>
      </c>
      <c r="G20" s="16"/>
    </row>
    <row r="21" spans="1:7">
      <c r="A21" s="185">
        <v>20</v>
      </c>
      <c r="B21" s="113">
        <v>4</v>
      </c>
      <c r="C21" s="113">
        <v>3</v>
      </c>
      <c r="D21" s="113">
        <v>3</v>
      </c>
      <c r="E21" s="113">
        <v>5</v>
      </c>
      <c r="F21" s="113">
        <v>3</v>
      </c>
      <c r="G21" s="16"/>
    </row>
    <row r="22" spans="1:7">
      <c r="A22" s="185">
        <v>21</v>
      </c>
      <c r="B22" s="113">
        <v>4</v>
      </c>
      <c r="C22" s="113">
        <v>3</v>
      </c>
      <c r="D22" s="113">
        <v>3</v>
      </c>
      <c r="E22" s="113">
        <v>5</v>
      </c>
      <c r="F22" s="113">
        <v>3</v>
      </c>
      <c r="G22" s="16"/>
    </row>
    <row r="23" spans="1:7">
      <c r="A23" s="185">
        <v>22</v>
      </c>
      <c r="B23" s="113">
        <v>4</v>
      </c>
      <c r="C23" s="113">
        <v>3</v>
      </c>
      <c r="D23" s="113">
        <v>3</v>
      </c>
      <c r="E23" s="113">
        <v>5</v>
      </c>
      <c r="F23" s="113">
        <v>3</v>
      </c>
      <c r="G23" s="16"/>
    </row>
    <row r="24" spans="1:7">
      <c r="A24" s="185">
        <v>23</v>
      </c>
      <c r="B24" s="113">
        <v>4</v>
      </c>
      <c r="C24" s="113">
        <v>3</v>
      </c>
      <c r="D24" s="113">
        <v>3</v>
      </c>
      <c r="E24" s="113">
        <v>5</v>
      </c>
      <c r="F24" s="113">
        <v>3</v>
      </c>
      <c r="G24" s="16"/>
    </row>
    <row r="25" spans="1:7">
      <c r="A25" s="185">
        <v>24</v>
      </c>
      <c r="B25" s="113">
        <v>4</v>
      </c>
      <c r="C25" s="113">
        <v>3</v>
      </c>
      <c r="D25" s="113">
        <v>3</v>
      </c>
      <c r="E25" s="113">
        <v>5</v>
      </c>
      <c r="F25" s="113">
        <v>3</v>
      </c>
      <c r="G25" s="16"/>
    </row>
    <row r="26" spans="1:7">
      <c r="A26" s="185">
        <v>25</v>
      </c>
      <c r="B26" s="113">
        <v>4</v>
      </c>
      <c r="C26" s="113">
        <v>3</v>
      </c>
      <c r="D26" s="113">
        <v>3</v>
      </c>
      <c r="E26" s="113">
        <v>5</v>
      </c>
      <c r="F26" s="113">
        <v>3</v>
      </c>
      <c r="G26" s="16"/>
    </row>
    <row r="27" spans="1:7">
      <c r="A27" s="185">
        <v>26</v>
      </c>
      <c r="B27" s="113">
        <v>4</v>
      </c>
      <c r="C27" s="113">
        <v>3</v>
      </c>
      <c r="D27" s="113">
        <v>3</v>
      </c>
      <c r="E27" s="113">
        <v>5</v>
      </c>
      <c r="F27" s="113">
        <v>3</v>
      </c>
      <c r="G27" s="16"/>
    </row>
    <row r="28" spans="1:7">
      <c r="A28" s="185">
        <v>27</v>
      </c>
      <c r="B28" s="113">
        <v>4</v>
      </c>
      <c r="C28" s="113">
        <v>3</v>
      </c>
      <c r="D28" s="113">
        <v>3</v>
      </c>
      <c r="E28" s="113">
        <v>5</v>
      </c>
      <c r="F28" s="113">
        <v>3</v>
      </c>
      <c r="G28" s="16"/>
    </row>
    <row r="29" spans="1:7">
      <c r="A29" s="185">
        <v>28</v>
      </c>
      <c r="B29" s="113">
        <v>4</v>
      </c>
      <c r="C29" s="113">
        <v>3</v>
      </c>
      <c r="D29" s="113">
        <v>3</v>
      </c>
      <c r="E29" s="113">
        <v>5</v>
      </c>
      <c r="F29" s="113">
        <v>3</v>
      </c>
      <c r="G29" s="16"/>
    </row>
    <row r="30" spans="1:7">
      <c r="A30" s="185">
        <v>29</v>
      </c>
      <c r="B30" s="113">
        <v>4</v>
      </c>
      <c r="C30" s="113">
        <v>3</v>
      </c>
      <c r="D30" s="113">
        <v>3</v>
      </c>
      <c r="E30" s="113">
        <v>5</v>
      </c>
      <c r="F30" s="113">
        <v>3</v>
      </c>
      <c r="G30" s="16"/>
    </row>
    <row r="31" spans="1:7">
      <c r="A31" s="185">
        <v>30</v>
      </c>
      <c r="B31" s="113">
        <v>4</v>
      </c>
      <c r="C31" s="113">
        <v>3</v>
      </c>
      <c r="D31" s="113">
        <v>3</v>
      </c>
      <c r="E31" s="113">
        <v>5</v>
      </c>
      <c r="F31" s="113">
        <v>3</v>
      </c>
      <c r="G31" s="16"/>
    </row>
    <row r="32" spans="1:7">
      <c r="A32" s="185">
        <v>31</v>
      </c>
      <c r="B32" s="113">
        <v>4</v>
      </c>
      <c r="C32" s="113">
        <v>3</v>
      </c>
      <c r="D32" s="113">
        <v>3</v>
      </c>
      <c r="E32" s="113">
        <v>5</v>
      </c>
      <c r="F32" s="113">
        <v>3</v>
      </c>
      <c r="G32" s="16"/>
    </row>
    <row r="33" spans="1:7">
      <c r="A33" s="185">
        <v>32</v>
      </c>
      <c r="B33" s="113">
        <v>4</v>
      </c>
      <c r="C33" s="113">
        <v>3</v>
      </c>
      <c r="D33" s="113">
        <v>3</v>
      </c>
      <c r="E33" s="113">
        <v>5</v>
      </c>
      <c r="F33" s="113">
        <v>3</v>
      </c>
      <c r="G33" s="16"/>
    </row>
    <row r="34" spans="1:7">
      <c r="A34" s="185">
        <v>33</v>
      </c>
      <c r="B34" s="113">
        <v>4</v>
      </c>
      <c r="C34" s="113">
        <v>3</v>
      </c>
      <c r="D34" s="113">
        <v>3</v>
      </c>
      <c r="E34" s="113">
        <v>5</v>
      </c>
      <c r="F34" s="113">
        <v>3</v>
      </c>
      <c r="G34" s="16"/>
    </row>
    <row r="35" spans="1:7">
      <c r="A35" s="185">
        <v>34</v>
      </c>
      <c r="B35" s="113">
        <v>4</v>
      </c>
      <c r="C35" s="113">
        <v>3</v>
      </c>
      <c r="D35" s="113">
        <v>3</v>
      </c>
      <c r="E35" s="113">
        <v>5</v>
      </c>
      <c r="F35" s="113">
        <v>3</v>
      </c>
      <c r="G35" s="16"/>
    </row>
    <row r="36" spans="1:7">
      <c r="A36" s="185">
        <v>35</v>
      </c>
      <c r="B36" s="113">
        <v>4</v>
      </c>
      <c r="C36" s="113">
        <v>3</v>
      </c>
      <c r="D36" s="113">
        <v>3</v>
      </c>
      <c r="E36" s="113">
        <v>5</v>
      </c>
      <c r="F36" s="113">
        <v>3</v>
      </c>
      <c r="G36" s="16"/>
    </row>
    <row r="37" spans="1:7">
      <c r="A37" s="185">
        <v>36</v>
      </c>
      <c r="B37" s="113">
        <v>4</v>
      </c>
      <c r="C37" s="113">
        <v>3</v>
      </c>
      <c r="D37" s="113">
        <v>3</v>
      </c>
      <c r="E37" s="113">
        <v>5</v>
      </c>
      <c r="F37" s="113">
        <v>3</v>
      </c>
      <c r="G37" s="16"/>
    </row>
    <row r="38" spans="1:7">
      <c r="A38" s="185">
        <v>37</v>
      </c>
      <c r="B38" s="113">
        <v>4</v>
      </c>
      <c r="C38" s="113">
        <v>3</v>
      </c>
      <c r="D38" s="113">
        <v>3</v>
      </c>
      <c r="E38" s="113">
        <v>5</v>
      </c>
      <c r="F38" s="113">
        <v>3</v>
      </c>
      <c r="G38" s="16"/>
    </row>
    <row r="39" spans="1:7">
      <c r="A39" s="185">
        <v>38</v>
      </c>
      <c r="B39" s="113">
        <v>4</v>
      </c>
      <c r="C39" s="113">
        <v>3</v>
      </c>
      <c r="D39" s="113">
        <v>3</v>
      </c>
      <c r="E39" s="113">
        <v>5</v>
      </c>
      <c r="F39" s="113">
        <v>3</v>
      </c>
      <c r="G39" s="16"/>
    </row>
    <row r="40" spans="1:7">
      <c r="A40" s="185">
        <v>39</v>
      </c>
      <c r="B40" s="113">
        <v>4</v>
      </c>
      <c r="C40" s="113">
        <v>3</v>
      </c>
      <c r="D40" s="113">
        <v>3</v>
      </c>
      <c r="E40" s="113">
        <v>5</v>
      </c>
      <c r="F40" s="113">
        <v>3</v>
      </c>
      <c r="G40" s="16"/>
    </row>
    <row r="41" spans="1:7">
      <c r="A41" s="185">
        <v>40</v>
      </c>
      <c r="B41" s="113">
        <v>4</v>
      </c>
      <c r="C41" s="113">
        <v>3</v>
      </c>
      <c r="D41" s="113">
        <v>3</v>
      </c>
      <c r="E41" s="113">
        <v>5</v>
      </c>
      <c r="F41" s="113">
        <v>3</v>
      </c>
      <c r="G41" s="16"/>
    </row>
    <row r="42" spans="1:7">
      <c r="A42" s="161"/>
      <c r="B42" s="113">
        <v>4</v>
      </c>
      <c r="C42" s="113">
        <v>3</v>
      </c>
      <c r="D42" s="113">
        <v>3</v>
      </c>
      <c r="E42" s="113">
        <v>5</v>
      </c>
      <c r="F42" s="113">
        <v>3</v>
      </c>
      <c r="G42" s="16"/>
    </row>
    <row r="43" spans="1:7">
      <c r="A43" s="161"/>
      <c r="B43" s="113">
        <v>4</v>
      </c>
      <c r="C43" s="113">
        <v>3</v>
      </c>
      <c r="D43" s="113">
        <v>3</v>
      </c>
      <c r="E43" s="113">
        <v>5</v>
      </c>
      <c r="F43" s="113">
        <v>3</v>
      </c>
      <c r="G43" s="16"/>
    </row>
    <row r="44" spans="1:7">
      <c r="A44" s="161"/>
      <c r="B44" s="113">
        <v>4</v>
      </c>
      <c r="C44" s="113">
        <v>3</v>
      </c>
      <c r="D44" s="113">
        <v>3</v>
      </c>
      <c r="E44" s="113">
        <v>5</v>
      </c>
      <c r="F44" s="113">
        <v>3</v>
      </c>
      <c r="G44" s="16"/>
    </row>
    <row r="45" spans="1:7">
      <c r="A45" s="161"/>
      <c r="B45" s="113">
        <v>4</v>
      </c>
      <c r="C45" s="113">
        <v>5</v>
      </c>
      <c r="D45" s="113">
        <v>3</v>
      </c>
      <c r="E45" s="113">
        <v>5</v>
      </c>
      <c r="F45" s="113">
        <v>3</v>
      </c>
      <c r="G45" s="16"/>
    </row>
    <row r="46" spans="1:7">
      <c r="A46" s="161"/>
      <c r="B46" s="113">
        <v>4</v>
      </c>
      <c r="C46" s="113">
        <v>5</v>
      </c>
      <c r="D46" s="113">
        <v>3</v>
      </c>
      <c r="E46" s="113">
        <v>5</v>
      </c>
      <c r="F46" s="113">
        <v>3</v>
      </c>
      <c r="G46" s="16"/>
    </row>
    <row r="47" spans="1:7">
      <c r="A47" s="161"/>
      <c r="B47" s="113">
        <v>4</v>
      </c>
      <c r="C47" s="113">
        <v>5</v>
      </c>
      <c r="D47" s="113">
        <v>3</v>
      </c>
      <c r="E47" s="113">
        <v>5</v>
      </c>
      <c r="F47" s="113">
        <v>3</v>
      </c>
      <c r="G47" s="16"/>
    </row>
    <row r="48" spans="1:7">
      <c r="A48" s="169"/>
      <c r="B48" s="113">
        <v>4</v>
      </c>
      <c r="C48" s="113">
        <v>5</v>
      </c>
      <c r="D48" s="2">
        <v>3</v>
      </c>
      <c r="E48" s="2">
        <v>5</v>
      </c>
      <c r="F48" s="2">
        <v>3</v>
      </c>
    </row>
    <row r="49" spans="1:6">
      <c r="A49" s="169"/>
      <c r="B49" s="113">
        <v>4</v>
      </c>
      <c r="C49" s="2">
        <v>3</v>
      </c>
      <c r="D49" s="2">
        <v>3</v>
      </c>
      <c r="E49" s="2">
        <v>5</v>
      </c>
      <c r="F49" s="2">
        <v>3</v>
      </c>
    </row>
    <row r="50" spans="1:6">
      <c r="A50" s="169"/>
      <c r="B50" s="113">
        <v>4</v>
      </c>
      <c r="C50" s="2">
        <v>3</v>
      </c>
      <c r="D50" s="2">
        <v>3</v>
      </c>
      <c r="E50" s="2">
        <v>5</v>
      </c>
      <c r="F50" s="2">
        <v>3</v>
      </c>
    </row>
    <row r="51" spans="1:6">
      <c r="A51" s="171"/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R61"/>
  <sheetViews>
    <sheetView zoomScale="90" zoomScaleNormal="90" workbookViewId="0"/>
  </sheetViews>
  <sheetFormatPr defaultRowHeight="15"/>
  <cols>
    <col min="1" max="1" width="21.28515625" customWidth="1"/>
    <col min="2" max="2" width="32.5703125" style="50" customWidth="1"/>
    <col min="3" max="5" width="3.7109375" style="50" customWidth="1"/>
    <col min="6" max="6" width="5.28515625" style="50" customWidth="1"/>
    <col min="7" max="7" width="5.7109375" style="50" customWidth="1"/>
    <col min="8" max="8" width="3.7109375" style="50" customWidth="1"/>
    <col min="9" max="9" width="4.140625" style="50" customWidth="1"/>
    <col min="10" max="10" width="9.42578125" style="56" customWidth="1"/>
    <col min="11" max="14" width="4.140625" style="56" bestFit="1" customWidth="1"/>
    <col min="15" max="15" width="3.7109375" style="56" customWidth="1"/>
    <col min="16" max="16" width="4.140625" style="56" bestFit="1" customWidth="1"/>
    <col min="17" max="17" width="3.7109375" style="56" customWidth="1"/>
    <col min="18" max="18" width="11.7109375" style="73" customWidth="1"/>
    <col min="19" max="27" width="3.7109375" style="73" customWidth="1"/>
    <col min="28" max="28" width="9.140625" style="73" customWidth="1"/>
    <col min="29" max="29" width="18.85546875" style="46" customWidth="1"/>
    <col min="30" max="36" width="3.7109375" style="46" customWidth="1"/>
    <col min="37" max="37" width="9"/>
    <col min="38" max="44" width="3.7109375" style="77" customWidth="1"/>
    <col min="45" max="45" width="11.7109375" style="81" customWidth="1"/>
    <col min="46" max="52" width="3.7109375" style="81" customWidth="1"/>
    <col min="53" max="53" width="24.85546875" style="85" customWidth="1"/>
    <col min="54" max="60" width="3.7109375" style="85" customWidth="1"/>
    <col min="61" max="61" width="15.7109375" style="60" customWidth="1"/>
    <col min="62" max="68" width="3.7109375" style="60" customWidth="1"/>
    <col min="69" max="69" width="11.7109375" style="64" customWidth="1"/>
    <col min="70" max="70" width="5.28515625" style="64" bestFit="1" customWidth="1"/>
    <col min="71" max="71" width="4.85546875" style="64" customWidth="1"/>
    <col min="72" max="72" width="5.140625" style="64" customWidth="1"/>
    <col min="73" max="75" width="5.28515625" style="64" bestFit="1" customWidth="1"/>
    <col min="76" max="76" width="3.7109375" style="64" customWidth="1"/>
    <col min="77" max="77" width="20.42578125" style="56" customWidth="1"/>
    <col min="78" max="84" width="3.7109375" style="56" customWidth="1"/>
    <col min="85" max="85" width="27.28515625" style="93" customWidth="1"/>
    <col min="86" max="92" width="3.7109375" style="93" customWidth="1"/>
    <col min="93" max="93" width="11.7109375" style="68" customWidth="1"/>
    <col min="94" max="100" width="3.7109375" style="68" customWidth="1"/>
    <col min="101" max="101" width="14.7109375" style="89" customWidth="1"/>
    <col min="102" max="108" width="3.7109375" style="89" customWidth="1"/>
    <col min="109" max="109" width="26.42578125" style="103" customWidth="1"/>
    <col min="110" max="116" width="3.7109375" style="103" customWidth="1"/>
    <col min="117" max="117" width="26.140625" style="50" customWidth="1"/>
    <col min="118" max="124" width="3.7109375" style="50" customWidth="1"/>
    <col min="125" max="125" width="11.7109375" style="73" customWidth="1"/>
    <col min="126" max="132" width="3.7109375" style="73" customWidth="1"/>
    <col min="133" max="133" width="15.42578125" style="103" customWidth="1"/>
    <col min="134" max="135" width="4.5703125" style="103" bestFit="1" customWidth="1"/>
    <col min="136" max="140" width="3.7109375" style="103" customWidth="1"/>
    <col min="141" max="141" width="11.7109375" style="97" customWidth="1"/>
    <col min="142" max="148" width="3.7109375" style="97" customWidth="1"/>
  </cols>
  <sheetData>
    <row r="1" spans="1:148" s="200" customFormat="1">
      <c r="A1" s="136"/>
      <c r="B1" s="50"/>
      <c r="C1" s="201" t="s">
        <v>93</v>
      </c>
      <c r="D1" s="201"/>
      <c r="E1" s="201"/>
      <c r="F1" s="201"/>
      <c r="G1" s="201"/>
      <c r="H1" s="199"/>
      <c r="I1" s="199"/>
      <c r="J1" s="52"/>
      <c r="K1" s="202" t="s">
        <v>37</v>
      </c>
      <c r="L1" s="56"/>
      <c r="M1" s="53"/>
      <c r="N1" s="53"/>
      <c r="O1" s="53"/>
      <c r="P1" s="53"/>
      <c r="Q1" s="53"/>
      <c r="R1" s="70"/>
      <c r="S1" s="203" t="s">
        <v>105</v>
      </c>
      <c r="T1" s="70"/>
      <c r="U1" s="70"/>
      <c r="V1" s="70"/>
      <c r="W1" s="70"/>
      <c r="X1" s="70"/>
      <c r="Y1" s="70"/>
      <c r="Z1" s="70"/>
      <c r="AA1" s="70"/>
      <c r="AB1" s="70"/>
      <c r="AC1" s="44"/>
      <c r="AD1" s="42" t="s">
        <v>87</v>
      </c>
      <c r="AE1" s="43"/>
      <c r="AF1" s="43"/>
      <c r="AG1" s="43"/>
      <c r="AH1" s="43"/>
      <c r="AI1" s="43"/>
      <c r="AJ1" s="43"/>
      <c r="AK1" s="3"/>
      <c r="AL1" s="187" t="s">
        <v>94</v>
      </c>
      <c r="AM1" s="187"/>
      <c r="AN1" s="187"/>
      <c r="AO1" s="187"/>
      <c r="AP1" s="187"/>
      <c r="AQ1" s="187"/>
      <c r="AR1" s="187"/>
      <c r="AS1" s="79"/>
      <c r="AT1" s="188" t="s">
        <v>65</v>
      </c>
      <c r="AU1" s="189"/>
      <c r="AV1" s="189"/>
      <c r="AW1" s="189"/>
      <c r="AX1" s="189"/>
      <c r="AY1" s="189"/>
      <c r="AZ1" s="189"/>
      <c r="BA1" s="83"/>
      <c r="BB1" s="190" t="s">
        <v>88</v>
      </c>
      <c r="BC1" s="190"/>
      <c r="BD1" s="190"/>
      <c r="BE1" s="190"/>
      <c r="BF1" s="190"/>
      <c r="BG1" s="190"/>
      <c r="BH1" s="190"/>
      <c r="BI1" s="58"/>
      <c r="BJ1" s="191" t="s">
        <v>89</v>
      </c>
      <c r="BK1" s="191"/>
      <c r="BL1" s="191"/>
      <c r="BM1" s="191"/>
      <c r="BN1" s="191"/>
      <c r="BO1" s="191"/>
      <c r="BP1" s="191"/>
      <c r="BQ1" s="62"/>
      <c r="BR1" s="192" t="s">
        <v>68</v>
      </c>
      <c r="BS1" s="192"/>
      <c r="BT1" s="192"/>
      <c r="BU1" s="192"/>
      <c r="BV1" s="192"/>
      <c r="BW1" s="192"/>
      <c r="BX1" s="192"/>
      <c r="BY1" s="52"/>
      <c r="BZ1" s="193" t="s">
        <v>90</v>
      </c>
      <c r="CA1" s="193"/>
      <c r="CB1" s="193"/>
      <c r="CC1" s="193"/>
      <c r="CD1" s="193"/>
      <c r="CE1" s="193"/>
      <c r="CF1" s="193"/>
      <c r="CG1" s="91"/>
      <c r="CH1" s="194" t="s">
        <v>91</v>
      </c>
      <c r="CI1" s="194"/>
      <c r="CJ1" s="194"/>
      <c r="CK1" s="194"/>
      <c r="CL1" s="194"/>
      <c r="CM1" s="194"/>
      <c r="CN1" s="194"/>
      <c r="CO1" s="66"/>
      <c r="CP1" s="197" t="s">
        <v>66</v>
      </c>
      <c r="CQ1" s="197"/>
      <c r="CR1" s="197"/>
      <c r="CS1" s="197"/>
      <c r="CT1" s="197"/>
      <c r="CU1" s="197"/>
      <c r="CV1" s="197"/>
      <c r="CW1" s="87"/>
      <c r="CX1" s="198" t="s">
        <v>69</v>
      </c>
      <c r="CY1" s="198"/>
      <c r="CZ1" s="198"/>
      <c r="DA1" s="198"/>
      <c r="DB1" s="198"/>
      <c r="DC1" s="198"/>
      <c r="DD1" s="198"/>
      <c r="DE1" s="100"/>
      <c r="DF1" s="196" t="s">
        <v>67</v>
      </c>
      <c r="DG1" s="196"/>
      <c r="DH1" s="196"/>
      <c r="DI1" s="196"/>
      <c r="DJ1" s="196"/>
      <c r="DK1" s="196"/>
      <c r="DL1" s="196"/>
      <c r="DM1" s="48"/>
      <c r="DN1" s="199" t="s">
        <v>95</v>
      </c>
      <c r="DO1" s="199"/>
      <c r="DP1" s="199"/>
      <c r="DQ1" s="199"/>
      <c r="DR1" s="199"/>
      <c r="DS1" s="199"/>
      <c r="DT1" s="199"/>
      <c r="DU1" s="70"/>
      <c r="DV1" s="186" t="s">
        <v>96</v>
      </c>
      <c r="DW1" s="186"/>
      <c r="DX1" s="186"/>
      <c r="DY1" s="186"/>
      <c r="DZ1" s="186"/>
      <c r="EA1" s="186"/>
      <c r="EB1" s="186"/>
      <c r="EC1" s="100"/>
      <c r="ED1" s="196" t="s">
        <v>64</v>
      </c>
      <c r="EE1" s="196"/>
      <c r="EF1" s="196"/>
      <c r="EG1" s="196"/>
      <c r="EH1" s="196"/>
      <c r="EI1" s="196"/>
      <c r="EJ1" s="196"/>
      <c r="EK1" s="95"/>
      <c r="EL1" s="195" t="s">
        <v>84</v>
      </c>
      <c r="EM1" s="195"/>
      <c r="EN1" s="195"/>
      <c r="EO1" s="195"/>
      <c r="EP1" s="195"/>
      <c r="EQ1" s="195"/>
      <c r="ER1" s="195"/>
    </row>
    <row r="2" spans="1:148" ht="68.25" customHeight="1">
      <c r="A2" s="12" t="s">
        <v>222</v>
      </c>
      <c r="B2" s="48" t="s">
        <v>0</v>
      </c>
      <c r="C2" s="49" t="s">
        <v>9</v>
      </c>
      <c r="D2" s="49" t="s">
        <v>10</v>
      </c>
      <c r="E2" s="49" t="s">
        <v>11</v>
      </c>
      <c r="F2" s="49" t="s">
        <v>12</v>
      </c>
      <c r="G2" s="49" t="s">
        <v>13</v>
      </c>
      <c r="H2" s="49" t="s">
        <v>14</v>
      </c>
      <c r="I2" s="49" t="s">
        <v>15</v>
      </c>
      <c r="J2" s="52"/>
      <c r="K2" s="54" t="s">
        <v>9</v>
      </c>
      <c r="L2" s="54" t="s">
        <v>10</v>
      </c>
      <c r="M2" s="54" t="s">
        <v>11</v>
      </c>
      <c r="N2" s="54" t="s">
        <v>12</v>
      </c>
      <c r="O2" s="54" t="s">
        <v>13</v>
      </c>
      <c r="P2" s="54" t="s">
        <v>14</v>
      </c>
      <c r="Q2" s="54" t="s">
        <v>15</v>
      </c>
      <c r="R2" s="70"/>
      <c r="S2" s="71" t="s">
        <v>9</v>
      </c>
      <c r="T2" s="71" t="s">
        <v>10</v>
      </c>
      <c r="U2" s="71" t="s">
        <v>11</v>
      </c>
      <c r="V2" s="71" t="s">
        <v>12</v>
      </c>
      <c r="W2" s="71" t="s">
        <v>13</v>
      </c>
      <c r="X2" s="71" t="s">
        <v>14</v>
      </c>
      <c r="Y2" s="71" t="s">
        <v>15</v>
      </c>
      <c r="Z2" s="71" t="s">
        <v>16</v>
      </c>
      <c r="AA2" s="71" t="s">
        <v>17</v>
      </c>
      <c r="AB2" s="72" t="s">
        <v>18</v>
      </c>
      <c r="AC2" s="44"/>
      <c r="AD2" s="45" t="s">
        <v>9</v>
      </c>
      <c r="AE2" s="45" t="s">
        <v>10</v>
      </c>
      <c r="AF2" s="45" t="s">
        <v>11</v>
      </c>
      <c r="AG2" s="45" t="s">
        <v>12</v>
      </c>
      <c r="AH2" s="45" t="s">
        <v>13</v>
      </c>
      <c r="AI2" s="45" t="s">
        <v>14</v>
      </c>
      <c r="AJ2" s="45" t="s">
        <v>15</v>
      </c>
      <c r="AK2" s="3"/>
      <c r="AL2" s="76" t="s">
        <v>9</v>
      </c>
      <c r="AM2" s="76" t="s">
        <v>10</v>
      </c>
      <c r="AN2" s="76" t="s">
        <v>11</v>
      </c>
      <c r="AO2" s="76" t="s">
        <v>12</v>
      </c>
      <c r="AP2" s="76" t="s">
        <v>13</v>
      </c>
      <c r="AQ2" s="76" t="s">
        <v>14</v>
      </c>
      <c r="AR2" s="76" t="s">
        <v>15</v>
      </c>
      <c r="AS2" s="79"/>
      <c r="AT2" s="80" t="s">
        <v>9</v>
      </c>
      <c r="AU2" s="80" t="s">
        <v>10</v>
      </c>
      <c r="AV2" s="80" t="s">
        <v>11</v>
      </c>
      <c r="AW2" s="80" t="s">
        <v>12</v>
      </c>
      <c r="AX2" s="80" t="s">
        <v>13</v>
      </c>
      <c r="AY2" s="80" t="s">
        <v>14</v>
      </c>
      <c r="AZ2" s="80" t="s">
        <v>15</v>
      </c>
      <c r="BA2" s="83"/>
      <c r="BB2" s="84" t="s">
        <v>9</v>
      </c>
      <c r="BC2" s="84" t="s">
        <v>10</v>
      </c>
      <c r="BD2" s="84" t="s">
        <v>11</v>
      </c>
      <c r="BE2" s="84" t="s">
        <v>12</v>
      </c>
      <c r="BF2" s="84" t="s">
        <v>13</v>
      </c>
      <c r="BG2" s="84" t="s">
        <v>14</v>
      </c>
      <c r="BH2" s="84" t="s">
        <v>15</v>
      </c>
      <c r="BI2" s="58"/>
      <c r="BJ2" s="59" t="s">
        <v>9</v>
      </c>
      <c r="BK2" s="59" t="s">
        <v>10</v>
      </c>
      <c r="BL2" s="59" t="s">
        <v>11</v>
      </c>
      <c r="BM2" s="59" t="s">
        <v>12</v>
      </c>
      <c r="BN2" s="59" t="s">
        <v>13</v>
      </c>
      <c r="BO2" s="59" t="s">
        <v>14</v>
      </c>
      <c r="BP2" s="59" t="s">
        <v>15</v>
      </c>
      <c r="BQ2" s="62"/>
      <c r="BR2" s="63" t="s">
        <v>9</v>
      </c>
      <c r="BS2" s="63" t="s">
        <v>10</v>
      </c>
      <c r="BT2" s="63" t="s">
        <v>11</v>
      </c>
      <c r="BU2" s="63" t="s">
        <v>12</v>
      </c>
      <c r="BV2" s="63" t="s">
        <v>13</v>
      </c>
      <c r="BW2" s="63" t="s">
        <v>14</v>
      </c>
      <c r="BX2" s="63" t="s">
        <v>15</v>
      </c>
      <c r="BY2" s="52"/>
      <c r="BZ2" s="54" t="s">
        <v>9</v>
      </c>
      <c r="CA2" s="54" t="s">
        <v>10</v>
      </c>
      <c r="CB2" s="54" t="s">
        <v>11</v>
      </c>
      <c r="CC2" s="54" t="s">
        <v>12</v>
      </c>
      <c r="CD2" s="54" t="s">
        <v>13</v>
      </c>
      <c r="CE2" s="54" t="s">
        <v>14</v>
      </c>
      <c r="CF2" s="54" t="s">
        <v>15</v>
      </c>
      <c r="CG2" s="91"/>
      <c r="CH2" s="92" t="s">
        <v>9</v>
      </c>
      <c r="CI2" s="92" t="s">
        <v>10</v>
      </c>
      <c r="CJ2" s="92" t="s">
        <v>11</v>
      </c>
      <c r="CK2" s="92" t="s">
        <v>12</v>
      </c>
      <c r="CL2" s="92" t="s">
        <v>13</v>
      </c>
      <c r="CM2" s="92" t="s">
        <v>14</v>
      </c>
      <c r="CN2" s="92" t="s">
        <v>15</v>
      </c>
      <c r="CO2" s="66"/>
      <c r="CP2" s="67" t="s">
        <v>9</v>
      </c>
      <c r="CQ2" s="67" t="s">
        <v>10</v>
      </c>
      <c r="CR2" s="67" t="s">
        <v>11</v>
      </c>
      <c r="CS2" s="67" t="s">
        <v>12</v>
      </c>
      <c r="CT2" s="67" t="s">
        <v>13</v>
      </c>
      <c r="CU2" s="67" t="s">
        <v>14</v>
      </c>
      <c r="CV2" s="67" t="s">
        <v>15</v>
      </c>
      <c r="CW2" s="87"/>
      <c r="CX2" s="88" t="s">
        <v>9</v>
      </c>
      <c r="CY2" s="88" t="s">
        <v>10</v>
      </c>
      <c r="CZ2" s="88" t="s">
        <v>11</v>
      </c>
      <c r="DA2" s="88" t="s">
        <v>12</v>
      </c>
      <c r="DB2" s="88" t="s">
        <v>13</v>
      </c>
      <c r="DC2" s="88" t="s">
        <v>14</v>
      </c>
      <c r="DD2" s="88" t="s">
        <v>15</v>
      </c>
      <c r="DE2" s="101"/>
      <c r="DF2" s="102" t="s">
        <v>9</v>
      </c>
      <c r="DG2" s="102" t="s">
        <v>10</v>
      </c>
      <c r="DH2" s="102" t="s">
        <v>11</v>
      </c>
      <c r="DI2" s="102" t="s">
        <v>12</v>
      </c>
      <c r="DJ2" s="102" t="s">
        <v>13</v>
      </c>
      <c r="DK2" s="102" t="s">
        <v>14</v>
      </c>
      <c r="DL2" s="102" t="s">
        <v>15</v>
      </c>
      <c r="DM2" s="104"/>
      <c r="DN2" s="49" t="s">
        <v>9</v>
      </c>
      <c r="DO2" s="49" t="s">
        <v>10</v>
      </c>
      <c r="DP2" s="49" t="s">
        <v>11</v>
      </c>
      <c r="DQ2" s="49" t="s">
        <v>12</v>
      </c>
      <c r="DR2" s="49" t="s">
        <v>13</v>
      </c>
      <c r="DS2" s="49" t="s">
        <v>14</v>
      </c>
      <c r="DT2" s="49" t="s">
        <v>15</v>
      </c>
      <c r="DU2" s="105"/>
      <c r="DV2" s="71" t="s">
        <v>9</v>
      </c>
      <c r="DW2" s="71" t="s">
        <v>10</v>
      </c>
      <c r="DX2" s="71" t="s">
        <v>11</v>
      </c>
      <c r="DY2" s="71" t="s">
        <v>12</v>
      </c>
      <c r="DZ2" s="71" t="s">
        <v>13</v>
      </c>
      <c r="EA2" s="71" t="s">
        <v>14</v>
      </c>
      <c r="EB2" s="71" t="s">
        <v>15</v>
      </c>
      <c r="EC2" s="101"/>
      <c r="ED2" s="102" t="s">
        <v>9</v>
      </c>
      <c r="EE2" s="102" t="s">
        <v>10</v>
      </c>
      <c r="EF2" s="102" t="s">
        <v>11</v>
      </c>
      <c r="EG2" s="102" t="s">
        <v>12</v>
      </c>
      <c r="EH2" s="102" t="s">
        <v>13</v>
      </c>
      <c r="EI2" s="102" t="s">
        <v>14</v>
      </c>
      <c r="EJ2" s="102" t="s">
        <v>15</v>
      </c>
      <c r="EK2" s="98"/>
      <c r="EL2" s="96" t="s">
        <v>9</v>
      </c>
      <c r="EM2" s="96" t="s">
        <v>10</v>
      </c>
      <c r="EN2" s="96" t="s">
        <v>11</v>
      </c>
      <c r="EO2" s="96" t="s">
        <v>12</v>
      </c>
      <c r="EP2" s="96" t="s">
        <v>13</v>
      </c>
      <c r="EQ2" s="96" t="s">
        <v>14</v>
      </c>
      <c r="ER2" s="96" t="s">
        <v>15</v>
      </c>
    </row>
    <row r="3" spans="1:148" ht="15.75">
      <c r="A3" s="211">
        <v>1</v>
      </c>
      <c r="B3" s="149" t="s">
        <v>153</v>
      </c>
      <c r="C3" s="214">
        <v>5</v>
      </c>
      <c r="D3" s="215">
        <v>5</v>
      </c>
      <c r="E3" s="215">
        <v>9</v>
      </c>
      <c r="F3" s="215">
        <v>10</v>
      </c>
      <c r="G3" s="48">
        <f>SUM(C3:F3)</f>
        <v>29</v>
      </c>
      <c r="H3" s="216">
        <v>26</v>
      </c>
      <c r="I3" s="48">
        <f>G3+H3</f>
        <v>55</v>
      </c>
      <c r="J3" s="149"/>
      <c r="K3" s="221">
        <v>3</v>
      </c>
      <c r="L3" s="218">
        <v>8</v>
      </c>
      <c r="M3" s="218">
        <v>10</v>
      </c>
      <c r="N3" s="218">
        <v>10</v>
      </c>
      <c r="O3" s="52">
        <f>SUM(K3:N3)</f>
        <v>31</v>
      </c>
      <c r="P3" s="222">
        <v>26</v>
      </c>
      <c r="Q3" s="52">
        <f>O3+P3</f>
        <v>57</v>
      </c>
      <c r="R3" s="70"/>
      <c r="S3" s="224">
        <v>5</v>
      </c>
      <c r="T3" s="225">
        <v>3</v>
      </c>
      <c r="U3" s="225">
        <v>5</v>
      </c>
      <c r="V3" s="225">
        <v>6</v>
      </c>
      <c r="W3" s="70">
        <f t="shared" ref="W3:W46" si="0">SUM(S3:V3)</f>
        <v>19</v>
      </c>
      <c r="X3" s="226">
        <v>30</v>
      </c>
      <c r="Y3" s="70">
        <f>W3+X3</f>
        <v>49</v>
      </c>
      <c r="Z3" s="70">
        <f>IF(Y3&lt;10,"",RANK(Y3,Y$3:Y$52))</f>
        <v>29</v>
      </c>
      <c r="AA3" s="70" t="str">
        <f>IF(Y3&gt;=70,"A",IF(Y3&gt;=50,"C",IF(Y3&gt;=45,"P",IF(Y3&gt;=6,"F",IF(Y3&lt;5,"")))))</f>
        <v>P</v>
      </c>
      <c r="AB3" s="70" t="str">
        <f>IF(Y3&gt;=70,"Excellent",IF(Y3&gt;=50,"Credit",IF(Y3&gt;=45,"Pass",IF(Y3&gt;=6,"Fail",IF(Y3&lt;5,"")))))</f>
        <v>Pass</v>
      </c>
      <c r="AC3" s="149"/>
      <c r="AD3" s="228"/>
      <c r="AE3" s="229"/>
      <c r="AF3" s="229"/>
      <c r="AG3" s="229"/>
      <c r="AH3" s="44">
        <f>SUM(AD3:AG3)</f>
        <v>0</v>
      </c>
      <c r="AI3" s="232"/>
      <c r="AJ3" s="44">
        <f>AH3+AI3</f>
        <v>0</v>
      </c>
      <c r="AK3" s="3"/>
      <c r="AL3" s="234">
        <v>1</v>
      </c>
      <c r="AM3" s="235">
        <v>3</v>
      </c>
      <c r="AN3" s="235">
        <v>8</v>
      </c>
      <c r="AO3" s="235">
        <v>8</v>
      </c>
      <c r="AP3" s="75">
        <f>SUM(AL3:AO3)</f>
        <v>20</v>
      </c>
      <c r="AQ3" s="241">
        <v>21</v>
      </c>
      <c r="AR3" s="75">
        <f>AP3+AQ3</f>
        <v>41</v>
      </c>
      <c r="AS3" s="79"/>
      <c r="AT3" s="242">
        <v>1</v>
      </c>
      <c r="AU3" s="243">
        <v>1</v>
      </c>
      <c r="AV3" s="243">
        <v>10</v>
      </c>
      <c r="AW3" s="243">
        <v>9</v>
      </c>
      <c r="AX3" s="244">
        <v>21</v>
      </c>
      <c r="AY3" s="243">
        <v>19</v>
      </c>
      <c r="AZ3" s="244">
        <v>40</v>
      </c>
      <c r="BA3" s="142"/>
      <c r="BB3" s="245">
        <v>4</v>
      </c>
      <c r="BC3" s="246">
        <v>0</v>
      </c>
      <c r="BD3" s="246">
        <v>7</v>
      </c>
      <c r="BE3" s="246">
        <v>4</v>
      </c>
      <c r="BF3" s="247">
        <v>15</v>
      </c>
      <c r="BG3" s="246">
        <v>38</v>
      </c>
      <c r="BH3" s="247">
        <v>53</v>
      </c>
      <c r="BI3" s="48"/>
      <c r="BJ3" s="249">
        <v>6</v>
      </c>
      <c r="BK3" s="249">
        <v>5</v>
      </c>
      <c r="BL3" s="249">
        <v>10</v>
      </c>
      <c r="BM3" s="249">
        <v>10</v>
      </c>
      <c r="BN3" s="250">
        <v>31</v>
      </c>
      <c r="BO3" s="249">
        <v>14</v>
      </c>
      <c r="BP3" s="250">
        <v>45</v>
      </c>
      <c r="BQ3" s="62"/>
      <c r="BR3" s="252">
        <v>8</v>
      </c>
      <c r="BS3" s="253">
        <v>2</v>
      </c>
      <c r="BT3" s="253">
        <v>7</v>
      </c>
      <c r="BU3" s="253">
        <v>10</v>
      </c>
      <c r="BV3" s="254">
        <v>27</v>
      </c>
      <c r="BW3" s="253">
        <v>31</v>
      </c>
      <c r="BX3" s="254">
        <v>58</v>
      </c>
      <c r="BY3" s="149"/>
      <c r="BZ3" s="255">
        <v>3</v>
      </c>
      <c r="CA3" s="256">
        <v>8</v>
      </c>
      <c r="CB3" s="256">
        <v>10</v>
      </c>
      <c r="CC3" s="256">
        <v>10</v>
      </c>
      <c r="CD3" s="257">
        <v>31</v>
      </c>
      <c r="CE3" s="256">
        <v>29</v>
      </c>
      <c r="CF3" s="257">
        <v>60</v>
      </c>
      <c r="CG3" s="142"/>
      <c r="CH3" s="258">
        <v>1</v>
      </c>
      <c r="CI3" s="259">
        <v>2</v>
      </c>
      <c r="CJ3" s="259">
        <v>10</v>
      </c>
      <c r="CK3" s="259">
        <v>10</v>
      </c>
      <c r="CL3" s="260">
        <v>23</v>
      </c>
      <c r="CM3" s="259">
        <v>23</v>
      </c>
      <c r="CN3" s="260">
        <v>46</v>
      </c>
      <c r="CO3" s="66"/>
      <c r="CP3" s="261">
        <v>7</v>
      </c>
      <c r="CQ3" s="262">
        <v>2</v>
      </c>
      <c r="CR3" s="262">
        <v>10</v>
      </c>
      <c r="CS3" s="262">
        <v>8</v>
      </c>
      <c r="CT3" s="263">
        <v>27</v>
      </c>
      <c r="CU3" s="262">
        <v>29</v>
      </c>
      <c r="CV3" s="263">
        <v>56</v>
      </c>
      <c r="CW3" s="149"/>
      <c r="CX3" s="265">
        <v>3</v>
      </c>
      <c r="CY3" s="268">
        <v>3</v>
      </c>
      <c r="CZ3" s="269">
        <v>10</v>
      </c>
      <c r="DA3" s="270">
        <v>10</v>
      </c>
      <c r="DB3" s="267">
        <v>26</v>
      </c>
      <c r="DC3" s="269">
        <v>22</v>
      </c>
      <c r="DD3" s="267">
        <v>48</v>
      </c>
      <c r="DE3" s="48"/>
      <c r="DF3" s="282">
        <v>5</v>
      </c>
      <c r="DG3" s="283">
        <v>6</v>
      </c>
      <c r="DH3" s="283">
        <v>3</v>
      </c>
      <c r="DI3" s="283">
        <v>10</v>
      </c>
      <c r="DJ3" s="284">
        <v>24</v>
      </c>
      <c r="DK3" s="283">
        <v>41</v>
      </c>
      <c r="DL3" s="284">
        <v>65</v>
      </c>
      <c r="DM3" s="48"/>
      <c r="DN3" s="285">
        <v>6</v>
      </c>
      <c r="DO3" s="286">
        <v>2</v>
      </c>
      <c r="DP3" s="286">
        <v>4</v>
      </c>
      <c r="DQ3" s="286">
        <v>5</v>
      </c>
      <c r="DR3" s="287">
        <v>17</v>
      </c>
      <c r="DS3" s="286">
        <v>14</v>
      </c>
      <c r="DT3" s="287">
        <v>31</v>
      </c>
      <c r="DU3" s="70"/>
      <c r="DV3" s="288">
        <v>4</v>
      </c>
      <c r="DW3" s="289">
        <v>3</v>
      </c>
      <c r="DX3" s="289">
        <v>8</v>
      </c>
      <c r="DY3" s="289">
        <v>10</v>
      </c>
      <c r="DZ3" s="292">
        <v>25</v>
      </c>
      <c r="EA3" s="289">
        <v>22</v>
      </c>
      <c r="EB3" s="292">
        <v>47</v>
      </c>
      <c r="EC3" s="48"/>
      <c r="ED3" s="293">
        <v>4</v>
      </c>
      <c r="EE3" s="294">
        <v>4</v>
      </c>
      <c r="EF3" s="294">
        <v>9</v>
      </c>
      <c r="EG3" s="294">
        <v>10</v>
      </c>
      <c r="EH3" s="297">
        <v>27</v>
      </c>
      <c r="EI3" s="294">
        <v>31</v>
      </c>
      <c r="EJ3" s="297">
        <v>58</v>
      </c>
      <c r="EK3" s="95"/>
      <c r="EL3" s="298">
        <v>5</v>
      </c>
      <c r="EM3" s="299">
        <v>4</v>
      </c>
      <c r="EN3" s="299">
        <v>10</v>
      </c>
      <c r="EO3" s="299">
        <v>10</v>
      </c>
      <c r="EP3" s="302">
        <v>29</v>
      </c>
      <c r="EQ3" s="299">
        <v>24</v>
      </c>
      <c r="ER3" s="302">
        <v>53</v>
      </c>
    </row>
    <row r="4" spans="1:148" ht="15.75">
      <c r="A4" s="212">
        <v>2</v>
      </c>
      <c r="B4" s="143" t="s">
        <v>154</v>
      </c>
      <c r="C4" s="214">
        <v>2</v>
      </c>
      <c r="D4" s="215">
        <v>4</v>
      </c>
      <c r="E4" s="215">
        <v>8</v>
      </c>
      <c r="F4" s="215">
        <v>9</v>
      </c>
      <c r="G4" s="48">
        <f t="shared" ref="G4:G30" si="1">SUM(C4:F4)</f>
        <v>23</v>
      </c>
      <c r="H4" s="216">
        <v>14</v>
      </c>
      <c r="I4" s="48">
        <f t="shared" ref="I4:I30" si="2">G4+H4</f>
        <v>37</v>
      </c>
      <c r="J4" s="143"/>
      <c r="K4" s="221">
        <v>3</v>
      </c>
      <c r="L4" s="218">
        <v>5</v>
      </c>
      <c r="M4" s="218">
        <v>10</v>
      </c>
      <c r="N4" s="218">
        <v>10</v>
      </c>
      <c r="O4" s="52">
        <f t="shared" ref="O4:O22" si="3">SUM(K4:N4)</f>
        <v>28</v>
      </c>
      <c r="P4" s="222">
        <v>31</v>
      </c>
      <c r="Q4" s="52">
        <f t="shared" ref="Q4:Q52" si="4">O4+P4</f>
        <v>59</v>
      </c>
      <c r="R4" s="70"/>
      <c r="S4" s="224">
        <v>7</v>
      </c>
      <c r="T4" s="225">
        <v>4</v>
      </c>
      <c r="U4" s="225">
        <v>5</v>
      </c>
      <c r="V4" s="225">
        <v>5</v>
      </c>
      <c r="W4" s="70">
        <f t="shared" si="0"/>
        <v>21</v>
      </c>
      <c r="X4" s="226">
        <v>26</v>
      </c>
      <c r="Y4" s="70">
        <f t="shared" ref="Y4:Y52" si="5">W4+X4</f>
        <v>47</v>
      </c>
      <c r="Z4" s="70">
        <f t="shared" ref="Z4:Z52" si="6">IF(Y4&lt;10,"",RANK(Y4,Y$3:Y$52))</f>
        <v>31</v>
      </c>
      <c r="AA4" s="70" t="str">
        <f t="shared" ref="AA4:AA52" si="7">IF(Y4&gt;=70,"A",IF(Y4&gt;=50,"C",IF(Y4&gt;=45,"P",IF(Y4&gt;=6,"F",IF(Y4&lt;5,"")))))</f>
        <v>P</v>
      </c>
      <c r="AB4" s="70" t="str">
        <f t="shared" ref="AB4:AB52" si="8">IF(Y4&gt;=70,"Excellent",IF(Y4&gt;=50,"Credit",IF(Y4&gt;=45,"Pass",IF(Y4&gt;=6,"Fail",IF(Y4&lt;5,"")))))</f>
        <v>Pass</v>
      </c>
      <c r="AC4" s="143"/>
      <c r="AD4" s="228"/>
      <c r="AE4" s="229"/>
      <c r="AF4" s="229"/>
      <c r="AG4" s="229"/>
      <c r="AH4" s="44">
        <f t="shared" ref="AH4:AH52" si="9">SUM(AD4:AG4)</f>
        <v>0</v>
      </c>
      <c r="AI4" s="232"/>
      <c r="AJ4" s="44">
        <f t="shared" ref="AJ4:AJ52" si="10">AH4+AI4</f>
        <v>0</v>
      </c>
      <c r="AK4" s="3"/>
      <c r="AL4" s="234">
        <v>1</v>
      </c>
      <c r="AM4" s="235">
        <v>1</v>
      </c>
      <c r="AN4" s="235">
        <v>8</v>
      </c>
      <c r="AO4" s="235">
        <v>8</v>
      </c>
      <c r="AP4" s="75">
        <f t="shared" ref="AP4:AP52" si="11">SUM(AL4:AO4)</f>
        <v>18</v>
      </c>
      <c r="AQ4" s="241">
        <v>22</v>
      </c>
      <c r="AR4" s="75">
        <f t="shared" ref="AR4:AR52" si="12">AP4+AQ4</f>
        <v>40</v>
      </c>
      <c r="AS4" s="79"/>
      <c r="AT4" s="242">
        <v>1</v>
      </c>
      <c r="AU4" s="243">
        <v>1</v>
      </c>
      <c r="AV4" s="243">
        <v>5</v>
      </c>
      <c r="AW4" s="243">
        <v>4</v>
      </c>
      <c r="AX4" s="244">
        <v>11</v>
      </c>
      <c r="AY4" s="243">
        <v>13</v>
      </c>
      <c r="AZ4" s="244">
        <v>24</v>
      </c>
      <c r="BA4" s="143"/>
      <c r="BB4" s="245">
        <v>3</v>
      </c>
      <c r="BC4" s="246">
        <v>2</v>
      </c>
      <c r="BD4" s="246">
        <v>3</v>
      </c>
      <c r="BE4" s="246">
        <v>2</v>
      </c>
      <c r="BF4" s="247">
        <v>10</v>
      </c>
      <c r="BG4" s="246">
        <v>31</v>
      </c>
      <c r="BH4" s="247">
        <v>41</v>
      </c>
      <c r="BI4" s="48"/>
      <c r="BJ4" s="249">
        <v>4</v>
      </c>
      <c r="BK4" s="249">
        <v>6</v>
      </c>
      <c r="BL4" s="249">
        <v>8</v>
      </c>
      <c r="BM4" s="249">
        <v>10</v>
      </c>
      <c r="BN4" s="250">
        <v>28</v>
      </c>
      <c r="BO4" s="249">
        <v>22</v>
      </c>
      <c r="BP4" s="250">
        <v>50</v>
      </c>
      <c r="BQ4" s="62"/>
      <c r="BR4" s="252">
        <v>3</v>
      </c>
      <c r="BS4" s="253">
        <v>4</v>
      </c>
      <c r="BT4" s="253">
        <v>7</v>
      </c>
      <c r="BU4" s="253">
        <v>10</v>
      </c>
      <c r="BV4" s="254">
        <v>24</v>
      </c>
      <c r="BW4" s="253">
        <v>20</v>
      </c>
      <c r="BX4" s="254">
        <v>44</v>
      </c>
      <c r="BY4" s="143"/>
      <c r="BZ4" s="255">
        <v>3</v>
      </c>
      <c r="CA4" s="256">
        <v>3</v>
      </c>
      <c r="CB4" s="256">
        <v>8</v>
      </c>
      <c r="CC4" s="256">
        <v>6</v>
      </c>
      <c r="CD4" s="257">
        <v>20</v>
      </c>
      <c r="CE4" s="256">
        <v>27</v>
      </c>
      <c r="CF4" s="257">
        <v>47</v>
      </c>
      <c r="CG4" s="143"/>
      <c r="CH4" s="258">
        <v>2</v>
      </c>
      <c r="CI4" s="259">
        <v>2</v>
      </c>
      <c r="CJ4" s="259">
        <v>5</v>
      </c>
      <c r="CK4" s="259">
        <v>10</v>
      </c>
      <c r="CL4" s="260">
        <v>19</v>
      </c>
      <c r="CM4" s="259">
        <v>22</v>
      </c>
      <c r="CN4" s="260">
        <v>41</v>
      </c>
      <c r="CO4" s="66"/>
      <c r="CP4" s="261">
        <v>5</v>
      </c>
      <c r="CQ4" s="262">
        <v>1</v>
      </c>
      <c r="CR4" s="262">
        <v>7</v>
      </c>
      <c r="CS4" s="262">
        <v>6</v>
      </c>
      <c r="CT4" s="263">
        <v>19</v>
      </c>
      <c r="CU4" s="262">
        <v>20</v>
      </c>
      <c r="CV4" s="263">
        <v>39</v>
      </c>
      <c r="CW4" s="143"/>
      <c r="CX4" s="265">
        <v>3</v>
      </c>
      <c r="CY4" s="266">
        <v>5</v>
      </c>
      <c r="CZ4" s="269">
        <v>9</v>
      </c>
      <c r="DA4" s="270">
        <v>10</v>
      </c>
      <c r="DB4" s="267">
        <v>27</v>
      </c>
      <c r="DC4" s="269">
        <v>17</v>
      </c>
      <c r="DD4" s="267">
        <v>44</v>
      </c>
      <c r="DE4" s="48"/>
      <c r="DF4" s="282">
        <v>4</v>
      </c>
      <c r="DG4" s="283">
        <v>2</v>
      </c>
      <c r="DH4" s="283">
        <v>8</v>
      </c>
      <c r="DI4" s="283">
        <v>9</v>
      </c>
      <c r="DJ4" s="284">
        <v>23</v>
      </c>
      <c r="DK4" s="283">
        <v>31</v>
      </c>
      <c r="DL4" s="284">
        <v>54</v>
      </c>
      <c r="DM4" s="48"/>
      <c r="DN4" s="285">
        <v>1</v>
      </c>
      <c r="DO4" s="286">
        <v>1</v>
      </c>
      <c r="DP4" s="286">
        <v>4</v>
      </c>
      <c r="DQ4" s="286">
        <v>6</v>
      </c>
      <c r="DR4" s="287">
        <v>12</v>
      </c>
      <c r="DS4" s="286">
        <v>9</v>
      </c>
      <c r="DT4" s="287">
        <v>21</v>
      </c>
      <c r="DU4" s="70"/>
      <c r="DV4" s="288">
        <v>2</v>
      </c>
      <c r="DW4" s="289">
        <v>2</v>
      </c>
      <c r="DX4" s="289">
        <v>7</v>
      </c>
      <c r="DY4" s="289">
        <v>10</v>
      </c>
      <c r="DZ4" s="292">
        <v>21</v>
      </c>
      <c r="EA4" s="289">
        <v>22</v>
      </c>
      <c r="EB4" s="292">
        <v>43</v>
      </c>
      <c r="EC4" s="48"/>
      <c r="ED4" s="293">
        <v>5</v>
      </c>
      <c r="EE4" s="294">
        <v>2</v>
      </c>
      <c r="EF4" s="294">
        <v>10</v>
      </c>
      <c r="EG4" s="294">
        <v>10</v>
      </c>
      <c r="EH4" s="297">
        <v>27</v>
      </c>
      <c r="EI4" s="294">
        <v>15</v>
      </c>
      <c r="EJ4" s="297">
        <v>42</v>
      </c>
      <c r="EK4" s="95"/>
      <c r="EL4" s="298">
        <v>9</v>
      </c>
      <c r="EM4" s="299">
        <v>2</v>
      </c>
      <c r="EN4" s="299"/>
      <c r="EO4" s="299"/>
      <c r="EP4" s="302">
        <v>11</v>
      </c>
      <c r="EQ4" s="299">
        <v>23</v>
      </c>
      <c r="ER4" s="302">
        <v>34</v>
      </c>
    </row>
    <row r="5" spans="1:148" ht="15.75">
      <c r="A5" s="211">
        <v>3</v>
      </c>
      <c r="B5" s="143" t="s">
        <v>155</v>
      </c>
      <c r="C5" s="214">
        <v>3</v>
      </c>
      <c r="D5" s="215">
        <v>5</v>
      </c>
      <c r="E5" s="215">
        <v>10</v>
      </c>
      <c r="F5" s="215">
        <v>10</v>
      </c>
      <c r="G5" s="48">
        <f t="shared" si="1"/>
        <v>28</v>
      </c>
      <c r="H5" s="216">
        <v>26</v>
      </c>
      <c r="I5" s="48">
        <f t="shared" si="2"/>
        <v>54</v>
      </c>
      <c r="J5" s="143"/>
      <c r="K5" s="221">
        <v>9</v>
      </c>
      <c r="L5" s="218">
        <v>3</v>
      </c>
      <c r="M5" s="218">
        <v>10</v>
      </c>
      <c r="N5" s="218">
        <v>10</v>
      </c>
      <c r="O5" s="52">
        <f t="shared" si="3"/>
        <v>32</v>
      </c>
      <c r="P5" s="222">
        <v>29</v>
      </c>
      <c r="Q5" s="52">
        <f t="shared" si="4"/>
        <v>61</v>
      </c>
      <c r="R5" s="70"/>
      <c r="S5" s="224">
        <v>9</v>
      </c>
      <c r="T5" s="225">
        <v>5</v>
      </c>
      <c r="U5" s="225">
        <v>5</v>
      </c>
      <c r="V5" s="225">
        <v>9</v>
      </c>
      <c r="W5" s="70">
        <f t="shared" si="0"/>
        <v>28</v>
      </c>
      <c r="X5" s="226">
        <v>30</v>
      </c>
      <c r="Y5" s="70">
        <f t="shared" si="5"/>
        <v>58</v>
      </c>
      <c r="Z5" s="70">
        <f t="shared" si="6"/>
        <v>19</v>
      </c>
      <c r="AA5" s="70" t="str">
        <f t="shared" si="7"/>
        <v>C</v>
      </c>
      <c r="AB5" s="70" t="str">
        <f t="shared" si="8"/>
        <v>Credit</v>
      </c>
      <c r="AC5" s="143"/>
      <c r="AD5" s="228"/>
      <c r="AE5" s="229"/>
      <c r="AF5" s="229"/>
      <c r="AG5" s="229"/>
      <c r="AH5" s="44">
        <f t="shared" si="9"/>
        <v>0</v>
      </c>
      <c r="AI5" s="232"/>
      <c r="AJ5" s="44">
        <f t="shared" si="10"/>
        <v>0</v>
      </c>
      <c r="AK5" s="3"/>
      <c r="AL5" s="234">
        <v>1</v>
      </c>
      <c r="AM5" s="235">
        <v>9</v>
      </c>
      <c r="AN5" s="235">
        <v>8</v>
      </c>
      <c r="AO5" s="235">
        <v>7</v>
      </c>
      <c r="AP5" s="75">
        <f t="shared" si="11"/>
        <v>25</v>
      </c>
      <c r="AQ5" s="241">
        <v>16</v>
      </c>
      <c r="AR5" s="75">
        <f t="shared" si="12"/>
        <v>41</v>
      </c>
      <c r="AS5" s="79"/>
      <c r="AT5" s="242">
        <v>1</v>
      </c>
      <c r="AU5" s="243">
        <v>5</v>
      </c>
      <c r="AV5" s="243">
        <v>10</v>
      </c>
      <c r="AW5" s="243">
        <v>8</v>
      </c>
      <c r="AX5" s="244">
        <v>24</v>
      </c>
      <c r="AY5" s="243">
        <v>27</v>
      </c>
      <c r="AZ5" s="244">
        <v>51</v>
      </c>
      <c r="BA5" s="144"/>
      <c r="BB5" s="245">
        <v>6</v>
      </c>
      <c r="BC5" s="246">
        <v>7</v>
      </c>
      <c r="BD5" s="246">
        <v>7</v>
      </c>
      <c r="BE5" s="246">
        <v>8</v>
      </c>
      <c r="BF5" s="247">
        <v>28</v>
      </c>
      <c r="BG5" s="246">
        <v>40</v>
      </c>
      <c r="BH5" s="247">
        <v>68</v>
      </c>
      <c r="BI5" s="48"/>
      <c r="BJ5" s="249">
        <v>8</v>
      </c>
      <c r="BK5" s="249">
        <v>7</v>
      </c>
      <c r="BL5" s="249">
        <v>8</v>
      </c>
      <c r="BM5" s="249">
        <v>8</v>
      </c>
      <c r="BN5" s="250">
        <v>31</v>
      </c>
      <c r="BO5" s="249">
        <v>32</v>
      </c>
      <c r="BP5" s="250">
        <v>63</v>
      </c>
      <c r="BQ5" s="62"/>
      <c r="BR5" s="252">
        <v>8</v>
      </c>
      <c r="BS5" s="253">
        <v>9</v>
      </c>
      <c r="BT5" s="253">
        <v>10</v>
      </c>
      <c r="BU5" s="253">
        <v>10</v>
      </c>
      <c r="BV5" s="254">
        <v>37</v>
      </c>
      <c r="BW5" s="253">
        <v>25</v>
      </c>
      <c r="BX5" s="254">
        <v>62</v>
      </c>
      <c r="BY5" s="143"/>
      <c r="BZ5" s="255">
        <v>8</v>
      </c>
      <c r="CA5" s="256">
        <v>8</v>
      </c>
      <c r="CB5" s="256">
        <v>10</v>
      </c>
      <c r="CC5" s="256">
        <v>10</v>
      </c>
      <c r="CD5" s="257">
        <v>36</v>
      </c>
      <c r="CE5" s="256">
        <v>39</v>
      </c>
      <c r="CF5" s="257">
        <v>75</v>
      </c>
      <c r="CG5" s="144"/>
      <c r="CH5" s="258">
        <v>3</v>
      </c>
      <c r="CI5" s="259">
        <v>6</v>
      </c>
      <c r="CJ5" s="259">
        <v>8</v>
      </c>
      <c r="CK5" s="259">
        <v>10</v>
      </c>
      <c r="CL5" s="260">
        <v>27</v>
      </c>
      <c r="CM5" s="259">
        <v>38</v>
      </c>
      <c r="CN5" s="260">
        <v>65</v>
      </c>
      <c r="CO5" s="66"/>
      <c r="CP5" s="261">
        <v>7</v>
      </c>
      <c r="CQ5" s="262">
        <v>3</v>
      </c>
      <c r="CR5" s="262">
        <v>10</v>
      </c>
      <c r="CS5" s="262">
        <v>8</v>
      </c>
      <c r="CT5" s="263">
        <v>28</v>
      </c>
      <c r="CU5" s="262">
        <v>27</v>
      </c>
      <c r="CV5" s="263">
        <v>55</v>
      </c>
      <c r="CW5" s="143"/>
      <c r="CX5" s="265">
        <v>4</v>
      </c>
      <c r="CY5" s="268">
        <v>2</v>
      </c>
      <c r="CZ5" s="269">
        <v>10</v>
      </c>
      <c r="DA5" s="270">
        <v>9</v>
      </c>
      <c r="DB5" s="267">
        <v>25</v>
      </c>
      <c r="DC5" s="269">
        <v>20</v>
      </c>
      <c r="DD5" s="267">
        <v>45</v>
      </c>
      <c r="DE5" s="48"/>
      <c r="DF5" s="282">
        <v>5</v>
      </c>
      <c r="DG5" s="283">
        <v>3</v>
      </c>
      <c r="DH5" s="283">
        <v>1</v>
      </c>
      <c r="DI5" s="283">
        <v>10</v>
      </c>
      <c r="DJ5" s="284">
        <v>19</v>
      </c>
      <c r="DK5" s="283">
        <v>42</v>
      </c>
      <c r="DL5" s="284">
        <v>61</v>
      </c>
      <c r="DM5" s="48"/>
      <c r="DN5" s="285">
        <v>6</v>
      </c>
      <c r="DO5" s="286">
        <v>8</v>
      </c>
      <c r="DP5" s="286">
        <v>6</v>
      </c>
      <c r="DQ5" s="286">
        <v>10</v>
      </c>
      <c r="DR5" s="287">
        <v>30</v>
      </c>
      <c r="DS5" s="286">
        <v>21</v>
      </c>
      <c r="DT5" s="287">
        <v>51</v>
      </c>
      <c r="DU5" s="70"/>
      <c r="DV5" s="288">
        <v>5</v>
      </c>
      <c r="DW5" s="289">
        <v>5</v>
      </c>
      <c r="DX5" s="289">
        <v>10</v>
      </c>
      <c r="DY5" s="289">
        <v>10</v>
      </c>
      <c r="DZ5" s="292">
        <v>30</v>
      </c>
      <c r="EA5" s="289">
        <v>28</v>
      </c>
      <c r="EB5" s="292">
        <v>58</v>
      </c>
      <c r="EC5" s="48"/>
      <c r="ED5" s="293">
        <v>5</v>
      </c>
      <c r="EE5" s="294">
        <v>7</v>
      </c>
      <c r="EF5" s="294">
        <v>10</v>
      </c>
      <c r="EG5" s="294">
        <v>10</v>
      </c>
      <c r="EH5" s="297">
        <v>32</v>
      </c>
      <c r="EI5" s="294">
        <v>45</v>
      </c>
      <c r="EJ5" s="297">
        <v>77</v>
      </c>
      <c r="EK5" s="95"/>
      <c r="EL5" s="298">
        <v>7</v>
      </c>
      <c r="EM5" s="299">
        <v>1</v>
      </c>
      <c r="EN5" s="299">
        <v>10</v>
      </c>
      <c r="EO5" s="299">
        <v>10</v>
      </c>
      <c r="EP5" s="302">
        <v>28</v>
      </c>
      <c r="EQ5" s="299">
        <v>27</v>
      </c>
      <c r="ER5" s="302">
        <v>55</v>
      </c>
    </row>
    <row r="6" spans="1:148" ht="15.75">
      <c r="A6" s="212">
        <v>4</v>
      </c>
      <c r="B6" s="145" t="s">
        <v>156</v>
      </c>
      <c r="C6" s="214">
        <v>3</v>
      </c>
      <c r="D6" s="215"/>
      <c r="E6" s="215">
        <v>8</v>
      </c>
      <c r="F6" s="215">
        <v>8</v>
      </c>
      <c r="G6" s="48">
        <f t="shared" si="1"/>
        <v>19</v>
      </c>
      <c r="H6" s="216">
        <v>16</v>
      </c>
      <c r="I6" s="48">
        <f t="shared" si="2"/>
        <v>35</v>
      </c>
      <c r="J6" s="145"/>
      <c r="K6" s="221">
        <v>1</v>
      </c>
      <c r="L6" s="218">
        <v>1</v>
      </c>
      <c r="M6" s="218">
        <v>10</v>
      </c>
      <c r="N6" s="218">
        <v>10</v>
      </c>
      <c r="O6" s="52">
        <f t="shared" si="3"/>
        <v>22</v>
      </c>
      <c r="P6" s="222">
        <v>15</v>
      </c>
      <c r="Q6" s="52">
        <f t="shared" si="4"/>
        <v>37</v>
      </c>
      <c r="R6" s="70"/>
      <c r="S6" s="224">
        <v>7</v>
      </c>
      <c r="T6" s="225">
        <v>2</v>
      </c>
      <c r="U6" s="225">
        <v>5</v>
      </c>
      <c r="V6" s="225">
        <v>5</v>
      </c>
      <c r="W6" s="70">
        <f t="shared" si="0"/>
        <v>19</v>
      </c>
      <c r="X6" s="226">
        <v>16</v>
      </c>
      <c r="Y6" s="70">
        <f t="shared" si="5"/>
        <v>35</v>
      </c>
      <c r="Z6" s="70">
        <f t="shared" si="6"/>
        <v>37</v>
      </c>
      <c r="AA6" s="70" t="str">
        <f t="shared" si="7"/>
        <v>F</v>
      </c>
      <c r="AB6" s="70" t="str">
        <f t="shared" si="8"/>
        <v>Fail</v>
      </c>
      <c r="AC6" s="145"/>
      <c r="AD6" s="228">
        <v>1</v>
      </c>
      <c r="AE6" s="229">
        <v>1</v>
      </c>
      <c r="AF6" s="229">
        <v>1</v>
      </c>
      <c r="AG6" s="229">
        <v>2</v>
      </c>
      <c r="AH6" s="44">
        <f t="shared" si="9"/>
        <v>5</v>
      </c>
      <c r="AI6" s="232">
        <v>14</v>
      </c>
      <c r="AJ6" s="44">
        <f t="shared" si="10"/>
        <v>19</v>
      </c>
      <c r="AK6" s="3"/>
      <c r="AL6" s="234">
        <v>1</v>
      </c>
      <c r="AM6" s="235">
        <v>1</v>
      </c>
      <c r="AN6" s="235">
        <v>7</v>
      </c>
      <c r="AO6" s="235">
        <v>8</v>
      </c>
      <c r="AP6" s="75">
        <f t="shared" si="11"/>
        <v>17</v>
      </c>
      <c r="AQ6" s="241">
        <v>6</v>
      </c>
      <c r="AR6" s="75">
        <f t="shared" si="12"/>
        <v>23</v>
      </c>
      <c r="AS6" s="79"/>
      <c r="AT6" s="242">
        <v>1</v>
      </c>
      <c r="AU6" s="243">
        <v>1</v>
      </c>
      <c r="AV6" s="243">
        <v>5</v>
      </c>
      <c r="AW6" s="243">
        <v>4</v>
      </c>
      <c r="AX6" s="244">
        <v>11</v>
      </c>
      <c r="AY6" s="243">
        <v>18</v>
      </c>
      <c r="AZ6" s="244">
        <v>29</v>
      </c>
      <c r="BA6" s="145"/>
      <c r="BB6" s="245">
        <v>1</v>
      </c>
      <c r="BC6" s="246"/>
      <c r="BD6" s="246">
        <v>2</v>
      </c>
      <c r="BE6" s="246">
        <v>4</v>
      </c>
      <c r="BF6" s="247">
        <v>7</v>
      </c>
      <c r="BG6" s="246">
        <v>12</v>
      </c>
      <c r="BH6" s="247">
        <v>19</v>
      </c>
      <c r="BI6" s="48"/>
      <c r="BJ6" s="249">
        <v>3</v>
      </c>
      <c r="BK6" s="249"/>
      <c r="BL6" s="249">
        <v>8</v>
      </c>
      <c r="BM6" s="249">
        <v>9</v>
      </c>
      <c r="BN6" s="250">
        <v>20</v>
      </c>
      <c r="BO6" s="249">
        <v>14</v>
      </c>
      <c r="BP6" s="250">
        <v>34</v>
      </c>
      <c r="BQ6" s="62"/>
      <c r="BR6" s="252">
        <v>2</v>
      </c>
      <c r="BS6" s="253"/>
      <c r="BT6" s="253">
        <v>8</v>
      </c>
      <c r="BU6" s="253">
        <v>9</v>
      </c>
      <c r="BV6" s="254">
        <v>19</v>
      </c>
      <c r="BW6" s="253">
        <v>15</v>
      </c>
      <c r="BX6" s="254">
        <v>34</v>
      </c>
      <c r="BY6" s="145"/>
      <c r="BZ6" s="255">
        <v>1</v>
      </c>
      <c r="CA6" s="256">
        <v>1</v>
      </c>
      <c r="CB6" s="256">
        <v>10</v>
      </c>
      <c r="CC6" s="256">
        <v>10</v>
      </c>
      <c r="CD6" s="257">
        <v>22</v>
      </c>
      <c r="CE6" s="256">
        <v>15</v>
      </c>
      <c r="CF6" s="257">
        <v>37</v>
      </c>
      <c r="CG6" s="145"/>
      <c r="CH6" s="258">
        <v>1</v>
      </c>
      <c r="CI6" s="259">
        <v>2</v>
      </c>
      <c r="CJ6" s="259">
        <v>8</v>
      </c>
      <c r="CK6" s="259">
        <v>10</v>
      </c>
      <c r="CL6" s="260">
        <v>21</v>
      </c>
      <c r="CM6" s="259">
        <v>7</v>
      </c>
      <c r="CN6" s="260">
        <v>28</v>
      </c>
      <c r="CO6" s="66"/>
      <c r="CP6" s="261">
        <v>2</v>
      </c>
      <c r="CQ6" s="262">
        <v>4</v>
      </c>
      <c r="CR6" s="262">
        <v>7</v>
      </c>
      <c r="CS6" s="262">
        <v>7</v>
      </c>
      <c r="CT6" s="263">
        <v>20</v>
      </c>
      <c r="CU6" s="262">
        <v>15</v>
      </c>
      <c r="CV6" s="263">
        <v>35</v>
      </c>
      <c r="CW6" s="145"/>
      <c r="CX6" s="265">
        <v>2</v>
      </c>
      <c r="CY6" s="268">
        <v>2</v>
      </c>
      <c r="CZ6" s="269">
        <v>9</v>
      </c>
      <c r="DA6" s="270">
        <v>10</v>
      </c>
      <c r="DB6" s="267">
        <v>23</v>
      </c>
      <c r="DC6" s="269">
        <v>16</v>
      </c>
      <c r="DD6" s="267">
        <v>39</v>
      </c>
      <c r="DE6" s="48"/>
      <c r="DF6" s="282">
        <v>1</v>
      </c>
      <c r="DG6" s="283"/>
      <c r="DH6" s="283">
        <v>6</v>
      </c>
      <c r="DI6" s="283">
        <v>9</v>
      </c>
      <c r="DJ6" s="284">
        <v>16</v>
      </c>
      <c r="DK6" s="283">
        <v>13</v>
      </c>
      <c r="DL6" s="284">
        <v>29</v>
      </c>
      <c r="DM6" s="48"/>
      <c r="DN6" s="285">
        <v>1</v>
      </c>
      <c r="DO6" s="286">
        <v>1</v>
      </c>
      <c r="DP6" s="286">
        <v>4</v>
      </c>
      <c r="DQ6" s="286">
        <v>4</v>
      </c>
      <c r="DR6" s="287">
        <v>10</v>
      </c>
      <c r="DS6" s="286">
        <v>10</v>
      </c>
      <c r="DT6" s="287">
        <v>20</v>
      </c>
      <c r="DU6" s="70"/>
      <c r="DV6" s="288">
        <v>1</v>
      </c>
      <c r="DW6" s="289"/>
      <c r="DX6" s="289">
        <v>8</v>
      </c>
      <c r="DY6" s="289">
        <v>8</v>
      </c>
      <c r="DZ6" s="292">
        <v>17</v>
      </c>
      <c r="EA6" s="289">
        <v>10</v>
      </c>
      <c r="EB6" s="292">
        <v>27</v>
      </c>
      <c r="EC6" s="48"/>
      <c r="ED6" s="293">
        <v>2</v>
      </c>
      <c r="EE6" s="294">
        <v>2</v>
      </c>
      <c r="EF6" s="294">
        <v>7</v>
      </c>
      <c r="EG6" s="294">
        <v>8</v>
      </c>
      <c r="EH6" s="297">
        <v>19</v>
      </c>
      <c r="EI6" s="294">
        <v>9</v>
      </c>
      <c r="EJ6" s="297">
        <v>28</v>
      </c>
      <c r="EK6" s="95"/>
      <c r="EL6" s="298"/>
      <c r="EM6" s="299"/>
      <c r="EN6" s="299"/>
      <c r="EO6" s="299"/>
      <c r="EP6" s="302">
        <v>0</v>
      </c>
      <c r="EQ6" s="299"/>
      <c r="ER6" s="302">
        <v>0</v>
      </c>
    </row>
    <row r="7" spans="1:148" ht="15.75">
      <c r="A7" s="211">
        <v>5</v>
      </c>
      <c r="B7" s="144" t="s">
        <v>157</v>
      </c>
      <c r="C7" s="214">
        <v>7</v>
      </c>
      <c r="D7" s="215">
        <v>6</v>
      </c>
      <c r="E7" s="215">
        <v>8</v>
      </c>
      <c r="F7" s="215">
        <v>8</v>
      </c>
      <c r="G7" s="48">
        <f t="shared" si="1"/>
        <v>29</v>
      </c>
      <c r="H7" s="216">
        <v>32</v>
      </c>
      <c r="I7" s="48">
        <f t="shared" si="2"/>
        <v>61</v>
      </c>
      <c r="J7" s="144"/>
      <c r="K7" s="221">
        <v>7</v>
      </c>
      <c r="L7" s="218">
        <v>5</v>
      </c>
      <c r="M7" s="218"/>
      <c r="N7" s="218">
        <v>10</v>
      </c>
      <c r="O7" s="52">
        <f t="shared" si="3"/>
        <v>22</v>
      </c>
      <c r="P7" s="222">
        <v>29</v>
      </c>
      <c r="Q7" s="52">
        <f t="shared" si="4"/>
        <v>51</v>
      </c>
      <c r="R7" s="70"/>
      <c r="S7" s="224">
        <v>8</v>
      </c>
      <c r="T7" s="225">
        <v>7</v>
      </c>
      <c r="U7" s="225">
        <v>5</v>
      </c>
      <c r="V7" s="225">
        <v>5</v>
      </c>
      <c r="W7" s="70">
        <f t="shared" si="0"/>
        <v>25</v>
      </c>
      <c r="X7" s="226">
        <v>38</v>
      </c>
      <c r="Y7" s="70">
        <f t="shared" si="5"/>
        <v>63</v>
      </c>
      <c r="Z7" s="70">
        <f t="shared" si="6"/>
        <v>13</v>
      </c>
      <c r="AA7" s="70" t="str">
        <f t="shared" si="7"/>
        <v>C</v>
      </c>
      <c r="AB7" s="70" t="str">
        <f t="shared" si="8"/>
        <v>Credit</v>
      </c>
      <c r="AC7" s="144"/>
      <c r="AD7" s="228">
        <v>6</v>
      </c>
      <c r="AE7" s="229">
        <v>2</v>
      </c>
      <c r="AF7" s="229">
        <v>2</v>
      </c>
      <c r="AG7" s="229">
        <v>5</v>
      </c>
      <c r="AH7" s="44">
        <f t="shared" si="9"/>
        <v>15</v>
      </c>
      <c r="AI7" s="232">
        <v>45</v>
      </c>
      <c r="AJ7" s="44">
        <f t="shared" si="10"/>
        <v>60</v>
      </c>
      <c r="AK7" s="3"/>
      <c r="AL7" s="234">
        <v>3</v>
      </c>
      <c r="AM7" s="235">
        <v>3</v>
      </c>
      <c r="AN7" s="235">
        <v>8</v>
      </c>
      <c r="AO7" s="235">
        <v>7</v>
      </c>
      <c r="AP7" s="75">
        <f t="shared" si="11"/>
        <v>21</v>
      </c>
      <c r="AQ7" s="241">
        <v>21</v>
      </c>
      <c r="AR7" s="75">
        <f t="shared" si="12"/>
        <v>42</v>
      </c>
      <c r="AS7" s="79"/>
      <c r="AT7" s="242">
        <v>2</v>
      </c>
      <c r="AU7" s="243">
        <v>2</v>
      </c>
      <c r="AV7" s="243">
        <v>5</v>
      </c>
      <c r="AW7" s="243">
        <v>7</v>
      </c>
      <c r="AX7" s="244">
        <v>16</v>
      </c>
      <c r="AY7" s="243">
        <v>19</v>
      </c>
      <c r="AZ7" s="244">
        <v>35</v>
      </c>
      <c r="BA7" s="144"/>
      <c r="BB7" s="245">
        <v>2</v>
      </c>
      <c r="BC7" s="246">
        <v>1</v>
      </c>
      <c r="BD7" s="246">
        <v>4</v>
      </c>
      <c r="BE7" s="246">
        <v>3</v>
      </c>
      <c r="BF7" s="247">
        <v>10</v>
      </c>
      <c r="BG7" s="246">
        <v>49</v>
      </c>
      <c r="BH7" s="247">
        <v>59</v>
      </c>
      <c r="BI7" s="48"/>
      <c r="BJ7" s="249">
        <v>7</v>
      </c>
      <c r="BK7" s="249">
        <v>7</v>
      </c>
      <c r="BL7" s="249">
        <v>10</v>
      </c>
      <c r="BM7" s="249">
        <v>8</v>
      </c>
      <c r="BN7" s="250">
        <v>32</v>
      </c>
      <c r="BO7" s="249">
        <v>26</v>
      </c>
      <c r="BP7" s="250">
        <v>58</v>
      </c>
      <c r="BQ7" s="62"/>
      <c r="BR7" s="252">
        <v>5</v>
      </c>
      <c r="BS7" s="253">
        <v>7</v>
      </c>
      <c r="BT7" s="253">
        <v>8</v>
      </c>
      <c r="BU7" s="253">
        <v>10</v>
      </c>
      <c r="BV7" s="254">
        <v>30</v>
      </c>
      <c r="BW7" s="253">
        <v>28</v>
      </c>
      <c r="BX7" s="254">
        <v>58</v>
      </c>
      <c r="BY7" s="144"/>
      <c r="BZ7" s="255">
        <v>6</v>
      </c>
      <c r="CA7" s="256">
        <v>8</v>
      </c>
      <c r="CB7" s="256">
        <v>6</v>
      </c>
      <c r="CC7" s="256">
        <v>5</v>
      </c>
      <c r="CD7" s="257">
        <v>25</v>
      </c>
      <c r="CE7" s="256">
        <v>37</v>
      </c>
      <c r="CF7" s="257">
        <v>62</v>
      </c>
      <c r="CG7" s="144"/>
      <c r="CH7" s="258">
        <v>4</v>
      </c>
      <c r="CI7" s="259">
        <v>8</v>
      </c>
      <c r="CJ7" s="259"/>
      <c r="CK7" s="259"/>
      <c r="CL7" s="260">
        <v>12</v>
      </c>
      <c r="CM7" s="259">
        <v>48</v>
      </c>
      <c r="CN7" s="260">
        <v>60</v>
      </c>
      <c r="CO7" s="66"/>
      <c r="CP7" s="261">
        <v>7</v>
      </c>
      <c r="CQ7" s="262">
        <v>4</v>
      </c>
      <c r="CR7" s="262">
        <v>7</v>
      </c>
      <c r="CS7" s="262">
        <v>7</v>
      </c>
      <c r="CT7" s="263">
        <v>25</v>
      </c>
      <c r="CU7" s="262">
        <v>25</v>
      </c>
      <c r="CV7" s="263">
        <v>50</v>
      </c>
      <c r="CW7" s="144"/>
      <c r="CX7" s="265">
        <v>3</v>
      </c>
      <c r="CY7" s="271">
        <v>4</v>
      </c>
      <c r="CZ7" s="269">
        <v>10</v>
      </c>
      <c r="DA7" s="270">
        <v>10</v>
      </c>
      <c r="DB7" s="267">
        <v>27</v>
      </c>
      <c r="DC7" s="269">
        <v>19</v>
      </c>
      <c r="DD7" s="267">
        <v>46</v>
      </c>
      <c r="DE7" s="48"/>
      <c r="DF7" s="282">
        <v>5</v>
      </c>
      <c r="DG7" s="283">
        <v>3</v>
      </c>
      <c r="DH7" s="283">
        <v>5</v>
      </c>
      <c r="DI7" s="283">
        <v>4</v>
      </c>
      <c r="DJ7" s="284">
        <v>17</v>
      </c>
      <c r="DK7" s="283">
        <v>12</v>
      </c>
      <c r="DL7" s="284">
        <v>29</v>
      </c>
      <c r="DM7" s="48"/>
      <c r="DN7" s="285">
        <v>1</v>
      </c>
      <c r="DO7" s="286">
        <v>2</v>
      </c>
      <c r="DP7" s="286">
        <v>5</v>
      </c>
      <c r="DQ7" s="286">
        <v>5</v>
      </c>
      <c r="DR7" s="287">
        <v>13</v>
      </c>
      <c r="DS7" s="286">
        <v>17</v>
      </c>
      <c r="DT7" s="287">
        <v>30</v>
      </c>
      <c r="DU7" s="70"/>
      <c r="DV7" s="288">
        <v>2</v>
      </c>
      <c r="DW7" s="289">
        <v>2</v>
      </c>
      <c r="DX7" s="289">
        <v>7</v>
      </c>
      <c r="DY7" s="289">
        <v>10</v>
      </c>
      <c r="DZ7" s="292">
        <v>21</v>
      </c>
      <c r="EA7" s="289">
        <v>17</v>
      </c>
      <c r="EB7" s="292">
        <v>38</v>
      </c>
      <c r="EC7" s="48"/>
      <c r="ED7" s="293">
        <v>8</v>
      </c>
      <c r="EE7" s="294">
        <v>2</v>
      </c>
      <c r="EF7" s="294">
        <v>8</v>
      </c>
      <c r="EG7" s="294">
        <v>10</v>
      </c>
      <c r="EH7" s="297">
        <v>28</v>
      </c>
      <c r="EI7" s="294">
        <v>26</v>
      </c>
      <c r="EJ7" s="297">
        <v>54</v>
      </c>
      <c r="EK7" s="95"/>
      <c r="EL7" s="298"/>
      <c r="EM7" s="299"/>
      <c r="EN7" s="299"/>
      <c r="EO7" s="299"/>
      <c r="EP7" s="302">
        <v>0</v>
      </c>
      <c r="EQ7" s="299"/>
      <c r="ER7" s="302">
        <v>0</v>
      </c>
    </row>
    <row r="8" spans="1:148" ht="15.75">
      <c r="A8" s="212">
        <v>6</v>
      </c>
      <c r="B8" s="144" t="s">
        <v>158</v>
      </c>
      <c r="C8" s="214">
        <v>10</v>
      </c>
      <c r="D8" s="215">
        <v>8</v>
      </c>
      <c r="E8" s="215">
        <v>10</v>
      </c>
      <c r="F8" s="215">
        <v>10</v>
      </c>
      <c r="G8" s="48">
        <f t="shared" si="1"/>
        <v>38</v>
      </c>
      <c r="H8" s="216">
        <v>50</v>
      </c>
      <c r="I8" s="48">
        <f t="shared" si="2"/>
        <v>88</v>
      </c>
      <c r="J8" s="144"/>
      <c r="K8" s="221">
        <v>9</v>
      </c>
      <c r="L8" s="218">
        <v>7</v>
      </c>
      <c r="M8" s="218">
        <v>10</v>
      </c>
      <c r="N8" s="218">
        <v>10</v>
      </c>
      <c r="O8" s="52">
        <f t="shared" si="3"/>
        <v>36</v>
      </c>
      <c r="P8" s="222">
        <v>42</v>
      </c>
      <c r="Q8" s="52">
        <f t="shared" si="4"/>
        <v>78</v>
      </c>
      <c r="R8" s="70"/>
      <c r="S8" s="224">
        <v>7</v>
      </c>
      <c r="T8" s="225">
        <v>7</v>
      </c>
      <c r="U8" s="225">
        <v>5</v>
      </c>
      <c r="V8" s="225">
        <v>5</v>
      </c>
      <c r="W8" s="70">
        <f t="shared" si="0"/>
        <v>24</v>
      </c>
      <c r="X8" s="226">
        <v>47</v>
      </c>
      <c r="Y8" s="70">
        <f t="shared" si="5"/>
        <v>71</v>
      </c>
      <c r="Z8" s="70">
        <f t="shared" si="6"/>
        <v>9</v>
      </c>
      <c r="AA8" s="70" t="str">
        <f t="shared" si="7"/>
        <v>A</v>
      </c>
      <c r="AB8" s="70" t="str">
        <f t="shared" si="8"/>
        <v>Excellent</v>
      </c>
      <c r="AC8" s="144"/>
      <c r="AD8" s="228">
        <v>8</v>
      </c>
      <c r="AE8" s="229">
        <v>8</v>
      </c>
      <c r="AF8" s="229">
        <v>2</v>
      </c>
      <c r="AG8" s="229">
        <v>10</v>
      </c>
      <c r="AH8" s="44">
        <f t="shared" si="9"/>
        <v>28</v>
      </c>
      <c r="AI8" s="232">
        <v>53</v>
      </c>
      <c r="AJ8" s="44">
        <f t="shared" si="10"/>
        <v>81</v>
      </c>
      <c r="AK8" s="3"/>
      <c r="AL8" s="234">
        <v>4</v>
      </c>
      <c r="AM8" s="235">
        <v>8</v>
      </c>
      <c r="AN8" s="235">
        <v>9</v>
      </c>
      <c r="AO8" s="235">
        <v>8</v>
      </c>
      <c r="AP8" s="75">
        <f t="shared" si="11"/>
        <v>29</v>
      </c>
      <c r="AQ8" s="241">
        <v>43</v>
      </c>
      <c r="AR8" s="75">
        <f t="shared" si="12"/>
        <v>72</v>
      </c>
      <c r="AS8" s="79"/>
      <c r="AT8" s="242">
        <v>8</v>
      </c>
      <c r="AU8" s="243">
        <v>5</v>
      </c>
      <c r="AV8" s="243">
        <v>10</v>
      </c>
      <c r="AW8" s="243">
        <v>4</v>
      </c>
      <c r="AX8" s="244">
        <v>27</v>
      </c>
      <c r="AY8" s="243">
        <v>49</v>
      </c>
      <c r="AZ8" s="244">
        <v>76</v>
      </c>
      <c r="BA8" s="143"/>
      <c r="BB8" s="245">
        <v>8</v>
      </c>
      <c r="BC8" s="246">
        <v>7</v>
      </c>
      <c r="BD8" s="246">
        <v>6</v>
      </c>
      <c r="BE8" s="246">
        <v>8</v>
      </c>
      <c r="BF8" s="247">
        <v>29</v>
      </c>
      <c r="BG8" s="246">
        <v>53</v>
      </c>
      <c r="BH8" s="247">
        <v>82</v>
      </c>
      <c r="BI8" s="48"/>
      <c r="BJ8" s="249">
        <v>8</v>
      </c>
      <c r="BK8" s="249">
        <v>10</v>
      </c>
      <c r="BL8" s="249">
        <v>10</v>
      </c>
      <c r="BM8" s="249">
        <v>9</v>
      </c>
      <c r="BN8" s="250">
        <v>37</v>
      </c>
      <c r="BO8" s="249">
        <v>40</v>
      </c>
      <c r="BP8" s="250">
        <v>77</v>
      </c>
      <c r="BQ8" s="62"/>
      <c r="BR8" s="252">
        <v>9</v>
      </c>
      <c r="BS8" s="253">
        <v>9</v>
      </c>
      <c r="BT8" s="253">
        <v>8</v>
      </c>
      <c r="BU8" s="253">
        <v>10</v>
      </c>
      <c r="BV8" s="254">
        <v>36</v>
      </c>
      <c r="BW8" s="253">
        <v>52</v>
      </c>
      <c r="BX8" s="254">
        <v>88</v>
      </c>
      <c r="BY8" s="144"/>
      <c r="BZ8" s="255">
        <v>7</v>
      </c>
      <c r="CA8" s="256">
        <v>7</v>
      </c>
      <c r="CB8" s="256">
        <v>10</v>
      </c>
      <c r="CC8" s="256">
        <v>10</v>
      </c>
      <c r="CD8" s="257">
        <v>34</v>
      </c>
      <c r="CE8" s="256">
        <v>39</v>
      </c>
      <c r="CF8" s="257">
        <v>73</v>
      </c>
      <c r="CG8" s="143"/>
      <c r="CH8" s="258">
        <v>8</v>
      </c>
      <c r="CI8" s="259">
        <v>7</v>
      </c>
      <c r="CJ8" s="259">
        <v>5</v>
      </c>
      <c r="CK8" s="259">
        <v>8</v>
      </c>
      <c r="CL8" s="260">
        <v>28</v>
      </c>
      <c r="CM8" s="259">
        <v>41</v>
      </c>
      <c r="CN8" s="260">
        <v>69</v>
      </c>
      <c r="CO8" s="66"/>
      <c r="CP8" s="261">
        <v>7</v>
      </c>
      <c r="CQ8" s="262">
        <v>5</v>
      </c>
      <c r="CR8" s="262">
        <v>10</v>
      </c>
      <c r="CS8" s="262">
        <v>7</v>
      </c>
      <c r="CT8" s="263">
        <v>29</v>
      </c>
      <c r="CU8" s="262">
        <v>40</v>
      </c>
      <c r="CV8" s="263">
        <v>69</v>
      </c>
      <c r="CW8" s="144"/>
      <c r="CX8" s="265">
        <v>3</v>
      </c>
      <c r="CY8" s="271">
        <v>9</v>
      </c>
      <c r="CZ8" s="269">
        <v>10</v>
      </c>
      <c r="DA8" s="270">
        <v>10</v>
      </c>
      <c r="DB8" s="267">
        <v>32</v>
      </c>
      <c r="DC8" s="269">
        <v>44</v>
      </c>
      <c r="DD8" s="267">
        <v>76</v>
      </c>
      <c r="DE8" s="48"/>
      <c r="DF8" s="282">
        <v>10</v>
      </c>
      <c r="DG8" s="283">
        <v>1</v>
      </c>
      <c r="DH8" s="283">
        <v>2</v>
      </c>
      <c r="DI8" s="283">
        <v>4</v>
      </c>
      <c r="DJ8" s="284">
        <v>17</v>
      </c>
      <c r="DK8" s="283">
        <v>33</v>
      </c>
      <c r="DL8" s="284">
        <v>50</v>
      </c>
      <c r="DM8" s="48"/>
      <c r="DN8" s="285">
        <v>2</v>
      </c>
      <c r="DO8" s="286">
        <v>6</v>
      </c>
      <c r="DP8" s="286">
        <v>5</v>
      </c>
      <c r="DQ8" s="286">
        <v>9</v>
      </c>
      <c r="DR8" s="287">
        <v>22</v>
      </c>
      <c r="DS8" s="286">
        <v>42</v>
      </c>
      <c r="DT8" s="287">
        <v>64</v>
      </c>
      <c r="DU8" s="70"/>
      <c r="DV8" s="288">
        <v>10</v>
      </c>
      <c r="DW8" s="289">
        <v>5</v>
      </c>
      <c r="DX8" s="289">
        <v>10</v>
      </c>
      <c r="DY8" s="289">
        <v>10</v>
      </c>
      <c r="DZ8" s="292">
        <v>35</v>
      </c>
      <c r="EA8" s="289">
        <v>47</v>
      </c>
      <c r="EB8" s="292">
        <v>82</v>
      </c>
      <c r="EC8" s="48"/>
      <c r="ED8" s="293">
        <v>8</v>
      </c>
      <c r="EE8" s="294">
        <v>4</v>
      </c>
      <c r="EF8" s="294">
        <v>6</v>
      </c>
      <c r="EG8" s="294">
        <v>10</v>
      </c>
      <c r="EH8" s="297">
        <v>28</v>
      </c>
      <c r="EI8" s="294">
        <v>40</v>
      </c>
      <c r="EJ8" s="297">
        <v>68</v>
      </c>
      <c r="EK8" s="95"/>
      <c r="EL8" s="298"/>
      <c r="EM8" s="299"/>
      <c r="EN8" s="299"/>
      <c r="EO8" s="299"/>
      <c r="EP8" s="302">
        <v>0</v>
      </c>
      <c r="EQ8" s="299"/>
      <c r="ER8" s="302">
        <v>0</v>
      </c>
    </row>
    <row r="9" spans="1:148" ht="15.75">
      <c r="A9" s="211">
        <v>7</v>
      </c>
      <c r="B9" s="146" t="s">
        <v>159</v>
      </c>
      <c r="C9" s="214">
        <v>8</v>
      </c>
      <c r="D9" s="215">
        <v>10</v>
      </c>
      <c r="E9" s="215">
        <v>9</v>
      </c>
      <c r="F9" s="215">
        <v>10</v>
      </c>
      <c r="G9" s="48">
        <f t="shared" si="1"/>
        <v>37</v>
      </c>
      <c r="H9" s="216">
        <v>48</v>
      </c>
      <c r="I9" s="48">
        <f t="shared" si="2"/>
        <v>85</v>
      </c>
      <c r="J9" s="146"/>
      <c r="K9" s="221">
        <v>10</v>
      </c>
      <c r="L9" s="218">
        <v>8</v>
      </c>
      <c r="M9" s="218">
        <v>10</v>
      </c>
      <c r="N9" s="218">
        <v>10</v>
      </c>
      <c r="O9" s="52">
        <f t="shared" si="3"/>
        <v>38</v>
      </c>
      <c r="P9" s="222">
        <v>57</v>
      </c>
      <c r="Q9" s="52">
        <f t="shared" si="4"/>
        <v>95</v>
      </c>
      <c r="R9" s="70"/>
      <c r="S9" s="224">
        <v>9</v>
      </c>
      <c r="T9" s="225">
        <v>8</v>
      </c>
      <c r="U9" s="225">
        <v>5</v>
      </c>
      <c r="V9" s="225">
        <v>10</v>
      </c>
      <c r="W9" s="70">
        <f t="shared" si="0"/>
        <v>32</v>
      </c>
      <c r="X9" s="226">
        <v>51</v>
      </c>
      <c r="Y9" s="70">
        <f t="shared" si="5"/>
        <v>83</v>
      </c>
      <c r="Z9" s="70">
        <f t="shared" si="6"/>
        <v>2</v>
      </c>
      <c r="AA9" s="70" t="str">
        <f t="shared" si="7"/>
        <v>A</v>
      </c>
      <c r="AB9" s="70" t="str">
        <f t="shared" si="8"/>
        <v>Excellent</v>
      </c>
      <c r="AC9" s="146"/>
      <c r="AD9" s="228"/>
      <c r="AE9" s="229"/>
      <c r="AF9" s="229"/>
      <c r="AG9" s="229"/>
      <c r="AH9" s="44">
        <f t="shared" si="9"/>
        <v>0</v>
      </c>
      <c r="AI9" s="232"/>
      <c r="AJ9" s="44">
        <f t="shared" si="10"/>
        <v>0</v>
      </c>
      <c r="AK9" s="3"/>
      <c r="AL9" s="234">
        <v>10</v>
      </c>
      <c r="AM9" s="235">
        <v>8</v>
      </c>
      <c r="AN9" s="235">
        <v>10</v>
      </c>
      <c r="AO9" s="235">
        <v>9</v>
      </c>
      <c r="AP9" s="75">
        <f t="shared" si="11"/>
        <v>37</v>
      </c>
      <c r="AQ9" s="241">
        <v>39</v>
      </c>
      <c r="AR9" s="75">
        <f t="shared" si="12"/>
        <v>76</v>
      </c>
      <c r="AS9" s="79"/>
      <c r="AT9" s="242">
        <v>9</v>
      </c>
      <c r="AU9" s="243">
        <v>6</v>
      </c>
      <c r="AV9" s="243">
        <v>10</v>
      </c>
      <c r="AW9" s="243">
        <v>10</v>
      </c>
      <c r="AX9" s="244">
        <v>35</v>
      </c>
      <c r="AY9" s="243">
        <v>49</v>
      </c>
      <c r="AZ9" s="244">
        <v>84</v>
      </c>
      <c r="BA9" s="146"/>
      <c r="BB9" s="245">
        <v>10</v>
      </c>
      <c r="BC9" s="246">
        <v>7</v>
      </c>
      <c r="BD9" s="246">
        <v>10</v>
      </c>
      <c r="BE9" s="246">
        <v>10</v>
      </c>
      <c r="BF9" s="247">
        <v>37</v>
      </c>
      <c r="BG9" s="246">
        <v>55</v>
      </c>
      <c r="BH9" s="247">
        <v>92</v>
      </c>
      <c r="BI9" s="48"/>
      <c r="BJ9" s="249">
        <v>8</v>
      </c>
      <c r="BK9" s="249">
        <v>10</v>
      </c>
      <c r="BL9" s="249">
        <v>10</v>
      </c>
      <c r="BM9" s="249">
        <v>8</v>
      </c>
      <c r="BN9" s="250">
        <v>36</v>
      </c>
      <c r="BO9" s="249">
        <v>54</v>
      </c>
      <c r="BP9" s="250">
        <v>90</v>
      </c>
      <c r="BQ9" s="62"/>
      <c r="BR9" s="252">
        <v>10</v>
      </c>
      <c r="BS9" s="253">
        <v>10</v>
      </c>
      <c r="BT9" s="253">
        <v>10</v>
      </c>
      <c r="BU9" s="253">
        <v>10</v>
      </c>
      <c r="BV9" s="254">
        <v>40</v>
      </c>
      <c r="BW9" s="253">
        <v>51</v>
      </c>
      <c r="BX9" s="254">
        <v>91</v>
      </c>
      <c r="BY9" s="146"/>
      <c r="BZ9" s="255">
        <v>5</v>
      </c>
      <c r="CA9" s="256">
        <v>8</v>
      </c>
      <c r="CB9" s="256">
        <v>10</v>
      </c>
      <c r="CC9" s="256">
        <v>10</v>
      </c>
      <c r="CD9" s="257">
        <v>33</v>
      </c>
      <c r="CE9" s="256">
        <v>47</v>
      </c>
      <c r="CF9" s="257">
        <v>80</v>
      </c>
      <c r="CG9" s="146"/>
      <c r="CH9" s="258">
        <v>7</v>
      </c>
      <c r="CI9" s="259">
        <v>10</v>
      </c>
      <c r="CJ9" s="259">
        <v>10</v>
      </c>
      <c r="CK9" s="259">
        <v>10</v>
      </c>
      <c r="CL9" s="260">
        <v>37</v>
      </c>
      <c r="CM9" s="259">
        <v>53</v>
      </c>
      <c r="CN9" s="260">
        <v>90</v>
      </c>
      <c r="CO9" s="66"/>
      <c r="CP9" s="261">
        <v>7</v>
      </c>
      <c r="CQ9" s="262"/>
      <c r="CR9" s="262">
        <v>9</v>
      </c>
      <c r="CS9" s="262">
        <v>7</v>
      </c>
      <c r="CT9" s="263">
        <v>23</v>
      </c>
      <c r="CU9" s="262">
        <v>45</v>
      </c>
      <c r="CV9" s="263">
        <v>68</v>
      </c>
      <c r="CW9" s="146"/>
      <c r="CX9" s="265">
        <v>5</v>
      </c>
      <c r="CY9" s="271">
        <v>9</v>
      </c>
      <c r="CZ9" s="269">
        <v>10</v>
      </c>
      <c r="DA9" s="270">
        <v>10</v>
      </c>
      <c r="DB9" s="267">
        <v>34</v>
      </c>
      <c r="DC9" s="269">
        <v>28</v>
      </c>
      <c r="DD9" s="267">
        <v>62</v>
      </c>
      <c r="DE9" s="48"/>
      <c r="DF9" s="282">
        <v>10</v>
      </c>
      <c r="DG9" s="283">
        <v>7</v>
      </c>
      <c r="DH9" s="283">
        <v>3</v>
      </c>
      <c r="DI9" s="283">
        <v>10</v>
      </c>
      <c r="DJ9" s="284">
        <v>30</v>
      </c>
      <c r="DK9" s="283">
        <v>49</v>
      </c>
      <c r="DL9" s="284">
        <v>79</v>
      </c>
      <c r="DM9" s="48"/>
      <c r="DN9" s="285">
        <v>9</v>
      </c>
      <c r="DO9" s="286">
        <v>4</v>
      </c>
      <c r="DP9" s="286">
        <v>7</v>
      </c>
      <c r="DQ9" s="286">
        <v>9</v>
      </c>
      <c r="DR9" s="287">
        <v>29</v>
      </c>
      <c r="DS9" s="286">
        <v>50</v>
      </c>
      <c r="DT9" s="287">
        <v>79</v>
      </c>
      <c r="DU9" s="70"/>
      <c r="DV9" s="288">
        <v>8</v>
      </c>
      <c r="DW9" s="289">
        <v>8</v>
      </c>
      <c r="DX9" s="289">
        <v>8</v>
      </c>
      <c r="DY9" s="289">
        <v>10</v>
      </c>
      <c r="DZ9" s="292">
        <v>34</v>
      </c>
      <c r="EA9" s="289">
        <v>50</v>
      </c>
      <c r="EB9" s="292">
        <v>84</v>
      </c>
      <c r="EC9" s="48"/>
      <c r="ED9" s="293">
        <v>9</v>
      </c>
      <c r="EE9" s="294">
        <v>7</v>
      </c>
      <c r="EF9" s="294">
        <v>10</v>
      </c>
      <c r="EG9" s="294">
        <v>10</v>
      </c>
      <c r="EH9" s="297">
        <v>36</v>
      </c>
      <c r="EI9" s="294">
        <v>48</v>
      </c>
      <c r="EJ9" s="297">
        <v>84</v>
      </c>
      <c r="EK9" s="95"/>
      <c r="EL9" s="298">
        <v>10</v>
      </c>
      <c r="EM9" s="299">
        <v>6</v>
      </c>
      <c r="EN9" s="299">
        <v>5</v>
      </c>
      <c r="EO9" s="299">
        <v>5</v>
      </c>
      <c r="EP9" s="302">
        <v>26</v>
      </c>
      <c r="EQ9" s="299">
        <v>45</v>
      </c>
      <c r="ER9" s="302">
        <v>71</v>
      </c>
    </row>
    <row r="10" spans="1:148" ht="15.75">
      <c r="A10" s="212">
        <v>8</v>
      </c>
      <c r="B10" s="144" t="s">
        <v>160</v>
      </c>
      <c r="C10" s="214">
        <v>2</v>
      </c>
      <c r="D10" s="215">
        <v>2</v>
      </c>
      <c r="E10" s="215">
        <v>8</v>
      </c>
      <c r="F10" s="215">
        <v>8</v>
      </c>
      <c r="G10" s="48">
        <f t="shared" si="1"/>
        <v>20</v>
      </c>
      <c r="H10" s="216">
        <v>7</v>
      </c>
      <c r="I10" s="48">
        <f t="shared" si="2"/>
        <v>27</v>
      </c>
      <c r="J10" s="144"/>
      <c r="K10" s="221">
        <v>1</v>
      </c>
      <c r="L10" s="218">
        <v>1</v>
      </c>
      <c r="M10" s="218">
        <v>10</v>
      </c>
      <c r="N10" s="218">
        <v>10</v>
      </c>
      <c r="O10" s="52">
        <f t="shared" si="3"/>
        <v>22</v>
      </c>
      <c r="P10" s="222">
        <v>16</v>
      </c>
      <c r="Q10" s="52">
        <f t="shared" si="4"/>
        <v>38</v>
      </c>
      <c r="R10" s="70"/>
      <c r="S10" s="224">
        <v>1</v>
      </c>
      <c r="T10" s="225">
        <v>2</v>
      </c>
      <c r="U10" s="225">
        <v>5</v>
      </c>
      <c r="V10" s="225">
        <v>5</v>
      </c>
      <c r="W10" s="70">
        <f t="shared" si="0"/>
        <v>13</v>
      </c>
      <c r="X10" s="226">
        <v>12</v>
      </c>
      <c r="Y10" s="70">
        <f t="shared" si="5"/>
        <v>25</v>
      </c>
      <c r="Z10" s="70">
        <f t="shared" si="6"/>
        <v>39</v>
      </c>
      <c r="AA10" s="70" t="str">
        <f t="shared" si="7"/>
        <v>F</v>
      </c>
      <c r="AB10" s="70" t="str">
        <f t="shared" si="8"/>
        <v>Fail</v>
      </c>
      <c r="AC10" s="144"/>
      <c r="AD10" s="228"/>
      <c r="AE10" s="229"/>
      <c r="AF10" s="229"/>
      <c r="AG10" s="229"/>
      <c r="AH10" s="44">
        <f t="shared" si="9"/>
        <v>0</v>
      </c>
      <c r="AI10" s="232"/>
      <c r="AJ10" s="44">
        <f t="shared" si="10"/>
        <v>0</v>
      </c>
      <c r="AK10" s="3"/>
      <c r="AL10" s="234">
        <v>1</v>
      </c>
      <c r="AM10" s="235">
        <v>2</v>
      </c>
      <c r="AN10" s="235">
        <v>8</v>
      </c>
      <c r="AO10" s="235">
        <v>7</v>
      </c>
      <c r="AP10" s="75">
        <f t="shared" si="11"/>
        <v>18</v>
      </c>
      <c r="AQ10" s="241">
        <v>11</v>
      </c>
      <c r="AR10" s="75">
        <f t="shared" si="12"/>
        <v>29</v>
      </c>
      <c r="AS10" s="79"/>
      <c r="AT10" s="242">
        <v>1</v>
      </c>
      <c r="AU10" s="243">
        <v>1</v>
      </c>
      <c r="AV10" s="243">
        <v>5</v>
      </c>
      <c r="AW10" s="243">
        <v>4</v>
      </c>
      <c r="AX10" s="244">
        <v>11</v>
      </c>
      <c r="AY10" s="243">
        <v>15</v>
      </c>
      <c r="AZ10" s="244">
        <v>26</v>
      </c>
      <c r="BA10" s="143"/>
      <c r="BB10" s="245">
        <v>1</v>
      </c>
      <c r="BC10" s="246">
        <v>1</v>
      </c>
      <c r="BD10" s="246">
        <v>2</v>
      </c>
      <c r="BE10" s="246">
        <v>3</v>
      </c>
      <c r="BF10" s="247">
        <v>7</v>
      </c>
      <c r="BG10" s="246">
        <v>11</v>
      </c>
      <c r="BH10" s="247">
        <v>18</v>
      </c>
      <c r="BI10" s="48"/>
      <c r="BJ10" s="249">
        <v>7</v>
      </c>
      <c r="BK10" s="249">
        <v>3</v>
      </c>
      <c r="BL10" s="249">
        <v>9</v>
      </c>
      <c r="BM10" s="249">
        <v>10</v>
      </c>
      <c r="BN10" s="250">
        <v>29</v>
      </c>
      <c r="BO10" s="249">
        <v>15</v>
      </c>
      <c r="BP10" s="250">
        <v>44</v>
      </c>
      <c r="BQ10" s="62"/>
      <c r="BR10" s="252">
        <v>1</v>
      </c>
      <c r="BS10" s="253">
        <v>2</v>
      </c>
      <c r="BT10" s="253">
        <v>10</v>
      </c>
      <c r="BU10" s="253">
        <v>10</v>
      </c>
      <c r="BV10" s="254">
        <v>23</v>
      </c>
      <c r="BW10" s="253">
        <v>7</v>
      </c>
      <c r="BX10" s="254">
        <v>30</v>
      </c>
      <c r="BY10" s="144"/>
      <c r="BZ10" s="255">
        <v>1</v>
      </c>
      <c r="CA10" s="256">
        <v>1</v>
      </c>
      <c r="CB10" s="256">
        <v>10</v>
      </c>
      <c r="CC10" s="256">
        <v>5</v>
      </c>
      <c r="CD10" s="257">
        <v>17</v>
      </c>
      <c r="CE10" s="256">
        <v>8</v>
      </c>
      <c r="CF10" s="257">
        <v>25</v>
      </c>
      <c r="CG10" s="143"/>
      <c r="CH10" s="258">
        <v>1</v>
      </c>
      <c r="CI10" s="259">
        <v>2</v>
      </c>
      <c r="CJ10" s="259"/>
      <c r="CK10" s="259"/>
      <c r="CL10" s="260">
        <v>3</v>
      </c>
      <c r="CM10" s="259">
        <v>13</v>
      </c>
      <c r="CN10" s="260">
        <v>16</v>
      </c>
      <c r="CO10" s="66"/>
      <c r="CP10" s="261">
        <v>1</v>
      </c>
      <c r="CQ10" s="262">
        <v>1</v>
      </c>
      <c r="CR10" s="262">
        <v>9</v>
      </c>
      <c r="CS10" s="262">
        <v>7</v>
      </c>
      <c r="CT10" s="263">
        <v>18</v>
      </c>
      <c r="CU10" s="262">
        <v>15</v>
      </c>
      <c r="CV10" s="263">
        <v>33</v>
      </c>
      <c r="CW10" s="144"/>
      <c r="CX10" s="265">
        <v>2</v>
      </c>
      <c r="CY10" s="272">
        <v>2</v>
      </c>
      <c r="CZ10" s="269">
        <v>8</v>
      </c>
      <c r="DA10" s="270">
        <v>8</v>
      </c>
      <c r="DB10" s="267">
        <v>20</v>
      </c>
      <c r="DC10" s="269">
        <v>17</v>
      </c>
      <c r="DD10" s="267">
        <v>37</v>
      </c>
      <c r="DE10" s="48"/>
      <c r="DF10" s="282">
        <v>1</v>
      </c>
      <c r="DG10" s="283">
        <v>1</v>
      </c>
      <c r="DH10" s="283"/>
      <c r="DI10" s="283"/>
      <c r="DJ10" s="284">
        <v>2</v>
      </c>
      <c r="DK10" s="283">
        <v>19</v>
      </c>
      <c r="DL10" s="284">
        <v>21</v>
      </c>
      <c r="DM10" s="48"/>
      <c r="DN10" s="285">
        <v>1</v>
      </c>
      <c r="DO10" s="286">
        <v>1</v>
      </c>
      <c r="DP10" s="286">
        <v>4</v>
      </c>
      <c r="DQ10" s="286">
        <v>5</v>
      </c>
      <c r="DR10" s="287">
        <v>11</v>
      </c>
      <c r="DS10" s="286">
        <v>9</v>
      </c>
      <c r="DT10" s="287">
        <v>20</v>
      </c>
      <c r="DU10" s="70"/>
      <c r="DV10" s="288">
        <v>1</v>
      </c>
      <c r="DW10" s="289">
        <v>2</v>
      </c>
      <c r="DX10" s="289">
        <v>8</v>
      </c>
      <c r="DY10" s="289">
        <v>10</v>
      </c>
      <c r="DZ10" s="292">
        <v>21</v>
      </c>
      <c r="EA10" s="289">
        <v>14</v>
      </c>
      <c r="EB10" s="292">
        <v>35</v>
      </c>
      <c r="EC10" s="48"/>
      <c r="ED10" s="293">
        <v>2</v>
      </c>
      <c r="EE10" s="294">
        <v>2</v>
      </c>
      <c r="EF10" s="294">
        <v>8</v>
      </c>
      <c r="EG10" s="294">
        <v>7</v>
      </c>
      <c r="EH10" s="297">
        <v>19</v>
      </c>
      <c r="EI10" s="294">
        <v>17</v>
      </c>
      <c r="EJ10" s="297">
        <v>36</v>
      </c>
      <c r="EK10" s="95"/>
      <c r="EL10" s="298">
        <v>1</v>
      </c>
      <c r="EM10" s="299">
        <v>1</v>
      </c>
      <c r="EN10" s="299">
        <v>5</v>
      </c>
      <c r="EO10" s="299">
        <v>5</v>
      </c>
      <c r="EP10" s="302">
        <v>12</v>
      </c>
      <c r="EQ10" s="299">
        <v>17</v>
      </c>
      <c r="ER10" s="302">
        <v>29</v>
      </c>
    </row>
    <row r="11" spans="1:148" ht="15.75">
      <c r="A11" s="211">
        <v>9</v>
      </c>
      <c r="B11" s="143" t="s">
        <v>161</v>
      </c>
      <c r="C11" s="214">
        <v>2</v>
      </c>
      <c r="D11" s="215">
        <v>6</v>
      </c>
      <c r="E11" s="215">
        <v>9</v>
      </c>
      <c r="F11" s="215">
        <v>9</v>
      </c>
      <c r="G11" s="48">
        <f t="shared" si="1"/>
        <v>26</v>
      </c>
      <c r="H11" s="216">
        <v>20</v>
      </c>
      <c r="I11" s="48">
        <f t="shared" si="2"/>
        <v>46</v>
      </c>
      <c r="J11" s="143"/>
      <c r="K11" s="221">
        <v>1</v>
      </c>
      <c r="L11" s="218">
        <v>3</v>
      </c>
      <c r="M11" s="218"/>
      <c r="N11" s="218">
        <v>10</v>
      </c>
      <c r="O11" s="52">
        <f t="shared" si="3"/>
        <v>14</v>
      </c>
      <c r="P11" s="222">
        <v>29</v>
      </c>
      <c r="Q11" s="52">
        <f t="shared" si="4"/>
        <v>43</v>
      </c>
      <c r="R11" s="70"/>
      <c r="S11" s="224">
        <v>7</v>
      </c>
      <c r="T11" s="225">
        <v>4</v>
      </c>
      <c r="U11" s="225">
        <v>5</v>
      </c>
      <c r="V11" s="225">
        <v>7</v>
      </c>
      <c r="W11" s="70">
        <f t="shared" si="0"/>
        <v>23</v>
      </c>
      <c r="X11" s="226">
        <v>21</v>
      </c>
      <c r="Y11" s="70">
        <f t="shared" si="5"/>
        <v>44</v>
      </c>
      <c r="Z11" s="70">
        <f t="shared" si="6"/>
        <v>33</v>
      </c>
      <c r="AA11" s="70" t="str">
        <f t="shared" si="7"/>
        <v>F</v>
      </c>
      <c r="AB11" s="70" t="str">
        <f t="shared" si="8"/>
        <v>Fail</v>
      </c>
      <c r="AC11" s="143"/>
      <c r="AD11" s="228"/>
      <c r="AE11" s="229"/>
      <c r="AF11" s="229"/>
      <c r="AG11" s="229"/>
      <c r="AH11" s="44">
        <f t="shared" si="9"/>
        <v>0</v>
      </c>
      <c r="AI11" s="232"/>
      <c r="AJ11" s="44">
        <f t="shared" si="10"/>
        <v>0</v>
      </c>
      <c r="AK11" s="3"/>
      <c r="AL11" s="234">
        <v>1</v>
      </c>
      <c r="AM11" s="235">
        <v>8</v>
      </c>
      <c r="AN11" s="235">
        <v>10</v>
      </c>
      <c r="AO11" s="235">
        <v>9</v>
      </c>
      <c r="AP11" s="75">
        <f t="shared" si="11"/>
        <v>28</v>
      </c>
      <c r="AQ11" s="241">
        <v>20</v>
      </c>
      <c r="AR11" s="75">
        <f t="shared" si="12"/>
        <v>48</v>
      </c>
      <c r="AS11" s="79"/>
      <c r="AT11" s="242">
        <v>1</v>
      </c>
      <c r="AU11" s="243">
        <v>1</v>
      </c>
      <c r="AV11" s="243">
        <v>5</v>
      </c>
      <c r="AW11" s="243">
        <v>9</v>
      </c>
      <c r="AX11" s="244">
        <v>16</v>
      </c>
      <c r="AY11" s="243">
        <v>20</v>
      </c>
      <c r="AZ11" s="244">
        <v>36</v>
      </c>
      <c r="BA11" s="143"/>
      <c r="BB11" s="245">
        <v>2</v>
      </c>
      <c r="BC11" s="246">
        <v>1</v>
      </c>
      <c r="BD11" s="246">
        <v>9</v>
      </c>
      <c r="BE11" s="246">
        <v>5</v>
      </c>
      <c r="BF11" s="247">
        <v>17</v>
      </c>
      <c r="BG11" s="246">
        <v>30</v>
      </c>
      <c r="BH11" s="247">
        <v>47</v>
      </c>
      <c r="BI11" s="48"/>
      <c r="BJ11" s="249">
        <v>3</v>
      </c>
      <c r="BK11" s="249">
        <v>5</v>
      </c>
      <c r="BL11" s="249">
        <v>8</v>
      </c>
      <c r="BM11" s="249">
        <v>10</v>
      </c>
      <c r="BN11" s="250">
        <v>26</v>
      </c>
      <c r="BO11" s="249">
        <v>12</v>
      </c>
      <c r="BP11" s="250">
        <v>38</v>
      </c>
      <c r="BQ11" s="62"/>
      <c r="BR11" s="252">
        <v>5</v>
      </c>
      <c r="BS11" s="253">
        <v>5</v>
      </c>
      <c r="BT11" s="253">
        <v>7</v>
      </c>
      <c r="BU11" s="253">
        <v>10</v>
      </c>
      <c r="BV11" s="254">
        <v>27</v>
      </c>
      <c r="BW11" s="253">
        <v>27</v>
      </c>
      <c r="BX11" s="254">
        <v>54</v>
      </c>
      <c r="BY11" s="143"/>
      <c r="BZ11" s="255">
        <v>5</v>
      </c>
      <c r="CA11" s="256">
        <v>7</v>
      </c>
      <c r="CB11" s="256">
        <v>8</v>
      </c>
      <c r="CC11" s="256">
        <v>5</v>
      </c>
      <c r="CD11" s="257">
        <v>25</v>
      </c>
      <c r="CE11" s="256">
        <v>29</v>
      </c>
      <c r="CF11" s="257">
        <v>54</v>
      </c>
      <c r="CG11" s="143"/>
      <c r="CH11" s="258">
        <v>1</v>
      </c>
      <c r="CI11" s="259">
        <v>5</v>
      </c>
      <c r="CJ11" s="259">
        <v>10</v>
      </c>
      <c r="CK11" s="259">
        <v>10</v>
      </c>
      <c r="CL11" s="260">
        <v>26</v>
      </c>
      <c r="CM11" s="259">
        <v>16</v>
      </c>
      <c r="CN11" s="260">
        <v>42</v>
      </c>
      <c r="CO11" s="66"/>
      <c r="CP11" s="261">
        <v>9</v>
      </c>
      <c r="CQ11" s="262">
        <v>4</v>
      </c>
      <c r="CR11" s="262">
        <v>7</v>
      </c>
      <c r="CS11" s="262">
        <v>7</v>
      </c>
      <c r="CT11" s="263">
        <v>27</v>
      </c>
      <c r="CU11" s="262">
        <v>20</v>
      </c>
      <c r="CV11" s="263">
        <v>47</v>
      </c>
      <c r="CW11" s="143"/>
      <c r="CX11" s="265">
        <v>4</v>
      </c>
      <c r="CY11" s="271">
        <v>5</v>
      </c>
      <c r="CZ11" s="269">
        <v>10</v>
      </c>
      <c r="DA11" s="270">
        <v>10</v>
      </c>
      <c r="DB11" s="267">
        <v>29</v>
      </c>
      <c r="DC11" s="269">
        <v>19</v>
      </c>
      <c r="DD11" s="267">
        <v>48</v>
      </c>
      <c r="DE11" s="48"/>
      <c r="DF11" s="282">
        <v>2</v>
      </c>
      <c r="DG11" s="283">
        <v>1</v>
      </c>
      <c r="DH11" s="283">
        <v>2</v>
      </c>
      <c r="DI11" s="283">
        <v>10</v>
      </c>
      <c r="DJ11" s="284">
        <v>15</v>
      </c>
      <c r="DK11" s="283">
        <v>29</v>
      </c>
      <c r="DL11" s="284">
        <v>44</v>
      </c>
      <c r="DM11" s="48"/>
      <c r="DN11" s="285">
        <v>1</v>
      </c>
      <c r="DO11" s="286">
        <v>1</v>
      </c>
      <c r="DP11" s="286">
        <v>4</v>
      </c>
      <c r="DQ11" s="286">
        <v>5</v>
      </c>
      <c r="DR11" s="287">
        <v>11</v>
      </c>
      <c r="DS11" s="286">
        <v>10</v>
      </c>
      <c r="DT11" s="287">
        <v>21</v>
      </c>
      <c r="DU11" s="70"/>
      <c r="DV11" s="288">
        <v>2</v>
      </c>
      <c r="DW11" s="289">
        <v>4</v>
      </c>
      <c r="DX11" s="289">
        <v>8</v>
      </c>
      <c r="DY11" s="289">
        <v>10</v>
      </c>
      <c r="DZ11" s="292">
        <v>24</v>
      </c>
      <c r="EA11" s="289">
        <v>16</v>
      </c>
      <c r="EB11" s="292">
        <v>40</v>
      </c>
      <c r="EC11" s="48"/>
      <c r="ED11" s="293">
        <v>3</v>
      </c>
      <c r="EE11" s="294">
        <v>3</v>
      </c>
      <c r="EF11" s="294">
        <v>8</v>
      </c>
      <c r="EG11" s="294">
        <v>8</v>
      </c>
      <c r="EH11" s="297">
        <v>22</v>
      </c>
      <c r="EI11" s="294">
        <v>24</v>
      </c>
      <c r="EJ11" s="297">
        <v>46</v>
      </c>
      <c r="EK11" s="95"/>
      <c r="EL11" s="298">
        <v>2</v>
      </c>
      <c r="EM11" s="299">
        <v>4</v>
      </c>
      <c r="EN11" s="299">
        <v>10</v>
      </c>
      <c r="EO11" s="299">
        <v>10</v>
      </c>
      <c r="EP11" s="302">
        <v>26</v>
      </c>
      <c r="EQ11" s="299">
        <v>19</v>
      </c>
      <c r="ER11" s="302">
        <v>45</v>
      </c>
    </row>
    <row r="12" spans="1:148" ht="15.75">
      <c r="A12" s="212">
        <v>10</v>
      </c>
      <c r="B12" s="142" t="s">
        <v>162</v>
      </c>
      <c r="C12" s="214">
        <v>4</v>
      </c>
      <c r="D12" s="215">
        <v>3</v>
      </c>
      <c r="E12" s="215">
        <v>8</v>
      </c>
      <c r="F12" s="215">
        <v>8</v>
      </c>
      <c r="G12" s="48">
        <f t="shared" si="1"/>
        <v>23</v>
      </c>
      <c r="H12" s="216">
        <v>26</v>
      </c>
      <c r="I12" s="48">
        <f t="shared" si="2"/>
        <v>49</v>
      </c>
      <c r="J12" s="142"/>
      <c r="K12" s="221">
        <v>1</v>
      </c>
      <c r="L12" s="218">
        <v>1</v>
      </c>
      <c r="M12" s="218">
        <v>10</v>
      </c>
      <c r="N12" s="218">
        <v>10</v>
      </c>
      <c r="O12" s="52">
        <f t="shared" si="3"/>
        <v>22</v>
      </c>
      <c r="P12" s="222">
        <v>29</v>
      </c>
      <c r="Q12" s="52">
        <f t="shared" si="4"/>
        <v>51</v>
      </c>
      <c r="R12" s="70"/>
      <c r="S12" s="224">
        <v>10</v>
      </c>
      <c r="T12" s="225">
        <v>5</v>
      </c>
      <c r="U12" s="225">
        <v>5</v>
      </c>
      <c r="V12" s="225">
        <v>7</v>
      </c>
      <c r="W12" s="70">
        <f t="shared" si="0"/>
        <v>27</v>
      </c>
      <c r="X12" s="226">
        <v>27</v>
      </c>
      <c r="Y12" s="70">
        <f t="shared" si="5"/>
        <v>54</v>
      </c>
      <c r="Z12" s="70">
        <f t="shared" si="6"/>
        <v>27</v>
      </c>
      <c r="AA12" s="70" t="str">
        <f t="shared" si="7"/>
        <v>C</v>
      </c>
      <c r="AB12" s="70" t="str">
        <f t="shared" si="8"/>
        <v>Credit</v>
      </c>
      <c r="AC12" s="142"/>
      <c r="AD12" s="228"/>
      <c r="AE12" s="229"/>
      <c r="AF12" s="229"/>
      <c r="AG12" s="229"/>
      <c r="AH12" s="44">
        <f t="shared" si="9"/>
        <v>0</v>
      </c>
      <c r="AI12" s="232"/>
      <c r="AJ12" s="44">
        <f t="shared" si="10"/>
        <v>0</v>
      </c>
      <c r="AK12" s="3"/>
      <c r="AL12" s="234">
        <v>1</v>
      </c>
      <c r="AM12" s="235">
        <v>4</v>
      </c>
      <c r="AN12" s="235">
        <v>8</v>
      </c>
      <c r="AO12" s="235">
        <v>9</v>
      </c>
      <c r="AP12" s="75">
        <f t="shared" si="11"/>
        <v>22</v>
      </c>
      <c r="AQ12" s="241">
        <v>15</v>
      </c>
      <c r="AR12" s="75">
        <f t="shared" si="12"/>
        <v>37</v>
      </c>
      <c r="AS12" s="79"/>
      <c r="AT12" s="242">
        <v>1</v>
      </c>
      <c r="AU12" s="243">
        <v>1</v>
      </c>
      <c r="AV12" s="243">
        <v>5</v>
      </c>
      <c r="AW12" s="243">
        <v>6</v>
      </c>
      <c r="AX12" s="244">
        <v>13</v>
      </c>
      <c r="AY12" s="243">
        <v>15</v>
      </c>
      <c r="AZ12" s="244">
        <v>28</v>
      </c>
      <c r="BA12" s="147"/>
      <c r="BB12" s="245">
        <v>6</v>
      </c>
      <c r="BC12" s="246">
        <v>1</v>
      </c>
      <c r="BD12" s="246">
        <v>4</v>
      </c>
      <c r="BE12" s="246">
        <v>10</v>
      </c>
      <c r="BF12" s="247">
        <v>21</v>
      </c>
      <c r="BG12" s="246">
        <v>30</v>
      </c>
      <c r="BH12" s="247">
        <v>51</v>
      </c>
      <c r="BI12" s="48"/>
      <c r="BJ12" s="249">
        <v>5</v>
      </c>
      <c r="BK12" s="249">
        <v>4</v>
      </c>
      <c r="BL12" s="249">
        <v>8</v>
      </c>
      <c r="BM12" s="249">
        <v>8</v>
      </c>
      <c r="BN12" s="250">
        <v>25</v>
      </c>
      <c r="BO12" s="249">
        <v>17</v>
      </c>
      <c r="BP12" s="250">
        <v>42</v>
      </c>
      <c r="BQ12" s="62"/>
      <c r="BR12" s="252">
        <v>4</v>
      </c>
      <c r="BS12" s="253">
        <v>5</v>
      </c>
      <c r="BT12" s="253">
        <v>10</v>
      </c>
      <c r="BU12" s="253">
        <v>10</v>
      </c>
      <c r="BV12" s="254">
        <v>29</v>
      </c>
      <c r="BW12" s="253">
        <v>25</v>
      </c>
      <c r="BX12" s="254">
        <v>54</v>
      </c>
      <c r="BY12" s="142"/>
      <c r="BZ12" s="255">
        <v>6</v>
      </c>
      <c r="CA12" s="256">
        <v>2</v>
      </c>
      <c r="CB12" s="256">
        <v>10</v>
      </c>
      <c r="CC12" s="256">
        <v>10</v>
      </c>
      <c r="CD12" s="257">
        <v>28</v>
      </c>
      <c r="CE12" s="256">
        <v>21</v>
      </c>
      <c r="CF12" s="257">
        <v>49</v>
      </c>
      <c r="CG12" s="147"/>
      <c r="CH12" s="258">
        <v>3</v>
      </c>
      <c r="CI12" s="259">
        <v>6</v>
      </c>
      <c r="CJ12" s="259">
        <v>8</v>
      </c>
      <c r="CK12" s="259">
        <v>10</v>
      </c>
      <c r="CL12" s="260">
        <v>27</v>
      </c>
      <c r="CM12" s="259">
        <v>19</v>
      </c>
      <c r="CN12" s="260">
        <v>46</v>
      </c>
      <c r="CO12" s="66"/>
      <c r="CP12" s="261">
        <v>7</v>
      </c>
      <c r="CQ12" s="262">
        <v>2</v>
      </c>
      <c r="CR12" s="262">
        <v>10</v>
      </c>
      <c r="CS12" s="262">
        <v>8</v>
      </c>
      <c r="CT12" s="263">
        <v>27</v>
      </c>
      <c r="CU12" s="262">
        <v>25</v>
      </c>
      <c r="CV12" s="263">
        <v>52</v>
      </c>
      <c r="CW12" s="142"/>
      <c r="CX12" s="265">
        <v>1</v>
      </c>
      <c r="CY12" s="272">
        <v>4</v>
      </c>
      <c r="CZ12" s="269">
        <v>10</v>
      </c>
      <c r="DA12" s="270">
        <v>10</v>
      </c>
      <c r="DB12" s="267">
        <v>25</v>
      </c>
      <c r="DC12" s="269">
        <v>16</v>
      </c>
      <c r="DD12" s="267">
        <v>41</v>
      </c>
      <c r="DE12" s="48"/>
      <c r="DF12" s="282">
        <v>4</v>
      </c>
      <c r="DG12" s="283">
        <v>1</v>
      </c>
      <c r="DH12" s="283">
        <v>10</v>
      </c>
      <c r="DI12" s="283">
        <v>9</v>
      </c>
      <c r="DJ12" s="284">
        <v>24</v>
      </c>
      <c r="DK12" s="283">
        <v>26</v>
      </c>
      <c r="DL12" s="284">
        <v>50</v>
      </c>
      <c r="DM12" s="48"/>
      <c r="DN12" s="285">
        <v>1</v>
      </c>
      <c r="DO12" s="286">
        <v>3</v>
      </c>
      <c r="DP12" s="286">
        <v>4</v>
      </c>
      <c r="DQ12" s="286">
        <v>8</v>
      </c>
      <c r="DR12" s="287">
        <v>16</v>
      </c>
      <c r="DS12" s="286">
        <v>11</v>
      </c>
      <c r="DT12" s="287">
        <v>27</v>
      </c>
      <c r="DU12" s="70"/>
      <c r="DV12" s="288">
        <v>1</v>
      </c>
      <c r="DW12" s="289">
        <v>2</v>
      </c>
      <c r="DX12" s="289">
        <v>8</v>
      </c>
      <c r="DY12" s="289">
        <v>10</v>
      </c>
      <c r="DZ12" s="292">
        <v>21</v>
      </c>
      <c r="EA12" s="289">
        <v>6</v>
      </c>
      <c r="EB12" s="292">
        <v>27</v>
      </c>
      <c r="EC12" s="48"/>
      <c r="ED12" s="293">
        <v>7</v>
      </c>
      <c r="EE12" s="294">
        <v>2</v>
      </c>
      <c r="EF12" s="294">
        <v>7</v>
      </c>
      <c r="EG12" s="294">
        <v>8</v>
      </c>
      <c r="EH12" s="297">
        <v>24</v>
      </c>
      <c r="EI12" s="294">
        <v>10</v>
      </c>
      <c r="EJ12" s="297">
        <v>34</v>
      </c>
      <c r="EK12" s="95"/>
      <c r="EL12" s="298">
        <v>8</v>
      </c>
      <c r="EM12" s="299">
        <v>1</v>
      </c>
      <c r="EN12" s="299">
        <v>10</v>
      </c>
      <c r="EO12" s="299">
        <v>10</v>
      </c>
      <c r="EP12" s="302">
        <v>29</v>
      </c>
      <c r="EQ12" s="299">
        <v>25</v>
      </c>
      <c r="ER12" s="302">
        <v>54</v>
      </c>
    </row>
    <row r="13" spans="1:148" ht="15.75">
      <c r="A13" s="211">
        <v>11</v>
      </c>
      <c r="B13" s="143" t="s">
        <v>163</v>
      </c>
      <c r="C13" s="214">
        <v>9</v>
      </c>
      <c r="D13" s="215">
        <v>6</v>
      </c>
      <c r="E13" s="215">
        <v>9</v>
      </c>
      <c r="F13" s="215">
        <v>10</v>
      </c>
      <c r="G13" s="48">
        <f t="shared" si="1"/>
        <v>34</v>
      </c>
      <c r="H13" s="216">
        <v>35</v>
      </c>
      <c r="I13" s="48">
        <f t="shared" si="2"/>
        <v>69</v>
      </c>
      <c r="J13" s="143"/>
      <c r="K13" s="217">
        <v>8</v>
      </c>
      <c r="L13" s="218">
        <v>8</v>
      </c>
      <c r="M13" s="218">
        <v>10</v>
      </c>
      <c r="N13" s="218">
        <v>10</v>
      </c>
      <c r="O13" s="52">
        <f t="shared" si="3"/>
        <v>36</v>
      </c>
      <c r="P13" s="222">
        <v>32</v>
      </c>
      <c r="Q13" s="52">
        <f t="shared" si="4"/>
        <v>68</v>
      </c>
      <c r="R13" s="70"/>
      <c r="S13" s="224">
        <v>10</v>
      </c>
      <c r="T13" s="225">
        <v>6</v>
      </c>
      <c r="U13" s="225">
        <v>5</v>
      </c>
      <c r="V13" s="225">
        <v>10</v>
      </c>
      <c r="W13" s="70">
        <f t="shared" si="0"/>
        <v>31</v>
      </c>
      <c r="X13" s="226">
        <v>41</v>
      </c>
      <c r="Y13" s="70">
        <f t="shared" si="5"/>
        <v>72</v>
      </c>
      <c r="Z13" s="70">
        <f t="shared" si="6"/>
        <v>6</v>
      </c>
      <c r="AA13" s="70" t="str">
        <f t="shared" si="7"/>
        <v>A</v>
      </c>
      <c r="AB13" s="70" t="str">
        <f t="shared" si="8"/>
        <v>Excellent</v>
      </c>
      <c r="AC13" s="143"/>
      <c r="AD13" s="228"/>
      <c r="AE13" s="229"/>
      <c r="AF13" s="229"/>
      <c r="AG13" s="229"/>
      <c r="AH13" s="44">
        <f t="shared" si="9"/>
        <v>0</v>
      </c>
      <c r="AI13" s="232"/>
      <c r="AJ13" s="44">
        <f t="shared" si="10"/>
        <v>0</v>
      </c>
      <c r="AK13" s="3"/>
      <c r="AL13" s="234">
        <v>8</v>
      </c>
      <c r="AM13" s="235">
        <v>10</v>
      </c>
      <c r="AN13" s="235">
        <v>10</v>
      </c>
      <c r="AO13" s="235">
        <v>8</v>
      </c>
      <c r="AP13" s="75">
        <f t="shared" si="11"/>
        <v>36</v>
      </c>
      <c r="AQ13" s="241">
        <v>35</v>
      </c>
      <c r="AR13" s="75">
        <f t="shared" si="12"/>
        <v>71</v>
      </c>
      <c r="AS13" s="79"/>
      <c r="AT13" s="242">
        <v>4</v>
      </c>
      <c r="AU13" s="243">
        <v>6</v>
      </c>
      <c r="AV13" s="243">
        <v>5</v>
      </c>
      <c r="AW13" s="243">
        <v>10</v>
      </c>
      <c r="AX13" s="244">
        <v>25</v>
      </c>
      <c r="AY13" s="243">
        <v>27</v>
      </c>
      <c r="AZ13" s="244">
        <v>52</v>
      </c>
      <c r="BA13" s="143"/>
      <c r="BB13" s="245">
        <v>10</v>
      </c>
      <c r="BC13" s="246">
        <v>8</v>
      </c>
      <c r="BD13" s="246">
        <v>9</v>
      </c>
      <c r="BE13" s="246">
        <v>8</v>
      </c>
      <c r="BF13" s="247">
        <v>35</v>
      </c>
      <c r="BG13" s="246">
        <v>53</v>
      </c>
      <c r="BH13" s="247">
        <v>88</v>
      </c>
      <c r="BI13" s="48"/>
      <c r="BJ13" s="249">
        <v>9</v>
      </c>
      <c r="BK13" s="249">
        <v>10</v>
      </c>
      <c r="BL13" s="249">
        <v>10</v>
      </c>
      <c r="BM13" s="249">
        <v>10</v>
      </c>
      <c r="BN13" s="250">
        <v>39</v>
      </c>
      <c r="BO13" s="249">
        <v>35</v>
      </c>
      <c r="BP13" s="250">
        <v>74</v>
      </c>
      <c r="BQ13" s="62"/>
      <c r="BR13" s="252">
        <v>9</v>
      </c>
      <c r="BS13" s="253">
        <v>8</v>
      </c>
      <c r="BT13" s="253">
        <v>10</v>
      </c>
      <c r="BU13" s="253">
        <v>10</v>
      </c>
      <c r="BV13" s="254">
        <v>37</v>
      </c>
      <c r="BW13" s="253">
        <v>42</v>
      </c>
      <c r="BX13" s="254">
        <v>79</v>
      </c>
      <c r="BY13" s="143"/>
      <c r="BZ13" s="255">
        <v>7</v>
      </c>
      <c r="CA13" s="256">
        <v>8</v>
      </c>
      <c r="CB13" s="256">
        <v>10</v>
      </c>
      <c r="CC13" s="256">
        <v>10</v>
      </c>
      <c r="CD13" s="257">
        <v>35</v>
      </c>
      <c r="CE13" s="256">
        <v>42</v>
      </c>
      <c r="CF13" s="257">
        <v>77</v>
      </c>
      <c r="CG13" s="143"/>
      <c r="CH13" s="258">
        <v>4</v>
      </c>
      <c r="CI13" s="259">
        <v>8</v>
      </c>
      <c r="CJ13" s="259">
        <v>10</v>
      </c>
      <c r="CK13" s="259">
        <v>10</v>
      </c>
      <c r="CL13" s="260">
        <v>32</v>
      </c>
      <c r="CM13" s="259">
        <v>48</v>
      </c>
      <c r="CN13" s="260">
        <v>80</v>
      </c>
      <c r="CO13" s="66"/>
      <c r="CP13" s="261">
        <v>7</v>
      </c>
      <c r="CQ13" s="262">
        <v>3</v>
      </c>
      <c r="CR13" s="262">
        <v>9</v>
      </c>
      <c r="CS13" s="262">
        <v>8</v>
      </c>
      <c r="CT13" s="263">
        <v>27</v>
      </c>
      <c r="CU13" s="262">
        <v>40</v>
      </c>
      <c r="CV13" s="263">
        <v>67</v>
      </c>
      <c r="CW13" s="143"/>
      <c r="CX13" s="265">
        <v>4</v>
      </c>
      <c r="CY13" s="271">
        <v>4</v>
      </c>
      <c r="CZ13" s="269">
        <v>8</v>
      </c>
      <c r="DA13" s="270">
        <v>10</v>
      </c>
      <c r="DB13" s="267">
        <v>26</v>
      </c>
      <c r="DC13" s="269">
        <v>20</v>
      </c>
      <c r="DD13" s="267">
        <v>46</v>
      </c>
      <c r="DE13" s="48"/>
      <c r="DF13" s="282">
        <v>9</v>
      </c>
      <c r="DG13" s="283">
        <v>6</v>
      </c>
      <c r="DH13" s="283">
        <v>9</v>
      </c>
      <c r="DI13" s="283">
        <v>10</v>
      </c>
      <c r="DJ13" s="284">
        <v>34</v>
      </c>
      <c r="DK13" s="283">
        <v>44</v>
      </c>
      <c r="DL13" s="284">
        <v>78</v>
      </c>
      <c r="DM13" s="48"/>
      <c r="DN13" s="285">
        <v>2</v>
      </c>
      <c r="DO13" s="286">
        <v>10</v>
      </c>
      <c r="DP13" s="286"/>
      <c r="DQ13" s="286">
        <v>5</v>
      </c>
      <c r="DR13" s="287">
        <v>17</v>
      </c>
      <c r="DS13" s="286">
        <v>30</v>
      </c>
      <c r="DT13" s="287">
        <v>47</v>
      </c>
      <c r="DU13" s="70"/>
      <c r="DV13" s="288">
        <v>5</v>
      </c>
      <c r="DW13" s="289">
        <v>8</v>
      </c>
      <c r="DX13" s="289">
        <v>8</v>
      </c>
      <c r="DY13" s="289">
        <v>10</v>
      </c>
      <c r="DZ13" s="292">
        <v>31</v>
      </c>
      <c r="EA13" s="289">
        <v>29</v>
      </c>
      <c r="EB13" s="292">
        <v>60</v>
      </c>
      <c r="EC13" s="48"/>
      <c r="ED13" s="293">
        <v>9</v>
      </c>
      <c r="EE13" s="294">
        <v>9</v>
      </c>
      <c r="EF13" s="294">
        <v>8</v>
      </c>
      <c r="EG13" s="294">
        <v>10</v>
      </c>
      <c r="EH13" s="297">
        <v>36</v>
      </c>
      <c r="EI13" s="294">
        <v>40</v>
      </c>
      <c r="EJ13" s="297">
        <v>76</v>
      </c>
      <c r="EK13" s="95"/>
      <c r="EL13" s="298">
        <v>9</v>
      </c>
      <c r="EM13" s="299">
        <v>8</v>
      </c>
      <c r="EN13" s="299">
        <v>10</v>
      </c>
      <c r="EO13" s="299">
        <v>10</v>
      </c>
      <c r="EP13" s="302">
        <v>37</v>
      </c>
      <c r="EQ13" s="299">
        <v>42</v>
      </c>
      <c r="ER13" s="302">
        <v>79</v>
      </c>
    </row>
    <row r="14" spans="1:148" ht="15.75">
      <c r="A14" s="212">
        <v>12</v>
      </c>
      <c r="B14" s="147"/>
      <c r="C14" s="214">
        <v>10</v>
      </c>
      <c r="D14" s="215">
        <v>7</v>
      </c>
      <c r="E14" s="215">
        <v>10</v>
      </c>
      <c r="F14" s="215">
        <v>9</v>
      </c>
      <c r="G14" s="48">
        <f t="shared" si="1"/>
        <v>36</v>
      </c>
      <c r="H14" s="216">
        <v>50</v>
      </c>
      <c r="I14" s="48">
        <f t="shared" si="2"/>
        <v>86</v>
      </c>
      <c r="J14" s="147"/>
      <c r="K14" s="217">
        <v>9</v>
      </c>
      <c r="L14" s="218">
        <v>10</v>
      </c>
      <c r="M14" s="218">
        <v>10</v>
      </c>
      <c r="N14" s="218">
        <v>10</v>
      </c>
      <c r="O14" s="52">
        <f t="shared" si="3"/>
        <v>39</v>
      </c>
      <c r="P14" s="222">
        <v>30</v>
      </c>
      <c r="Q14" s="52">
        <f t="shared" si="4"/>
        <v>69</v>
      </c>
      <c r="R14" s="70"/>
      <c r="S14" s="224">
        <v>10</v>
      </c>
      <c r="T14" s="225">
        <v>7</v>
      </c>
      <c r="U14" s="225">
        <v>5</v>
      </c>
      <c r="V14" s="225">
        <v>9</v>
      </c>
      <c r="W14" s="70">
        <f t="shared" si="0"/>
        <v>31</v>
      </c>
      <c r="X14" s="226">
        <v>35</v>
      </c>
      <c r="Y14" s="70">
        <f t="shared" si="5"/>
        <v>66</v>
      </c>
      <c r="Z14" s="70">
        <f t="shared" si="6"/>
        <v>12</v>
      </c>
      <c r="AA14" s="70" t="str">
        <f t="shared" si="7"/>
        <v>C</v>
      </c>
      <c r="AB14" s="70" t="str">
        <f t="shared" si="8"/>
        <v>Credit</v>
      </c>
      <c r="AC14" s="147"/>
      <c r="AD14" s="228"/>
      <c r="AE14" s="229"/>
      <c r="AF14" s="229"/>
      <c r="AG14" s="229"/>
      <c r="AH14" s="44">
        <f t="shared" si="9"/>
        <v>0</v>
      </c>
      <c r="AI14" s="232"/>
      <c r="AJ14" s="44">
        <f t="shared" si="10"/>
        <v>0</v>
      </c>
      <c r="AK14" s="3"/>
      <c r="AL14" s="234">
        <v>10</v>
      </c>
      <c r="AM14" s="235">
        <v>7</v>
      </c>
      <c r="AN14" s="235">
        <v>10</v>
      </c>
      <c r="AO14" s="235">
        <v>10</v>
      </c>
      <c r="AP14" s="75">
        <f t="shared" si="11"/>
        <v>37</v>
      </c>
      <c r="AQ14" s="241">
        <v>26</v>
      </c>
      <c r="AR14" s="75">
        <f t="shared" si="12"/>
        <v>63</v>
      </c>
      <c r="AS14" s="79"/>
      <c r="AT14" s="242">
        <v>3</v>
      </c>
      <c r="AU14" s="243">
        <v>5</v>
      </c>
      <c r="AV14" s="243">
        <v>5</v>
      </c>
      <c r="AW14" s="243">
        <v>10</v>
      </c>
      <c r="AX14" s="244">
        <v>23</v>
      </c>
      <c r="AY14" s="243">
        <v>31</v>
      </c>
      <c r="AZ14" s="244">
        <v>54</v>
      </c>
      <c r="BA14" s="147"/>
      <c r="BB14" s="245">
        <v>10</v>
      </c>
      <c r="BC14" s="246">
        <v>10</v>
      </c>
      <c r="BD14" s="246">
        <v>6</v>
      </c>
      <c r="BE14" s="246">
        <v>10</v>
      </c>
      <c r="BF14" s="247">
        <v>36</v>
      </c>
      <c r="BG14" s="246">
        <v>44</v>
      </c>
      <c r="BH14" s="247">
        <v>80</v>
      </c>
      <c r="BI14" s="48"/>
      <c r="BJ14" s="249">
        <v>8</v>
      </c>
      <c r="BK14" s="249">
        <v>8</v>
      </c>
      <c r="BL14" s="249">
        <v>10</v>
      </c>
      <c r="BM14" s="249">
        <v>8</v>
      </c>
      <c r="BN14" s="250">
        <v>34</v>
      </c>
      <c r="BO14" s="249">
        <v>46</v>
      </c>
      <c r="BP14" s="250">
        <v>80</v>
      </c>
      <c r="BQ14" s="62"/>
      <c r="BR14" s="252">
        <v>10</v>
      </c>
      <c r="BS14" s="253">
        <v>10</v>
      </c>
      <c r="BT14" s="253">
        <v>10</v>
      </c>
      <c r="BU14" s="253">
        <v>10</v>
      </c>
      <c r="BV14" s="254">
        <v>40</v>
      </c>
      <c r="BW14" s="253">
        <v>34</v>
      </c>
      <c r="BX14" s="254">
        <v>74</v>
      </c>
      <c r="BY14" s="147"/>
      <c r="BZ14" s="255">
        <v>9</v>
      </c>
      <c r="CA14" s="256">
        <v>8</v>
      </c>
      <c r="CB14" s="256">
        <v>8</v>
      </c>
      <c r="CC14" s="256">
        <v>10</v>
      </c>
      <c r="CD14" s="257">
        <v>35</v>
      </c>
      <c r="CE14" s="256">
        <v>43</v>
      </c>
      <c r="CF14" s="257">
        <v>78</v>
      </c>
      <c r="CG14" s="147"/>
      <c r="CH14" s="258">
        <v>5</v>
      </c>
      <c r="CI14" s="259">
        <v>10</v>
      </c>
      <c r="CJ14" s="259">
        <v>10</v>
      </c>
      <c r="CK14" s="259">
        <v>10</v>
      </c>
      <c r="CL14" s="260">
        <v>35</v>
      </c>
      <c r="CM14" s="259">
        <v>51</v>
      </c>
      <c r="CN14" s="260">
        <v>86</v>
      </c>
      <c r="CO14" s="66"/>
      <c r="CP14" s="261">
        <v>8</v>
      </c>
      <c r="CQ14" s="262">
        <v>5</v>
      </c>
      <c r="CR14" s="262">
        <v>7</v>
      </c>
      <c r="CS14" s="262">
        <v>7</v>
      </c>
      <c r="CT14" s="263">
        <v>27</v>
      </c>
      <c r="CU14" s="262">
        <v>35</v>
      </c>
      <c r="CV14" s="263">
        <v>62</v>
      </c>
      <c r="CW14" s="147"/>
      <c r="CX14" s="273">
        <v>4</v>
      </c>
      <c r="CY14" s="271">
        <v>7</v>
      </c>
      <c r="CZ14" s="269">
        <v>10</v>
      </c>
      <c r="DA14" s="270">
        <v>10</v>
      </c>
      <c r="DB14" s="267">
        <v>31</v>
      </c>
      <c r="DC14" s="269">
        <v>32</v>
      </c>
      <c r="DD14" s="267">
        <v>63</v>
      </c>
      <c r="DE14" s="48"/>
      <c r="DF14" s="282">
        <v>10</v>
      </c>
      <c r="DG14" s="283">
        <v>7</v>
      </c>
      <c r="DH14" s="283">
        <v>5</v>
      </c>
      <c r="DI14" s="283">
        <v>10</v>
      </c>
      <c r="DJ14" s="284">
        <v>32</v>
      </c>
      <c r="DK14" s="283">
        <v>44</v>
      </c>
      <c r="DL14" s="284">
        <v>76</v>
      </c>
      <c r="DM14" s="48"/>
      <c r="DN14" s="285">
        <v>4</v>
      </c>
      <c r="DO14" s="286">
        <v>7</v>
      </c>
      <c r="DP14" s="286">
        <v>4</v>
      </c>
      <c r="DQ14" s="286">
        <v>5</v>
      </c>
      <c r="DR14" s="287">
        <v>20</v>
      </c>
      <c r="DS14" s="286">
        <v>36</v>
      </c>
      <c r="DT14" s="287">
        <v>56</v>
      </c>
      <c r="DU14" s="70"/>
      <c r="DV14" s="288">
        <v>5</v>
      </c>
      <c r="DW14" s="289">
        <v>9</v>
      </c>
      <c r="DX14" s="289">
        <v>10</v>
      </c>
      <c r="DY14" s="289">
        <v>8</v>
      </c>
      <c r="DZ14" s="292">
        <v>32</v>
      </c>
      <c r="EA14" s="289">
        <v>27</v>
      </c>
      <c r="EB14" s="292">
        <v>59</v>
      </c>
      <c r="EC14" s="48"/>
      <c r="ED14" s="293">
        <v>10</v>
      </c>
      <c r="EE14" s="294">
        <v>8</v>
      </c>
      <c r="EF14" s="294">
        <v>10</v>
      </c>
      <c r="EG14" s="294">
        <v>10</v>
      </c>
      <c r="EH14" s="297">
        <v>38</v>
      </c>
      <c r="EI14" s="294">
        <v>44</v>
      </c>
      <c r="EJ14" s="297">
        <v>82</v>
      </c>
      <c r="EK14" s="95"/>
      <c r="EL14" s="298">
        <v>10</v>
      </c>
      <c r="EM14" s="299">
        <v>8</v>
      </c>
      <c r="EN14" s="299">
        <v>10</v>
      </c>
      <c r="EO14" s="299">
        <v>10</v>
      </c>
      <c r="EP14" s="302">
        <v>38</v>
      </c>
      <c r="EQ14" s="299">
        <v>52</v>
      </c>
      <c r="ER14" s="302">
        <v>90</v>
      </c>
    </row>
    <row r="15" spans="1:148" ht="15.75">
      <c r="A15" s="211">
        <v>13</v>
      </c>
      <c r="B15" s="144" t="s">
        <v>164</v>
      </c>
      <c r="C15" s="214">
        <v>5</v>
      </c>
      <c r="D15" s="215">
        <v>4</v>
      </c>
      <c r="E15" s="215">
        <v>7</v>
      </c>
      <c r="F15" s="215">
        <v>8</v>
      </c>
      <c r="G15" s="48">
        <f t="shared" si="1"/>
        <v>24</v>
      </c>
      <c r="H15" s="216">
        <v>21</v>
      </c>
      <c r="I15" s="48">
        <f t="shared" si="2"/>
        <v>45</v>
      </c>
      <c r="J15" s="144"/>
      <c r="K15" s="217">
        <v>3</v>
      </c>
      <c r="L15" s="218">
        <v>7</v>
      </c>
      <c r="M15" s="218">
        <v>10</v>
      </c>
      <c r="N15" s="218">
        <v>10</v>
      </c>
      <c r="O15" s="52">
        <f t="shared" si="3"/>
        <v>30</v>
      </c>
      <c r="P15" s="222">
        <v>22</v>
      </c>
      <c r="Q15" s="52">
        <f t="shared" si="4"/>
        <v>52</v>
      </c>
      <c r="R15" s="70"/>
      <c r="S15" s="224">
        <v>6</v>
      </c>
      <c r="T15" s="225">
        <v>2</v>
      </c>
      <c r="U15" s="225">
        <v>5</v>
      </c>
      <c r="V15" s="225">
        <v>5</v>
      </c>
      <c r="W15" s="70">
        <f t="shared" si="0"/>
        <v>18</v>
      </c>
      <c r="X15" s="226">
        <v>26</v>
      </c>
      <c r="Y15" s="70">
        <f t="shared" si="5"/>
        <v>44</v>
      </c>
      <c r="Z15" s="70">
        <f t="shared" si="6"/>
        <v>33</v>
      </c>
      <c r="AA15" s="70" t="str">
        <f t="shared" si="7"/>
        <v>F</v>
      </c>
      <c r="AB15" s="70" t="str">
        <f t="shared" si="8"/>
        <v>Fail</v>
      </c>
      <c r="AC15" s="144"/>
      <c r="AD15" s="228"/>
      <c r="AE15" s="229"/>
      <c r="AF15" s="229"/>
      <c r="AG15" s="229"/>
      <c r="AH15" s="44">
        <f t="shared" si="9"/>
        <v>0</v>
      </c>
      <c r="AI15" s="232"/>
      <c r="AJ15" s="44">
        <f t="shared" si="10"/>
        <v>0</v>
      </c>
      <c r="AK15" s="3"/>
      <c r="AL15" s="234">
        <v>3</v>
      </c>
      <c r="AM15" s="235">
        <v>2</v>
      </c>
      <c r="AN15" s="235">
        <v>10</v>
      </c>
      <c r="AO15" s="235">
        <v>10</v>
      </c>
      <c r="AP15" s="75">
        <f t="shared" si="11"/>
        <v>25</v>
      </c>
      <c r="AQ15" s="241">
        <v>19</v>
      </c>
      <c r="AR15" s="75">
        <f t="shared" si="12"/>
        <v>44</v>
      </c>
      <c r="AS15" s="79"/>
      <c r="AT15" s="242">
        <v>2</v>
      </c>
      <c r="AU15" s="243"/>
      <c r="AV15" s="243">
        <v>5</v>
      </c>
      <c r="AW15" s="243">
        <v>4</v>
      </c>
      <c r="AX15" s="244">
        <v>11</v>
      </c>
      <c r="AY15" s="243">
        <v>15</v>
      </c>
      <c r="AZ15" s="244">
        <v>26</v>
      </c>
      <c r="BA15" s="143"/>
      <c r="BB15" s="245">
        <v>2</v>
      </c>
      <c r="BC15" s="246">
        <v>1</v>
      </c>
      <c r="BD15" s="246">
        <v>3</v>
      </c>
      <c r="BE15" s="246">
        <v>5</v>
      </c>
      <c r="BF15" s="247">
        <v>11</v>
      </c>
      <c r="BG15" s="246">
        <v>33</v>
      </c>
      <c r="BH15" s="247">
        <v>44</v>
      </c>
      <c r="BI15" s="48"/>
      <c r="BJ15" s="249">
        <v>5</v>
      </c>
      <c r="BK15" s="249">
        <v>5</v>
      </c>
      <c r="BL15" s="249">
        <v>10</v>
      </c>
      <c r="BM15" s="249">
        <v>10</v>
      </c>
      <c r="BN15" s="250">
        <v>30</v>
      </c>
      <c r="BO15" s="249">
        <v>17</v>
      </c>
      <c r="BP15" s="250">
        <v>47</v>
      </c>
      <c r="BQ15" s="62"/>
      <c r="BR15" s="252">
        <v>3</v>
      </c>
      <c r="BS15" s="253">
        <v>5</v>
      </c>
      <c r="BT15" s="253">
        <v>10</v>
      </c>
      <c r="BU15" s="253">
        <v>10</v>
      </c>
      <c r="BV15" s="254">
        <v>28</v>
      </c>
      <c r="BW15" s="253">
        <v>21</v>
      </c>
      <c r="BX15" s="254">
        <v>49</v>
      </c>
      <c r="BY15" s="144"/>
      <c r="BZ15" s="255">
        <v>3</v>
      </c>
      <c r="CA15" s="256">
        <v>9</v>
      </c>
      <c r="CB15" s="256">
        <v>10</v>
      </c>
      <c r="CC15" s="256">
        <v>9</v>
      </c>
      <c r="CD15" s="257">
        <v>31</v>
      </c>
      <c r="CE15" s="256">
        <v>23</v>
      </c>
      <c r="CF15" s="257">
        <v>54</v>
      </c>
      <c r="CG15" s="143"/>
      <c r="CH15" s="258">
        <v>3</v>
      </c>
      <c r="CI15" s="259">
        <v>3</v>
      </c>
      <c r="CJ15" s="259">
        <v>8</v>
      </c>
      <c r="CK15" s="259">
        <v>10</v>
      </c>
      <c r="CL15" s="260">
        <v>24</v>
      </c>
      <c r="CM15" s="259">
        <v>23</v>
      </c>
      <c r="CN15" s="260">
        <v>47</v>
      </c>
      <c r="CO15" s="66"/>
      <c r="CP15" s="261">
        <v>2</v>
      </c>
      <c r="CQ15" s="262">
        <v>1</v>
      </c>
      <c r="CR15" s="262">
        <v>8</v>
      </c>
      <c r="CS15" s="262">
        <v>7</v>
      </c>
      <c r="CT15" s="263">
        <v>18</v>
      </c>
      <c r="CU15" s="262">
        <v>10</v>
      </c>
      <c r="CV15" s="263">
        <v>28</v>
      </c>
      <c r="CW15" s="144"/>
      <c r="CX15" s="265">
        <v>7</v>
      </c>
      <c r="CY15" s="272">
        <v>7</v>
      </c>
      <c r="CZ15" s="269">
        <v>8</v>
      </c>
      <c r="DA15" s="270">
        <v>9</v>
      </c>
      <c r="DB15" s="267">
        <v>31</v>
      </c>
      <c r="DC15" s="269">
        <v>16</v>
      </c>
      <c r="DD15" s="267">
        <v>47</v>
      </c>
      <c r="DE15" s="48"/>
      <c r="DF15" s="282">
        <v>5</v>
      </c>
      <c r="DG15" s="283">
        <v>1</v>
      </c>
      <c r="DH15" s="283"/>
      <c r="DI15" s="283"/>
      <c r="DJ15" s="284">
        <v>6</v>
      </c>
      <c r="DK15" s="283"/>
      <c r="DL15" s="284">
        <v>6</v>
      </c>
      <c r="DM15" s="48"/>
      <c r="DN15" s="285">
        <v>1</v>
      </c>
      <c r="DO15" s="286">
        <v>1</v>
      </c>
      <c r="DP15" s="286">
        <v>4</v>
      </c>
      <c r="DQ15" s="286">
        <v>5</v>
      </c>
      <c r="DR15" s="287">
        <v>11</v>
      </c>
      <c r="DS15" s="286">
        <v>11</v>
      </c>
      <c r="DT15" s="287">
        <v>22</v>
      </c>
      <c r="DU15" s="70"/>
      <c r="DV15" s="288">
        <v>1</v>
      </c>
      <c r="DW15" s="289">
        <v>6</v>
      </c>
      <c r="DX15" s="289">
        <v>8</v>
      </c>
      <c r="DY15" s="289">
        <v>10</v>
      </c>
      <c r="DZ15" s="292">
        <v>25</v>
      </c>
      <c r="EA15" s="289"/>
      <c r="EB15" s="292">
        <v>25</v>
      </c>
      <c r="EC15" s="48"/>
      <c r="ED15" s="293">
        <v>3</v>
      </c>
      <c r="EE15" s="294">
        <v>5</v>
      </c>
      <c r="EF15" s="294">
        <v>8</v>
      </c>
      <c r="EG15" s="294">
        <v>8</v>
      </c>
      <c r="EH15" s="297">
        <v>24</v>
      </c>
      <c r="EI15" s="294">
        <v>12</v>
      </c>
      <c r="EJ15" s="297">
        <v>36</v>
      </c>
      <c r="EK15" s="95"/>
      <c r="EL15" s="298">
        <v>8</v>
      </c>
      <c r="EM15" s="299">
        <v>1</v>
      </c>
      <c r="EN15" s="299">
        <v>5</v>
      </c>
      <c r="EO15" s="299">
        <v>5</v>
      </c>
      <c r="EP15" s="302">
        <v>19</v>
      </c>
      <c r="EQ15" s="299">
        <v>14</v>
      </c>
      <c r="ER15" s="302">
        <v>33</v>
      </c>
    </row>
    <row r="16" spans="1:148" ht="15.75">
      <c r="A16" s="212">
        <v>14</v>
      </c>
      <c r="B16" s="143" t="s">
        <v>165</v>
      </c>
      <c r="C16" s="214">
        <v>5</v>
      </c>
      <c r="D16" s="215">
        <v>4</v>
      </c>
      <c r="E16" s="215">
        <v>9</v>
      </c>
      <c r="F16" s="215">
        <v>8</v>
      </c>
      <c r="G16" s="48">
        <f t="shared" si="1"/>
        <v>26</v>
      </c>
      <c r="H16" s="216">
        <v>14</v>
      </c>
      <c r="I16" s="48">
        <f t="shared" si="2"/>
        <v>40</v>
      </c>
      <c r="J16" s="143"/>
      <c r="K16" s="217">
        <v>1</v>
      </c>
      <c r="L16" s="218">
        <v>3</v>
      </c>
      <c r="M16" s="218">
        <v>10</v>
      </c>
      <c r="N16" s="218">
        <v>10</v>
      </c>
      <c r="O16" s="52">
        <f t="shared" si="3"/>
        <v>24</v>
      </c>
      <c r="P16" s="222">
        <v>20</v>
      </c>
      <c r="Q16" s="52">
        <f t="shared" si="4"/>
        <v>44</v>
      </c>
      <c r="R16" s="70"/>
      <c r="S16" s="224">
        <v>9</v>
      </c>
      <c r="T16" s="225">
        <v>6</v>
      </c>
      <c r="U16" s="225">
        <v>5</v>
      </c>
      <c r="V16" s="225">
        <v>5</v>
      </c>
      <c r="W16" s="70">
        <f t="shared" si="0"/>
        <v>25</v>
      </c>
      <c r="X16" s="226">
        <v>30</v>
      </c>
      <c r="Y16" s="70">
        <f t="shared" si="5"/>
        <v>55</v>
      </c>
      <c r="Z16" s="70">
        <f t="shared" si="6"/>
        <v>26</v>
      </c>
      <c r="AA16" s="70" t="str">
        <f t="shared" si="7"/>
        <v>C</v>
      </c>
      <c r="AB16" s="70" t="str">
        <f t="shared" si="8"/>
        <v>Credit</v>
      </c>
      <c r="AC16" s="143"/>
      <c r="AD16" s="228"/>
      <c r="AE16" s="229"/>
      <c r="AF16" s="229"/>
      <c r="AG16" s="229"/>
      <c r="AH16" s="44">
        <f t="shared" si="9"/>
        <v>0</v>
      </c>
      <c r="AI16" s="232"/>
      <c r="AJ16" s="44">
        <f t="shared" si="10"/>
        <v>0</v>
      </c>
      <c r="AK16" s="3"/>
      <c r="AL16" s="234">
        <v>2</v>
      </c>
      <c r="AM16" s="235">
        <v>4</v>
      </c>
      <c r="AN16" s="238">
        <v>8</v>
      </c>
      <c r="AO16" s="235">
        <v>9</v>
      </c>
      <c r="AP16" s="75">
        <f t="shared" si="11"/>
        <v>23</v>
      </c>
      <c r="AQ16" s="241">
        <v>17</v>
      </c>
      <c r="AR16" s="75">
        <f t="shared" si="12"/>
        <v>40</v>
      </c>
      <c r="AS16" s="79"/>
      <c r="AT16" s="242">
        <v>1</v>
      </c>
      <c r="AU16" s="243">
        <v>1</v>
      </c>
      <c r="AV16" s="243">
        <v>5</v>
      </c>
      <c r="AW16" s="243">
        <v>6</v>
      </c>
      <c r="AX16" s="244">
        <v>13</v>
      </c>
      <c r="AY16" s="243">
        <v>13</v>
      </c>
      <c r="AZ16" s="244">
        <v>26</v>
      </c>
      <c r="BA16" s="143"/>
      <c r="BB16" s="245">
        <v>4</v>
      </c>
      <c r="BC16" s="246">
        <v>1</v>
      </c>
      <c r="BD16" s="246">
        <v>3</v>
      </c>
      <c r="BE16" s="246">
        <v>5</v>
      </c>
      <c r="BF16" s="247">
        <v>13</v>
      </c>
      <c r="BG16" s="246">
        <v>29</v>
      </c>
      <c r="BH16" s="247">
        <v>42</v>
      </c>
      <c r="BI16" s="48"/>
      <c r="BJ16" s="249">
        <v>4</v>
      </c>
      <c r="BK16" s="249">
        <v>6</v>
      </c>
      <c r="BL16" s="249">
        <v>10</v>
      </c>
      <c r="BM16" s="249">
        <v>8</v>
      </c>
      <c r="BN16" s="250">
        <v>28</v>
      </c>
      <c r="BO16" s="249">
        <v>17</v>
      </c>
      <c r="BP16" s="250">
        <v>45</v>
      </c>
      <c r="BQ16" s="62"/>
      <c r="BR16" s="252">
        <v>7</v>
      </c>
      <c r="BS16" s="253">
        <v>3</v>
      </c>
      <c r="BT16" s="253">
        <v>7</v>
      </c>
      <c r="BU16" s="253">
        <v>10</v>
      </c>
      <c r="BV16" s="254">
        <v>27</v>
      </c>
      <c r="BW16" s="253">
        <v>14</v>
      </c>
      <c r="BX16" s="254">
        <v>41</v>
      </c>
      <c r="BY16" s="143"/>
      <c r="BZ16" s="255">
        <v>3</v>
      </c>
      <c r="CA16" s="256">
        <v>2</v>
      </c>
      <c r="CB16" s="256">
        <v>9</v>
      </c>
      <c r="CC16" s="256">
        <v>6</v>
      </c>
      <c r="CD16" s="257">
        <v>20</v>
      </c>
      <c r="CE16" s="256">
        <v>22</v>
      </c>
      <c r="CF16" s="257">
        <v>42</v>
      </c>
      <c r="CG16" s="143"/>
      <c r="CH16" s="258">
        <v>5</v>
      </c>
      <c r="CI16" s="259">
        <v>6</v>
      </c>
      <c r="CJ16" s="259">
        <v>2</v>
      </c>
      <c r="CK16" s="259">
        <v>5</v>
      </c>
      <c r="CL16" s="260">
        <v>18</v>
      </c>
      <c r="CM16" s="259">
        <v>26</v>
      </c>
      <c r="CN16" s="260">
        <v>44</v>
      </c>
      <c r="CO16" s="66"/>
      <c r="CP16" s="261">
        <v>6</v>
      </c>
      <c r="CQ16" s="262">
        <v>3</v>
      </c>
      <c r="CR16" s="262">
        <v>8</v>
      </c>
      <c r="CS16" s="262">
        <v>6</v>
      </c>
      <c r="CT16" s="263">
        <v>23</v>
      </c>
      <c r="CU16" s="262">
        <v>25</v>
      </c>
      <c r="CV16" s="263">
        <v>48</v>
      </c>
      <c r="CW16" s="143"/>
      <c r="CX16" s="265">
        <v>5</v>
      </c>
      <c r="CY16" s="271">
        <v>5</v>
      </c>
      <c r="CZ16" s="269">
        <v>9</v>
      </c>
      <c r="DA16" s="270">
        <v>10</v>
      </c>
      <c r="DB16" s="267">
        <v>29</v>
      </c>
      <c r="DC16" s="278">
        <v>12</v>
      </c>
      <c r="DD16" s="267">
        <v>41</v>
      </c>
      <c r="DE16" s="48"/>
      <c r="DF16" s="282">
        <v>5</v>
      </c>
      <c r="DG16" s="283">
        <v>1</v>
      </c>
      <c r="DH16" s="283">
        <v>4</v>
      </c>
      <c r="DI16" s="283">
        <v>5</v>
      </c>
      <c r="DJ16" s="284">
        <v>15</v>
      </c>
      <c r="DK16" s="283">
        <v>25</v>
      </c>
      <c r="DL16" s="284">
        <v>40</v>
      </c>
      <c r="DM16" s="48"/>
      <c r="DN16" s="285">
        <v>4</v>
      </c>
      <c r="DO16" s="286">
        <v>2</v>
      </c>
      <c r="DP16" s="286">
        <v>5</v>
      </c>
      <c r="DQ16" s="286">
        <v>5</v>
      </c>
      <c r="DR16" s="287">
        <v>16</v>
      </c>
      <c r="DS16" s="286">
        <v>11</v>
      </c>
      <c r="DT16" s="287">
        <v>27</v>
      </c>
      <c r="DU16" s="70"/>
      <c r="DV16" s="288">
        <v>6</v>
      </c>
      <c r="DW16" s="289">
        <v>3</v>
      </c>
      <c r="DX16" s="289">
        <v>7</v>
      </c>
      <c r="DY16" s="289">
        <v>10</v>
      </c>
      <c r="DZ16" s="292">
        <v>26</v>
      </c>
      <c r="EA16" s="289">
        <v>22</v>
      </c>
      <c r="EB16" s="292">
        <v>48</v>
      </c>
      <c r="EC16" s="48"/>
      <c r="ED16" s="293">
        <v>7</v>
      </c>
      <c r="EE16" s="294">
        <v>5</v>
      </c>
      <c r="EF16" s="294">
        <v>8</v>
      </c>
      <c r="EG16" s="294">
        <v>8</v>
      </c>
      <c r="EH16" s="297">
        <v>28</v>
      </c>
      <c r="EI16" s="294">
        <v>28</v>
      </c>
      <c r="EJ16" s="297">
        <v>56</v>
      </c>
      <c r="EK16" s="95"/>
      <c r="EL16" s="298">
        <v>10</v>
      </c>
      <c r="EM16" s="299">
        <v>5</v>
      </c>
      <c r="EN16" s="299">
        <v>5</v>
      </c>
      <c r="EO16" s="299">
        <v>5</v>
      </c>
      <c r="EP16" s="302">
        <v>25</v>
      </c>
      <c r="EQ16" s="299">
        <v>29</v>
      </c>
      <c r="ER16" s="302">
        <v>54</v>
      </c>
    </row>
    <row r="17" spans="1:148" ht="15.75">
      <c r="A17" s="211">
        <v>15</v>
      </c>
      <c r="B17" s="144" t="s">
        <v>166</v>
      </c>
      <c r="C17" s="214">
        <v>9</v>
      </c>
      <c r="D17" s="215">
        <v>10</v>
      </c>
      <c r="E17" s="215">
        <v>10</v>
      </c>
      <c r="F17" s="215">
        <v>10</v>
      </c>
      <c r="G17" s="48">
        <f t="shared" si="1"/>
        <v>39</v>
      </c>
      <c r="H17" s="216">
        <v>50</v>
      </c>
      <c r="I17" s="48">
        <f t="shared" si="2"/>
        <v>89</v>
      </c>
      <c r="J17" s="144"/>
      <c r="K17" s="217">
        <v>9</v>
      </c>
      <c r="L17" s="218">
        <v>5</v>
      </c>
      <c r="M17" s="218">
        <v>10</v>
      </c>
      <c r="N17" s="218">
        <v>10</v>
      </c>
      <c r="O17" s="52">
        <f t="shared" si="3"/>
        <v>34</v>
      </c>
      <c r="P17" s="222">
        <v>35</v>
      </c>
      <c r="Q17" s="52">
        <f t="shared" si="4"/>
        <v>69</v>
      </c>
      <c r="R17" s="70"/>
      <c r="S17" s="224">
        <v>10</v>
      </c>
      <c r="T17" s="225">
        <v>6</v>
      </c>
      <c r="U17" s="225">
        <v>5</v>
      </c>
      <c r="V17" s="225">
        <v>5</v>
      </c>
      <c r="W17" s="70">
        <f t="shared" si="0"/>
        <v>26</v>
      </c>
      <c r="X17" s="226">
        <v>45</v>
      </c>
      <c r="Y17" s="70">
        <f t="shared" si="5"/>
        <v>71</v>
      </c>
      <c r="Z17" s="70">
        <f t="shared" si="6"/>
        <v>9</v>
      </c>
      <c r="AA17" s="70" t="str">
        <f t="shared" si="7"/>
        <v>A</v>
      </c>
      <c r="AB17" s="70" t="str">
        <f t="shared" si="8"/>
        <v>Excellent</v>
      </c>
      <c r="AC17" s="144"/>
      <c r="AD17" s="228"/>
      <c r="AE17" s="229"/>
      <c r="AF17" s="229"/>
      <c r="AG17" s="229"/>
      <c r="AH17" s="44">
        <f t="shared" si="9"/>
        <v>0</v>
      </c>
      <c r="AI17" s="232"/>
      <c r="AJ17" s="44">
        <f t="shared" si="10"/>
        <v>0</v>
      </c>
      <c r="AK17" s="3"/>
      <c r="AL17" s="234">
        <v>8</v>
      </c>
      <c r="AM17" s="235">
        <v>8</v>
      </c>
      <c r="AN17" s="235">
        <v>9</v>
      </c>
      <c r="AO17" s="235">
        <v>9</v>
      </c>
      <c r="AP17" s="75">
        <f t="shared" si="11"/>
        <v>34</v>
      </c>
      <c r="AQ17" s="241">
        <v>27</v>
      </c>
      <c r="AR17" s="75">
        <f t="shared" si="12"/>
        <v>61</v>
      </c>
      <c r="AS17" s="79"/>
      <c r="AT17" s="242">
        <v>3</v>
      </c>
      <c r="AU17" s="243">
        <v>1</v>
      </c>
      <c r="AV17" s="243">
        <v>5</v>
      </c>
      <c r="AW17" s="243">
        <v>4</v>
      </c>
      <c r="AX17" s="244">
        <v>13</v>
      </c>
      <c r="AY17" s="243">
        <v>38</v>
      </c>
      <c r="AZ17" s="244">
        <v>51</v>
      </c>
      <c r="BA17" s="143"/>
      <c r="BB17" s="245">
        <v>10</v>
      </c>
      <c r="BC17" s="246">
        <v>8</v>
      </c>
      <c r="BD17" s="246">
        <v>9</v>
      </c>
      <c r="BE17" s="246">
        <v>5</v>
      </c>
      <c r="BF17" s="247">
        <v>32</v>
      </c>
      <c r="BG17" s="246">
        <v>53</v>
      </c>
      <c r="BH17" s="247">
        <v>85</v>
      </c>
      <c r="BI17" s="48"/>
      <c r="BJ17" s="249">
        <v>8</v>
      </c>
      <c r="BK17" s="249">
        <v>8</v>
      </c>
      <c r="BL17" s="249">
        <v>10</v>
      </c>
      <c r="BM17" s="249">
        <v>10</v>
      </c>
      <c r="BN17" s="250">
        <v>36</v>
      </c>
      <c r="BO17" s="249">
        <v>47</v>
      </c>
      <c r="BP17" s="250">
        <v>83</v>
      </c>
      <c r="BQ17" s="62"/>
      <c r="BR17" s="252">
        <v>10</v>
      </c>
      <c r="BS17" s="253">
        <v>10</v>
      </c>
      <c r="BT17" s="253">
        <v>10</v>
      </c>
      <c r="BU17" s="253">
        <v>10</v>
      </c>
      <c r="BV17" s="254">
        <v>40</v>
      </c>
      <c r="BW17" s="253">
        <v>44</v>
      </c>
      <c r="BX17" s="254">
        <v>84</v>
      </c>
      <c r="BY17" s="144"/>
      <c r="BZ17" s="255">
        <v>8</v>
      </c>
      <c r="CA17" s="256">
        <v>3</v>
      </c>
      <c r="CB17" s="256">
        <v>10</v>
      </c>
      <c r="CC17" s="256">
        <v>5</v>
      </c>
      <c r="CD17" s="257">
        <v>26</v>
      </c>
      <c r="CE17" s="256">
        <v>39</v>
      </c>
      <c r="CF17" s="257">
        <v>65</v>
      </c>
      <c r="CG17" s="143"/>
      <c r="CH17" s="258">
        <v>7</v>
      </c>
      <c r="CI17" s="259">
        <v>5</v>
      </c>
      <c r="CJ17" s="259">
        <v>10</v>
      </c>
      <c r="CK17" s="259">
        <v>10</v>
      </c>
      <c r="CL17" s="260">
        <v>32</v>
      </c>
      <c r="CM17" s="259">
        <v>50</v>
      </c>
      <c r="CN17" s="260">
        <v>82</v>
      </c>
      <c r="CO17" s="66"/>
      <c r="CP17" s="261">
        <v>9</v>
      </c>
      <c r="CQ17" s="262">
        <v>6</v>
      </c>
      <c r="CR17" s="262">
        <v>7</v>
      </c>
      <c r="CS17" s="262">
        <v>7</v>
      </c>
      <c r="CT17" s="263">
        <v>29</v>
      </c>
      <c r="CU17" s="262">
        <v>35</v>
      </c>
      <c r="CV17" s="263">
        <v>64</v>
      </c>
      <c r="CW17" s="144"/>
      <c r="CX17" s="265">
        <v>8</v>
      </c>
      <c r="CY17" s="271">
        <v>8</v>
      </c>
      <c r="CZ17" s="269">
        <v>7</v>
      </c>
      <c r="DA17" s="270">
        <v>9</v>
      </c>
      <c r="DB17" s="267">
        <v>32</v>
      </c>
      <c r="DC17" s="279">
        <v>20</v>
      </c>
      <c r="DD17" s="267">
        <v>52</v>
      </c>
      <c r="DE17" s="48"/>
      <c r="DF17" s="282">
        <v>10</v>
      </c>
      <c r="DG17" s="283">
        <v>4</v>
      </c>
      <c r="DH17" s="283">
        <v>10</v>
      </c>
      <c r="DI17" s="283">
        <v>10</v>
      </c>
      <c r="DJ17" s="284">
        <v>34</v>
      </c>
      <c r="DK17" s="283">
        <v>53</v>
      </c>
      <c r="DL17" s="284">
        <v>87</v>
      </c>
      <c r="DM17" s="48"/>
      <c r="DN17" s="285">
        <v>5</v>
      </c>
      <c r="DO17" s="286">
        <v>8</v>
      </c>
      <c r="DP17" s="286">
        <v>4</v>
      </c>
      <c r="DQ17" s="286">
        <v>5</v>
      </c>
      <c r="DR17" s="287">
        <v>22</v>
      </c>
      <c r="DS17" s="286">
        <v>34</v>
      </c>
      <c r="DT17" s="287">
        <v>56</v>
      </c>
      <c r="DU17" s="70"/>
      <c r="DV17" s="288">
        <v>10</v>
      </c>
      <c r="DW17" s="289">
        <v>6</v>
      </c>
      <c r="DX17" s="289">
        <v>8</v>
      </c>
      <c r="DY17" s="289">
        <v>10</v>
      </c>
      <c r="DZ17" s="292">
        <v>34</v>
      </c>
      <c r="EA17" s="289">
        <v>41</v>
      </c>
      <c r="EB17" s="292">
        <v>75</v>
      </c>
      <c r="EC17" s="48"/>
      <c r="ED17" s="293">
        <v>9</v>
      </c>
      <c r="EE17" s="294">
        <v>9</v>
      </c>
      <c r="EF17" s="294">
        <v>10</v>
      </c>
      <c r="EG17" s="294">
        <v>10</v>
      </c>
      <c r="EH17" s="297">
        <v>38</v>
      </c>
      <c r="EI17" s="294">
        <v>36</v>
      </c>
      <c r="EJ17" s="297">
        <v>74</v>
      </c>
      <c r="EK17" s="95"/>
      <c r="EL17" s="298">
        <v>8</v>
      </c>
      <c r="EM17" s="299">
        <v>7</v>
      </c>
      <c r="EN17" s="299">
        <v>5</v>
      </c>
      <c r="EO17" s="299">
        <v>5</v>
      </c>
      <c r="EP17" s="302">
        <v>25</v>
      </c>
      <c r="EQ17" s="299">
        <v>47</v>
      </c>
      <c r="ER17" s="302">
        <v>72</v>
      </c>
    </row>
    <row r="18" spans="1:148" ht="15.75">
      <c r="A18" s="212">
        <v>16</v>
      </c>
      <c r="B18" s="148" t="s">
        <v>167</v>
      </c>
      <c r="C18" s="214">
        <v>1</v>
      </c>
      <c r="D18" s="215">
        <v>5</v>
      </c>
      <c r="E18" s="215">
        <v>10</v>
      </c>
      <c r="F18" s="215">
        <v>9</v>
      </c>
      <c r="G18" s="48">
        <f t="shared" si="1"/>
        <v>25</v>
      </c>
      <c r="H18" s="216">
        <v>20</v>
      </c>
      <c r="I18" s="48">
        <f t="shared" si="2"/>
        <v>45</v>
      </c>
      <c r="J18" s="148"/>
      <c r="K18" s="217">
        <v>1</v>
      </c>
      <c r="L18" s="218">
        <v>5</v>
      </c>
      <c r="M18" s="218"/>
      <c r="N18" s="218">
        <v>10</v>
      </c>
      <c r="O18" s="52">
        <f t="shared" si="3"/>
        <v>16</v>
      </c>
      <c r="P18" s="222">
        <v>19</v>
      </c>
      <c r="Q18" s="52">
        <f t="shared" si="4"/>
        <v>35</v>
      </c>
      <c r="R18" s="70"/>
      <c r="S18" s="224">
        <v>4</v>
      </c>
      <c r="T18" s="225">
        <v>4</v>
      </c>
      <c r="U18" s="225">
        <v>5</v>
      </c>
      <c r="V18" s="225">
        <v>5</v>
      </c>
      <c r="W18" s="70">
        <f t="shared" si="0"/>
        <v>18</v>
      </c>
      <c r="X18" s="226">
        <v>30</v>
      </c>
      <c r="Y18" s="70">
        <f t="shared" si="5"/>
        <v>48</v>
      </c>
      <c r="Z18" s="70">
        <f t="shared" si="6"/>
        <v>30</v>
      </c>
      <c r="AA18" s="70" t="str">
        <f t="shared" si="7"/>
        <v>P</v>
      </c>
      <c r="AB18" s="70" t="str">
        <f t="shared" si="8"/>
        <v>Pass</v>
      </c>
      <c r="AC18" s="148"/>
      <c r="AD18" s="228"/>
      <c r="AE18" s="229"/>
      <c r="AF18" s="229"/>
      <c r="AG18" s="229"/>
      <c r="AH18" s="44">
        <f t="shared" si="9"/>
        <v>0</v>
      </c>
      <c r="AI18" s="232"/>
      <c r="AJ18" s="44">
        <f t="shared" si="10"/>
        <v>0</v>
      </c>
      <c r="AK18" s="3"/>
      <c r="AL18" s="234">
        <v>1</v>
      </c>
      <c r="AM18" s="235">
        <v>2</v>
      </c>
      <c r="AN18" s="235">
        <v>8</v>
      </c>
      <c r="AO18" s="235">
        <v>8</v>
      </c>
      <c r="AP18" s="75">
        <f t="shared" si="11"/>
        <v>19</v>
      </c>
      <c r="AQ18" s="241">
        <v>21</v>
      </c>
      <c r="AR18" s="75">
        <f t="shared" si="12"/>
        <v>40</v>
      </c>
      <c r="AS18" s="79"/>
      <c r="AT18" s="242">
        <v>1</v>
      </c>
      <c r="AU18" s="243">
        <v>4</v>
      </c>
      <c r="AV18" s="243">
        <v>5</v>
      </c>
      <c r="AW18" s="243">
        <v>4</v>
      </c>
      <c r="AX18" s="244">
        <v>14</v>
      </c>
      <c r="AY18" s="243">
        <v>22</v>
      </c>
      <c r="AZ18" s="244">
        <v>36</v>
      </c>
      <c r="BA18" s="148"/>
      <c r="BB18" s="245">
        <v>2</v>
      </c>
      <c r="BC18" s="246">
        <v>1</v>
      </c>
      <c r="BD18" s="246">
        <v>4</v>
      </c>
      <c r="BE18" s="246">
        <v>6</v>
      </c>
      <c r="BF18" s="247">
        <v>13</v>
      </c>
      <c r="BG18" s="246">
        <v>15</v>
      </c>
      <c r="BH18" s="247">
        <v>28</v>
      </c>
      <c r="BI18" s="48"/>
      <c r="BJ18" s="249">
        <v>2</v>
      </c>
      <c r="BK18" s="249">
        <v>6</v>
      </c>
      <c r="BL18" s="249">
        <v>10</v>
      </c>
      <c r="BM18" s="249">
        <v>10</v>
      </c>
      <c r="BN18" s="250">
        <v>28</v>
      </c>
      <c r="BO18" s="249">
        <v>14</v>
      </c>
      <c r="BP18" s="250">
        <v>42</v>
      </c>
      <c r="BQ18" s="62"/>
      <c r="BR18" s="252">
        <v>5</v>
      </c>
      <c r="BS18" s="253">
        <v>2</v>
      </c>
      <c r="BT18" s="253">
        <v>10</v>
      </c>
      <c r="BU18" s="253">
        <v>10</v>
      </c>
      <c r="BV18" s="254">
        <v>27</v>
      </c>
      <c r="BW18" s="253">
        <v>22</v>
      </c>
      <c r="BX18" s="254">
        <v>49</v>
      </c>
      <c r="BY18" s="148"/>
      <c r="BZ18" s="255">
        <v>1</v>
      </c>
      <c r="CA18" s="256">
        <v>2</v>
      </c>
      <c r="CB18" s="256">
        <v>10</v>
      </c>
      <c r="CC18" s="256">
        <v>5</v>
      </c>
      <c r="CD18" s="257">
        <v>18</v>
      </c>
      <c r="CE18" s="256">
        <v>18</v>
      </c>
      <c r="CF18" s="257">
        <v>36</v>
      </c>
      <c r="CG18" s="148"/>
      <c r="CH18" s="258">
        <v>1</v>
      </c>
      <c r="CI18" s="259">
        <v>2</v>
      </c>
      <c r="CJ18" s="259">
        <v>8</v>
      </c>
      <c r="CK18" s="259">
        <v>10</v>
      </c>
      <c r="CL18" s="260">
        <v>21</v>
      </c>
      <c r="CM18" s="259">
        <v>17</v>
      </c>
      <c r="CN18" s="260">
        <v>38</v>
      </c>
      <c r="CO18" s="66"/>
      <c r="CP18" s="261">
        <v>2</v>
      </c>
      <c r="CQ18" s="262">
        <v>1</v>
      </c>
      <c r="CR18" s="262">
        <v>10</v>
      </c>
      <c r="CS18" s="262">
        <v>7</v>
      </c>
      <c r="CT18" s="263">
        <v>20</v>
      </c>
      <c r="CU18" s="262">
        <v>16</v>
      </c>
      <c r="CV18" s="263">
        <v>36</v>
      </c>
      <c r="CW18" s="148"/>
      <c r="CX18" s="265">
        <v>3</v>
      </c>
      <c r="CY18" s="271">
        <v>3</v>
      </c>
      <c r="CZ18" s="269">
        <v>10</v>
      </c>
      <c r="DA18" s="270">
        <v>10</v>
      </c>
      <c r="DB18" s="267">
        <v>26</v>
      </c>
      <c r="DC18" s="279">
        <v>15</v>
      </c>
      <c r="DD18" s="267">
        <v>41</v>
      </c>
      <c r="DE18" s="48"/>
      <c r="DF18" s="282">
        <v>2</v>
      </c>
      <c r="DG18" s="283">
        <v>2</v>
      </c>
      <c r="DH18" s="283">
        <v>9</v>
      </c>
      <c r="DI18" s="283">
        <v>10</v>
      </c>
      <c r="DJ18" s="284">
        <v>23</v>
      </c>
      <c r="DK18" s="283">
        <v>15</v>
      </c>
      <c r="DL18" s="284">
        <v>38</v>
      </c>
      <c r="DM18" s="48"/>
      <c r="DN18" s="285">
        <v>1</v>
      </c>
      <c r="DO18" s="286">
        <v>1</v>
      </c>
      <c r="DP18" s="286">
        <v>5</v>
      </c>
      <c r="DQ18" s="286">
        <v>5</v>
      </c>
      <c r="DR18" s="287">
        <v>12</v>
      </c>
      <c r="DS18" s="286">
        <v>12</v>
      </c>
      <c r="DT18" s="287">
        <v>24</v>
      </c>
      <c r="DU18" s="70"/>
      <c r="DV18" s="288">
        <v>1</v>
      </c>
      <c r="DW18" s="289">
        <v>3</v>
      </c>
      <c r="DX18" s="289">
        <v>8</v>
      </c>
      <c r="DY18" s="289">
        <v>10</v>
      </c>
      <c r="DZ18" s="292">
        <v>22</v>
      </c>
      <c r="EA18" s="289">
        <v>12</v>
      </c>
      <c r="EB18" s="292">
        <v>34</v>
      </c>
      <c r="EC18" s="48"/>
      <c r="ED18" s="293">
        <v>4</v>
      </c>
      <c r="EE18" s="294">
        <v>5</v>
      </c>
      <c r="EF18" s="294">
        <v>8</v>
      </c>
      <c r="EG18" s="294">
        <v>9</v>
      </c>
      <c r="EH18" s="297">
        <v>26</v>
      </c>
      <c r="EI18" s="294">
        <v>21</v>
      </c>
      <c r="EJ18" s="297">
        <v>47</v>
      </c>
      <c r="EK18" s="95"/>
      <c r="EL18" s="298">
        <v>2</v>
      </c>
      <c r="EM18" s="299">
        <v>1</v>
      </c>
      <c r="EN18" s="299">
        <v>10</v>
      </c>
      <c r="EO18" s="299">
        <v>10</v>
      </c>
      <c r="EP18" s="302">
        <v>23</v>
      </c>
      <c r="EQ18" s="299">
        <v>18</v>
      </c>
      <c r="ER18" s="302">
        <v>41</v>
      </c>
    </row>
    <row r="19" spans="1:148" ht="15.75">
      <c r="A19" s="211">
        <v>17</v>
      </c>
      <c r="B19" s="144" t="s">
        <v>168</v>
      </c>
      <c r="C19" s="214">
        <v>6</v>
      </c>
      <c r="D19" s="215"/>
      <c r="E19" s="215">
        <v>10</v>
      </c>
      <c r="F19" s="215">
        <v>10</v>
      </c>
      <c r="G19" s="48">
        <f t="shared" si="1"/>
        <v>26</v>
      </c>
      <c r="H19" s="216">
        <v>23</v>
      </c>
      <c r="I19" s="48">
        <f t="shared" si="2"/>
        <v>49</v>
      </c>
      <c r="J19" s="144"/>
      <c r="K19" s="217">
        <v>3</v>
      </c>
      <c r="L19" s="218">
        <v>1</v>
      </c>
      <c r="M19" s="218">
        <v>10</v>
      </c>
      <c r="N19" s="218">
        <v>10</v>
      </c>
      <c r="O19" s="52">
        <f t="shared" si="3"/>
        <v>24</v>
      </c>
      <c r="P19" s="222">
        <v>18</v>
      </c>
      <c r="Q19" s="52">
        <f t="shared" si="4"/>
        <v>42</v>
      </c>
      <c r="R19" s="70"/>
      <c r="S19" s="224">
        <v>1</v>
      </c>
      <c r="T19" s="225">
        <v>4</v>
      </c>
      <c r="U19" s="225">
        <v>5</v>
      </c>
      <c r="V19" s="225">
        <v>5</v>
      </c>
      <c r="W19" s="70">
        <f t="shared" si="0"/>
        <v>15</v>
      </c>
      <c r="X19" s="226">
        <v>18</v>
      </c>
      <c r="Y19" s="70">
        <f t="shared" si="5"/>
        <v>33</v>
      </c>
      <c r="Z19" s="70">
        <f t="shared" si="6"/>
        <v>38</v>
      </c>
      <c r="AA19" s="70" t="str">
        <f t="shared" si="7"/>
        <v>F</v>
      </c>
      <c r="AB19" s="70" t="str">
        <f t="shared" si="8"/>
        <v>Fail</v>
      </c>
      <c r="AC19" s="144"/>
      <c r="AD19" s="228"/>
      <c r="AE19" s="229"/>
      <c r="AF19" s="229"/>
      <c r="AG19" s="229"/>
      <c r="AH19" s="44">
        <f t="shared" si="9"/>
        <v>0</v>
      </c>
      <c r="AI19" s="232"/>
      <c r="AJ19" s="44">
        <f t="shared" si="10"/>
        <v>0</v>
      </c>
      <c r="AK19" s="3"/>
      <c r="AL19" s="234">
        <v>2</v>
      </c>
      <c r="AM19" s="235">
        <v>3</v>
      </c>
      <c r="AN19" s="238">
        <v>10</v>
      </c>
      <c r="AO19" s="235">
        <v>9</v>
      </c>
      <c r="AP19" s="75">
        <f t="shared" si="11"/>
        <v>24</v>
      </c>
      <c r="AQ19" s="241">
        <v>17</v>
      </c>
      <c r="AR19" s="75">
        <f t="shared" si="12"/>
        <v>41</v>
      </c>
      <c r="AS19" s="79"/>
      <c r="AT19" s="242">
        <v>1</v>
      </c>
      <c r="AU19" s="243">
        <v>3</v>
      </c>
      <c r="AV19" s="243">
        <v>10</v>
      </c>
      <c r="AW19" s="243">
        <v>4</v>
      </c>
      <c r="AX19" s="244">
        <v>18</v>
      </c>
      <c r="AY19" s="243">
        <v>13</v>
      </c>
      <c r="AZ19" s="244">
        <v>31</v>
      </c>
      <c r="BA19" s="143"/>
      <c r="BB19" s="245">
        <v>2</v>
      </c>
      <c r="BC19" s="246">
        <v>1</v>
      </c>
      <c r="BD19" s="246">
        <v>2</v>
      </c>
      <c r="BE19" s="246">
        <v>5</v>
      </c>
      <c r="BF19" s="247">
        <v>10</v>
      </c>
      <c r="BG19" s="246">
        <v>16</v>
      </c>
      <c r="BH19" s="247">
        <v>26</v>
      </c>
      <c r="BI19" s="48"/>
      <c r="BJ19" s="249">
        <v>1</v>
      </c>
      <c r="BK19" s="249">
        <v>4</v>
      </c>
      <c r="BL19" s="249">
        <v>10</v>
      </c>
      <c r="BM19" s="249">
        <v>9</v>
      </c>
      <c r="BN19" s="250">
        <v>24</v>
      </c>
      <c r="BO19" s="249">
        <v>14</v>
      </c>
      <c r="BP19" s="250">
        <v>38</v>
      </c>
      <c r="BQ19" s="62"/>
      <c r="BR19" s="252">
        <v>2</v>
      </c>
      <c r="BS19" s="253">
        <v>1</v>
      </c>
      <c r="BT19" s="253">
        <v>5</v>
      </c>
      <c r="BU19" s="253">
        <v>10</v>
      </c>
      <c r="BV19" s="254">
        <v>18</v>
      </c>
      <c r="BW19" s="253">
        <v>18</v>
      </c>
      <c r="BX19" s="254">
        <v>36</v>
      </c>
      <c r="BY19" s="144"/>
      <c r="BZ19" s="255">
        <v>1</v>
      </c>
      <c r="CA19" s="256">
        <v>5</v>
      </c>
      <c r="CB19" s="256">
        <v>8</v>
      </c>
      <c r="CC19" s="256">
        <v>5</v>
      </c>
      <c r="CD19" s="257">
        <v>19</v>
      </c>
      <c r="CE19" s="256">
        <v>27</v>
      </c>
      <c r="CF19" s="257">
        <v>46</v>
      </c>
      <c r="CG19" s="143"/>
      <c r="CH19" s="258">
        <v>1</v>
      </c>
      <c r="CI19" s="259">
        <v>6</v>
      </c>
      <c r="CJ19" s="259">
        <v>8</v>
      </c>
      <c r="CK19" s="259">
        <v>10</v>
      </c>
      <c r="CL19" s="260">
        <v>25</v>
      </c>
      <c r="CM19" s="259">
        <v>18</v>
      </c>
      <c r="CN19" s="260">
        <v>43</v>
      </c>
      <c r="CO19" s="66"/>
      <c r="CP19" s="261">
        <v>2</v>
      </c>
      <c r="CQ19" s="262">
        <v>4</v>
      </c>
      <c r="CR19" s="262">
        <v>10</v>
      </c>
      <c r="CS19" s="262">
        <v>8</v>
      </c>
      <c r="CT19" s="263">
        <v>24</v>
      </c>
      <c r="CU19" s="262">
        <v>16</v>
      </c>
      <c r="CV19" s="263">
        <v>40</v>
      </c>
      <c r="CW19" s="144"/>
      <c r="CX19" s="265">
        <v>3</v>
      </c>
      <c r="CY19" s="272">
        <v>4</v>
      </c>
      <c r="CZ19" s="269">
        <v>10</v>
      </c>
      <c r="DA19" s="270">
        <v>10</v>
      </c>
      <c r="DB19" s="267">
        <v>27</v>
      </c>
      <c r="DC19" s="279">
        <v>21</v>
      </c>
      <c r="DD19" s="267">
        <v>48</v>
      </c>
      <c r="DE19" s="48"/>
      <c r="DF19" s="282">
        <v>1</v>
      </c>
      <c r="DG19" s="283">
        <v>1</v>
      </c>
      <c r="DH19" s="283">
        <v>10</v>
      </c>
      <c r="DI19" s="283">
        <v>10</v>
      </c>
      <c r="DJ19" s="284">
        <v>22</v>
      </c>
      <c r="DK19" s="283">
        <v>16</v>
      </c>
      <c r="DL19" s="284">
        <v>38</v>
      </c>
      <c r="DM19" s="48"/>
      <c r="DN19" s="285">
        <v>1</v>
      </c>
      <c r="DO19" s="286">
        <v>4</v>
      </c>
      <c r="DP19" s="286">
        <v>5</v>
      </c>
      <c r="DQ19" s="286">
        <v>5</v>
      </c>
      <c r="DR19" s="287">
        <v>15</v>
      </c>
      <c r="DS19" s="286">
        <v>23</v>
      </c>
      <c r="DT19" s="287">
        <v>38</v>
      </c>
      <c r="DU19" s="70"/>
      <c r="DV19" s="288">
        <v>1</v>
      </c>
      <c r="DW19" s="289"/>
      <c r="DX19" s="289">
        <v>8</v>
      </c>
      <c r="DY19" s="289">
        <v>10</v>
      </c>
      <c r="DZ19" s="292">
        <v>19</v>
      </c>
      <c r="EA19" s="289">
        <v>13</v>
      </c>
      <c r="EB19" s="292">
        <v>32</v>
      </c>
      <c r="EC19" s="48"/>
      <c r="ED19" s="293">
        <v>2</v>
      </c>
      <c r="EE19" s="294">
        <v>5</v>
      </c>
      <c r="EF19" s="294">
        <v>10</v>
      </c>
      <c r="EG19" s="294">
        <v>10</v>
      </c>
      <c r="EH19" s="297">
        <v>27</v>
      </c>
      <c r="EI19" s="294">
        <v>17</v>
      </c>
      <c r="EJ19" s="297">
        <v>44</v>
      </c>
      <c r="EK19" s="95"/>
      <c r="EL19" s="298">
        <v>1</v>
      </c>
      <c r="EM19" s="299">
        <v>1</v>
      </c>
      <c r="EN19" s="299">
        <v>5</v>
      </c>
      <c r="EO19" s="299">
        <v>5</v>
      </c>
      <c r="EP19" s="302">
        <v>12</v>
      </c>
      <c r="EQ19" s="299"/>
      <c r="ER19" s="302">
        <v>12</v>
      </c>
    </row>
    <row r="20" spans="1:148" ht="15.75">
      <c r="A20" s="212">
        <v>18</v>
      </c>
      <c r="B20" s="142" t="s">
        <v>169</v>
      </c>
      <c r="C20" s="214">
        <v>7</v>
      </c>
      <c r="D20" s="215">
        <v>7</v>
      </c>
      <c r="E20" s="215">
        <v>9</v>
      </c>
      <c r="F20" s="215">
        <v>10</v>
      </c>
      <c r="G20" s="48">
        <f t="shared" si="1"/>
        <v>33</v>
      </c>
      <c r="H20" s="216">
        <v>26</v>
      </c>
      <c r="I20" s="48">
        <f t="shared" si="2"/>
        <v>59</v>
      </c>
      <c r="J20" s="142"/>
      <c r="K20" s="217">
        <v>5</v>
      </c>
      <c r="L20" s="218">
        <v>3</v>
      </c>
      <c r="M20" s="218">
        <v>10</v>
      </c>
      <c r="N20" s="218">
        <v>10</v>
      </c>
      <c r="O20" s="52">
        <f t="shared" si="3"/>
        <v>28</v>
      </c>
      <c r="P20" s="222">
        <v>11</v>
      </c>
      <c r="Q20" s="52">
        <f t="shared" si="4"/>
        <v>39</v>
      </c>
      <c r="R20" s="70"/>
      <c r="S20" s="224">
        <v>9</v>
      </c>
      <c r="T20" s="225">
        <v>6</v>
      </c>
      <c r="U20" s="225">
        <v>5</v>
      </c>
      <c r="V20" s="225">
        <v>5</v>
      </c>
      <c r="W20" s="70">
        <f t="shared" si="0"/>
        <v>25</v>
      </c>
      <c r="X20" s="226">
        <v>31</v>
      </c>
      <c r="Y20" s="70">
        <f t="shared" si="5"/>
        <v>56</v>
      </c>
      <c r="Z20" s="70">
        <f t="shared" si="6"/>
        <v>25</v>
      </c>
      <c r="AA20" s="70" t="str">
        <f t="shared" si="7"/>
        <v>C</v>
      </c>
      <c r="AB20" s="70" t="str">
        <f t="shared" si="8"/>
        <v>Credit</v>
      </c>
      <c r="AC20" s="142"/>
      <c r="AD20" s="228"/>
      <c r="AE20" s="229"/>
      <c r="AF20" s="229"/>
      <c r="AG20" s="229"/>
      <c r="AH20" s="44">
        <f t="shared" si="9"/>
        <v>0</v>
      </c>
      <c r="AI20" s="232"/>
      <c r="AJ20" s="44">
        <f t="shared" si="10"/>
        <v>0</v>
      </c>
      <c r="AK20" s="3"/>
      <c r="AL20" s="234">
        <v>2</v>
      </c>
      <c r="AM20" s="235">
        <v>3</v>
      </c>
      <c r="AN20" s="235">
        <v>10</v>
      </c>
      <c r="AO20" s="235">
        <v>9</v>
      </c>
      <c r="AP20" s="75">
        <f t="shared" si="11"/>
        <v>24</v>
      </c>
      <c r="AQ20" s="241">
        <v>23</v>
      </c>
      <c r="AR20" s="75">
        <f t="shared" si="12"/>
        <v>47</v>
      </c>
      <c r="AS20" s="79"/>
      <c r="AT20" s="242">
        <v>4</v>
      </c>
      <c r="AU20" s="243">
        <v>1</v>
      </c>
      <c r="AV20" s="243">
        <v>5</v>
      </c>
      <c r="AW20" s="243">
        <v>10</v>
      </c>
      <c r="AX20" s="244">
        <v>20</v>
      </c>
      <c r="AY20" s="243">
        <v>23</v>
      </c>
      <c r="AZ20" s="244">
        <v>43</v>
      </c>
      <c r="BA20" s="142"/>
      <c r="BB20" s="245">
        <v>8</v>
      </c>
      <c r="BC20" s="246">
        <v>4</v>
      </c>
      <c r="BD20" s="246">
        <v>4</v>
      </c>
      <c r="BE20" s="246">
        <v>8</v>
      </c>
      <c r="BF20" s="247">
        <v>24</v>
      </c>
      <c r="BG20" s="246">
        <v>36</v>
      </c>
      <c r="BH20" s="247">
        <v>60</v>
      </c>
      <c r="BI20" s="48"/>
      <c r="BJ20" s="249">
        <v>5</v>
      </c>
      <c r="BK20" s="249">
        <v>8</v>
      </c>
      <c r="BL20" s="249">
        <v>8</v>
      </c>
      <c r="BM20" s="249">
        <v>10</v>
      </c>
      <c r="BN20" s="250">
        <v>31</v>
      </c>
      <c r="BO20" s="249">
        <v>28</v>
      </c>
      <c r="BP20" s="250">
        <v>59</v>
      </c>
      <c r="BQ20" s="62"/>
      <c r="BR20" s="252">
        <v>7</v>
      </c>
      <c r="BS20" s="253">
        <v>7</v>
      </c>
      <c r="BT20" s="253">
        <v>10</v>
      </c>
      <c r="BU20" s="253">
        <v>10</v>
      </c>
      <c r="BV20" s="254">
        <v>34</v>
      </c>
      <c r="BW20" s="253">
        <v>32</v>
      </c>
      <c r="BX20" s="254">
        <v>66</v>
      </c>
      <c r="BY20" s="142"/>
      <c r="BZ20" s="255">
        <v>3</v>
      </c>
      <c r="CA20" s="256">
        <v>4</v>
      </c>
      <c r="CB20" s="256">
        <v>8</v>
      </c>
      <c r="CC20" s="256">
        <v>5</v>
      </c>
      <c r="CD20" s="257">
        <v>20</v>
      </c>
      <c r="CE20" s="256">
        <v>31</v>
      </c>
      <c r="CF20" s="257">
        <v>51</v>
      </c>
      <c r="CG20" s="142"/>
      <c r="CH20" s="258">
        <v>9</v>
      </c>
      <c r="CI20" s="259">
        <v>6</v>
      </c>
      <c r="CJ20" s="259">
        <v>10</v>
      </c>
      <c r="CK20" s="259">
        <v>10</v>
      </c>
      <c r="CL20" s="260">
        <v>35</v>
      </c>
      <c r="CM20" s="259">
        <v>35</v>
      </c>
      <c r="CN20" s="260">
        <v>70</v>
      </c>
      <c r="CO20" s="66"/>
      <c r="CP20" s="261">
        <v>8</v>
      </c>
      <c r="CQ20" s="262">
        <v>2</v>
      </c>
      <c r="CR20" s="262">
        <v>10</v>
      </c>
      <c r="CS20" s="262">
        <v>8</v>
      </c>
      <c r="CT20" s="263">
        <v>28</v>
      </c>
      <c r="CU20" s="262">
        <v>26</v>
      </c>
      <c r="CV20" s="263">
        <v>54</v>
      </c>
      <c r="CW20" s="142"/>
      <c r="CX20" s="265">
        <v>7</v>
      </c>
      <c r="CY20" s="271">
        <v>6</v>
      </c>
      <c r="CZ20" s="269">
        <v>10</v>
      </c>
      <c r="DA20" s="270">
        <v>10</v>
      </c>
      <c r="DB20" s="267">
        <v>33</v>
      </c>
      <c r="DC20" s="279">
        <v>21</v>
      </c>
      <c r="DD20" s="267">
        <v>54</v>
      </c>
      <c r="DE20" s="48"/>
      <c r="DF20" s="282">
        <v>10</v>
      </c>
      <c r="DG20" s="283">
        <v>2</v>
      </c>
      <c r="DH20" s="283">
        <v>5</v>
      </c>
      <c r="DI20" s="283">
        <v>10</v>
      </c>
      <c r="DJ20" s="284">
        <v>27</v>
      </c>
      <c r="DK20" s="283">
        <v>40</v>
      </c>
      <c r="DL20" s="284">
        <v>67</v>
      </c>
      <c r="DM20" s="48"/>
      <c r="DN20" s="285">
        <v>3</v>
      </c>
      <c r="DO20" s="286">
        <v>9</v>
      </c>
      <c r="DP20" s="286">
        <v>7</v>
      </c>
      <c r="DQ20" s="286">
        <v>9</v>
      </c>
      <c r="DR20" s="287">
        <v>28</v>
      </c>
      <c r="DS20" s="286">
        <v>30</v>
      </c>
      <c r="DT20" s="287">
        <v>58</v>
      </c>
      <c r="DU20" s="70"/>
      <c r="DV20" s="288">
        <v>4</v>
      </c>
      <c r="DW20" s="289">
        <v>2</v>
      </c>
      <c r="DX20" s="289">
        <v>8</v>
      </c>
      <c r="DY20" s="289">
        <v>10</v>
      </c>
      <c r="DZ20" s="292">
        <v>24</v>
      </c>
      <c r="EA20" s="289">
        <v>29</v>
      </c>
      <c r="EB20" s="292">
        <v>53</v>
      </c>
      <c r="EC20" s="48"/>
      <c r="ED20" s="293">
        <v>9</v>
      </c>
      <c r="EE20" s="294">
        <v>2</v>
      </c>
      <c r="EF20" s="294">
        <v>8</v>
      </c>
      <c r="EG20" s="294">
        <v>10</v>
      </c>
      <c r="EH20" s="297">
        <v>29</v>
      </c>
      <c r="EI20" s="294">
        <v>28</v>
      </c>
      <c r="EJ20" s="297">
        <v>57</v>
      </c>
      <c r="EK20" s="95"/>
      <c r="EL20" s="298">
        <v>5</v>
      </c>
      <c r="EM20" s="299">
        <v>7</v>
      </c>
      <c r="EN20" s="299">
        <v>5</v>
      </c>
      <c r="EO20" s="299">
        <v>5</v>
      </c>
      <c r="EP20" s="302">
        <v>22</v>
      </c>
      <c r="EQ20" s="299">
        <v>34</v>
      </c>
      <c r="ER20" s="302">
        <v>56</v>
      </c>
    </row>
    <row r="21" spans="1:148" ht="15.75">
      <c r="A21" s="211">
        <v>19</v>
      </c>
      <c r="B21" s="144" t="s">
        <v>170</v>
      </c>
      <c r="C21" s="214">
        <v>10</v>
      </c>
      <c r="D21" s="215">
        <v>8</v>
      </c>
      <c r="E21" s="215">
        <v>10</v>
      </c>
      <c r="F21" s="215">
        <v>9</v>
      </c>
      <c r="G21" s="48">
        <f t="shared" si="1"/>
        <v>37</v>
      </c>
      <c r="H21" s="216">
        <v>45</v>
      </c>
      <c r="I21" s="48">
        <f t="shared" si="2"/>
        <v>82</v>
      </c>
      <c r="J21" s="144"/>
      <c r="K21" s="217">
        <v>7</v>
      </c>
      <c r="L21" s="218">
        <v>9</v>
      </c>
      <c r="M21" s="218">
        <v>10</v>
      </c>
      <c r="N21" s="218">
        <v>10</v>
      </c>
      <c r="O21" s="52">
        <f t="shared" si="3"/>
        <v>36</v>
      </c>
      <c r="P21" s="222">
        <v>26</v>
      </c>
      <c r="Q21" s="52">
        <f t="shared" si="4"/>
        <v>62</v>
      </c>
      <c r="R21" s="70"/>
      <c r="S21" s="224">
        <v>10</v>
      </c>
      <c r="T21" s="225">
        <v>8</v>
      </c>
      <c r="U21" s="225">
        <v>5</v>
      </c>
      <c r="V21" s="225">
        <v>5</v>
      </c>
      <c r="W21" s="70">
        <f t="shared" si="0"/>
        <v>28</v>
      </c>
      <c r="X21" s="226">
        <v>45</v>
      </c>
      <c r="Y21" s="70">
        <f t="shared" si="5"/>
        <v>73</v>
      </c>
      <c r="Z21" s="70">
        <f t="shared" si="6"/>
        <v>5</v>
      </c>
      <c r="AA21" s="70" t="str">
        <f t="shared" si="7"/>
        <v>A</v>
      </c>
      <c r="AB21" s="70" t="str">
        <f t="shared" si="8"/>
        <v>Excellent</v>
      </c>
      <c r="AC21" s="144"/>
      <c r="AD21" s="228"/>
      <c r="AE21" s="229"/>
      <c r="AF21" s="229"/>
      <c r="AG21" s="229"/>
      <c r="AH21" s="44">
        <f t="shared" si="9"/>
        <v>0</v>
      </c>
      <c r="AI21" s="232"/>
      <c r="AJ21" s="44">
        <f t="shared" si="10"/>
        <v>0</v>
      </c>
      <c r="AK21" s="3"/>
      <c r="AL21" s="234">
        <v>10</v>
      </c>
      <c r="AM21" s="235">
        <v>10</v>
      </c>
      <c r="AN21" s="235">
        <v>8</v>
      </c>
      <c r="AO21" s="235">
        <v>10</v>
      </c>
      <c r="AP21" s="75">
        <f t="shared" si="11"/>
        <v>38</v>
      </c>
      <c r="AQ21" s="241">
        <v>40</v>
      </c>
      <c r="AR21" s="75">
        <f t="shared" si="12"/>
        <v>78</v>
      </c>
      <c r="AS21" s="79"/>
      <c r="AT21" s="242">
        <v>6</v>
      </c>
      <c r="AU21" s="243">
        <v>6</v>
      </c>
      <c r="AV21" s="243">
        <v>10</v>
      </c>
      <c r="AW21" s="243">
        <v>4</v>
      </c>
      <c r="AX21" s="244">
        <v>26</v>
      </c>
      <c r="AY21" s="243">
        <v>39</v>
      </c>
      <c r="AZ21" s="244">
        <v>65</v>
      </c>
      <c r="BA21" s="143"/>
      <c r="BB21" s="245">
        <v>8</v>
      </c>
      <c r="BC21" s="246">
        <v>9</v>
      </c>
      <c r="BD21" s="246">
        <v>10</v>
      </c>
      <c r="BE21" s="246">
        <v>10</v>
      </c>
      <c r="BF21" s="247">
        <v>37</v>
      </c>
      <c r="BG21" s="246">
        <v>48</v>
      </c>
      <c r="BH21" s="247">
        <v>85</v>
      </c>
      <c r="BI21" s="48"/>
      <c r="BJ21" s="249">
        <v>10</v>
      </c>
      <c r="BK21" s="249">
        <v>7</v>
      </c>
      <c r="BL21" s="249">
        <v>9</v>
      </c>
      <c r="BM21" s="249">
        <v>10</v>
      </c>
      <c r="BN21" s="250">
        <v>36</v>
      </c>
      <c r="BO21" s="249">
        <v>48</v>
      </c>
      <c r="BP21" s="250">
        <v>84</v>
      </c>
      <c r="BQ21" s="62"/>
      <c r="BR21" s="252">
        <v>7</v>
      </c>
      <c r="BS21" s="253">
        <v>10</v>
      </c>
      <c r="BT21" s="253">
        <v>10</v>
      </c>
      <c r="BU21" s="253">
        <v>10</v>
      </c>
      <c r="BV21" s="254">
        <v>37</v>
      </c>
      <c r="BW21" s="253">
        <v>43</v>
      </c>
      <c r="BX21" s="254">
        <v>80</v>
      </c>
      <c r="BY21" s="144"/>
      <c r="BZ21" s="255">
        <v>10</v>
      </c>
      <c r="CA21" s="256">
        <v>8</v>
      </c>
      <c r="CB21" s="256">
        <v>7</v>
      </c>
      <c r="CC21" s="256">
        <v>10</v>
      </c>
      <c r="CD21" s="257">
        <v>35</v>
      </c>
      <c r="CE21" s="256">
        <v>45</v>
      </c>
      <c r="CF21" s="257">
        <v>80</v>
      </c>
      <c r="CG21" s="143"/>
      <c r="CH21" s="258">
        <v>10</v>
      </c>
      <c r="CI21" s="259">
        <v>10</v>
      </c>
      <c r="CJ21" s="259">
        <v>10</v>
      </c>
      <c r="CK21" s="259">
        <v>10</v>
      </c>
      <c r="CL21" s="260">
        <v>40</v>
      </c>
      <c r="CM21" s="259">
        <v>57</v>
      </c>
      <c r="CN21" s="260">
        <v>97</v>
      </c>
      <c r="CO21" s="66"/>
      <c r="CP21" s="261">
        <v>9</v>
      </c>
      <c r="CQ21" s="262">
        <v>7</v>
      </c>
      <c r="CR21" s="262">
        <v>10</v>
      </c>
      <c r="CS21" s="262">
        <v>7</v>
      </c>
      <c r="CT21" s="263">
        <v>33</v>
      </c>
      <c r="CU21" s="262">
        <v>40</v>
      </c>
      <c r="CV21" s="263">
        <v>73</v>
      </c>
      <c r="CW21" s="144"/>
      <c r="CX21" s="265">
        <v>8</v>
      </c>
      <c r="CY21" s="272">
        <v>5</v>
      </c>
      <c r="CZ21" s="269">
        <v>10</v>
      </c>
      <c r="DA21" s="270">
        <v>10</v>
      </c>
      <c r="DB21" s="267">
        <v>33</v>
      </c>
      <c r="DC21" s="279">
        <v>31</v>
      </c>
      <c r="DD21" s="267">
        <v>64</v>
      </c>
      <c r="DE21" s="48"/>
      <c r="DF21" s="282">
        <v>10</v>
      </c>
      <c r="DG21" s="283">
        <v>10</v>
      </c>
      <c r="DH21" s="283">
        <v>5</v>
      </c>
      <c r="DI21" s="283">
        <v>10</v>
      </c>
      <c r="DJ21" s="284">
        <v>35</v>
      </c>
      <c r="DK21" s="283">
        <v>51</v>
      </c>
      <c r="DL21" s="284">
        <v>86</v>
      </c>
      <c r="DM21" s="48"/>
      <c r="DN21" s="285">
        <v>3</v>
      </c>
      <c r="DO21" s="286">
        <v>10</v>
      </c>
      <c r="DP21" s="286">
        <v>6</v>
      </c>
      <c r="DQ21" s="286">
        <v>9</v>
      </c>
      <c r="DR21" s="287">
        <v>28</v>
      </c>
      <c r="DS21" s="286">
        <v>43</v>
      </c>
      <c r="DT21" s="287">
        <v>71</v>
      </c>
      <c r="DU21" s="70"/>
      <c r="DV21" s="288">
        <v>9</v>
      </c>
      <c r="DW21" s="289">
        <v>8</v>
      </c>
      <c r="DX21" s="289">
        <v>10</v>
      </c>
      <c r="DY21" s="289">
        <v>10</v>
      </c>
      <c r="DZ21" s="292">
        <v>37</v>
      </c>
      <c r="EA21" s="289">
        <v>44</v>
      </c>
      <c r="EB21" s="292">
        <v>81</v>
      </c>
      <c r="EC21" s="48"/>
      <c r="ED21" s="293">
        <v>10</v>
      </c>
      <c r="EE21" s="294">
        <v>10</v>
      </c>
      <c r="EF21" s="294">
        <v>7</v>
      </c>
      <c r="EG21" s="294">
        <v>10</v>
      </c>
      <c r="EH21" s="297">
        <v>37</v>
      </c>
      <c r="EI21" s="294">
        <v>53</v>
      </c>
      <c r="EJ21" s="297">
        <v>90</v>
      </c>
      <c r="EK21" s="95"/>
      <c r="EL21" s="298">
        <v>6</v>
      </c>
      <c r="EM21" s="299">
        <v>6</v>
      </c>
      <c r="EN21" s="299">
        <v>10</v>
      </c>
      <c r="EO21" s="299">
        <v>10</v>
      </c>
      <c r="EP21" s="302">
        <v>32</v>
      </c>
      <c r="EQ21" s="299">
        <v>45</v>
      </c>
      <c r="ER21" s="302">
        <v>77</v>
      </c>
    </row>
    <row r="22" spans="1:148" ht="15.75">
      <c r="A22" s="212">
        <v>20</v>
      </c>
      <c r="B22" s="149" t="s">
        <v>171</v>
      </c>
      <c r="C22" s="214">
        <v>8</v>
      </c>
      <c r="D22" s="215">
        <v>5</v>
      </c>
      <c r="E22" s="215">
        <v>9</v>
      </c>
      <c r="F22" s="215">
        <v>10</v>
      </c>
      <c r="G22" s="48">
        <f t="shared" si="1"/>
        <v>32</v>
      </c>
      <c r="H22" s="216">
        <v>47</v>
      </c>
      <c r="I22" s="48">
        <f t="shared" si="2"/>
        <v>79</v>
      </c>
      <c r="J22" s="149"/>
      <c r="K22" s="217">
        <v>3</v>
      </c>
      <c r="L22" s="218">
        <v>3</v>
      </c>
      <c r="M22" s="218">
        <v>10</v>
      </c>
      <c r="N22" s="218">
        <v>10</v>
      </c>
      <c r="O22" s="52">
        <f t="shared" si="3"/>
        <v>26</v>
      </c>
      <c r="P22" s="222">
        <v>21</v>
      </c>
      <c r="Q22" s="52">
        <f t="shared" si="4"/>
        <v>47</v>
      </c>
      <c r="R22" s="70"/>
      <c r="S22" s="224">
        <v>10</v>
      </c>
      <c r="T22" s="225">
        <v>7</v>
      </c>
      <c r="U22" s="225">
        <v>5</v>
      </c>
      <c r="V22" s="225">
        <v>5</v>
      </c>
      <c r="W22" s="70">
        <f t="shared" si="0"/>
        <v>27</v>
      </c>
      <c r="X22" s="226">
        <v>36</v>
      </c>
      <c r="Y22" s="70">
        <f t="shared" si="5"/>
        <v>63</v>
      </c>
      <c r="Z22" s="70">
        <f t="shared" si="6"/>
        <v>13</v>
      </c>
      <c r="AA22" s="70" t="str">
        <f t="shared" si="7"/>
        <v>C</v>
      </c>
      <c r="AB22" s="70" t="str">
        <f t="shared" si="8"/>
        <v>Credit</v>
      </c>
      <c r="AC22" s="149"/>
      <c r="AD22" s="228">
        <v>5</v>
      </c>
      <c r="AE22" s="229">
        <v>8</v>
      </c>
      <c r="AF22" s="229">
        <v>2</v>
      </c>
      <c r="AG22" s="229">
        <v>10</v>
      </c>
      <c r="AH22" s="44">
        <f t="shared" si="9"/>
        <v>25</v>
      </c>
      <c r="AI22" s="232">
        <v>54</v>
      </c>
      <c r="AJ22" s="44">
        <f t="shared" si="10"/>
        <v>79</v>
      </c>
      <c r="AK22" s="3"/>
      <c r="AL22" s="234">
        <v>6</v>
      </c>
      <c r="AM22" s="235">
        <v>5</v>
      </c>
      <c r="AN22" s="235">
        <v>10</v>
      </c>
      <c r="AO22" s="235">
        <v>10</v>
      </c>
      <c r="AP22" s="75">
        <f t="shared" si="11"/>
        <v>31</v>
      </c>
      <c r="AQ22" s="241">
        <v>28</v>
      </c>
      <c r="AR22" s="75">
        <f t="shared" si="12"/>
        <v>59</v>
      </c>
      <c r="AS22" s="79"/>
      <c r="AT22" s="242">
        <v>6</v>
      </c>
      <c r="AU22" s="243">
        <v>4</v>
      </c>
      <c r="AV22" s="243">
        <v>5</v>
      </c>
      <c r="AW22" s="243">
        <v>9</v>
      </c>
      <c r="AX22" s="244">
        <v>24</v>
      </c>
      <c r="AY22" s="243">
        <v>26</v>
      </c>
      <c r="AZ22" s="244">
        <v>50</v>
      </c>
      <c r="BA22" s="149"/>
      <c r="BB22" s="245">
        <v>9</v>
      </c>
      <c r="BC22" s="246">
        <v>7</v>
      </c>
      <c r="BD22" s="246">
        <v>4</v>
      </c>
      <c r="BE22" s="246">
        <v>9</v>
      </c>
      <c r="BF22" s="247">
        <v>29</v>
      </c>
      <c r="BG22" s="246">
        <v>49</v>
      </c>
      <c r="BH22" s="247">
        <v>78</v>
      </c>
      <c r="BI22" s="48"/>
      <c r="BJ22" s="249">
        <v>7</v>
      </c>
      <c r="BK22" s="249">
        <v>9</v>
      </c>
      <c r="BL22" s="249">
        <v>10</v>
      </c>
      <c r="BM22" s="249">
        <v>8</v>
      </c>
      <c r="BN22" s="250">
        <v>34</v>
      </c>
      <c r="BO22" s="249">
        <v>39</v>
      </c>
      <c r="BP22" s="250">
        <v>73</v>
      </c>
      <c r="BQ22" s="62"/>
      <c r="BR22" s="252">
        <v>6</v>
      </c>
      <c r="BS22" s="253">
        <v>9</v>
      </c>
      <c r="BT22" s="253">
        <v>10</v>
      </c>
      <c r="BU22" s="253">
        <v>10</v>
      </c>
      <c r="BV22" s="254">
        <v>35</v>
      </c>
      <c r="BW22" s="253">
        <v>38</v>
      </c>
      <c r="BX22" s="254">
        <v>73</v>
      </c>
      <c r="BY22" s="149"/>
      <c r="BZ22" s="255">
        <v>5</v>
      </c>
      <c r="CA22" s="256">
        <v>8</v>
      </c>
      <c r="CB22" s="256">
        <v>9</v>
      </c>
      <c r="CC22" s="256">
        <v>10</v>
      </c>
      <c r="CD22" s="257">
        <v>32</v>
      </c>
      <c r="CE22" s="256">
        <v>41</v>
      </c>
      <c r="CF22" s="257">
        <v>73</v>
      </c>
      <c r="CG22" s="149"/>
      <c r="CH22" s="258">
        <v>7</v>
      </c>
      <c r="CI22" s="259">
        <v>7</v>
      </c>
      <c r="CJ22" s="259">
        <v>10</v>
      </c>
      <c r="CK22" s="259">
        <v>10</v>
      </c>
      <c r="CL22" s="260">
        <v>34</v>
      </c>
      <c r="CM22" s="259">
        <v>46</v>
      </c>
      <c r="CN22" s="260">
        <v>80</v>
      </c>
      <c r="CO22" s="66"/>
      <c r="CP22" s="261">
        <v>7</v>
      </c>
      <c r="CQ22" s="262">
        <v>2</v>
      </c>
      <c r="CR22" s="262">
        <v>7</v>
      </c>
      <c r="CS22" s="262">
        <v>8</v>
      </c>
      <c r="CT22" s="263">
        <v>24</v>
      </c>
      <c r="CU22" s="262">
        <v>25</v>
      </c>
      <c r="CV22" s="263">
        <v>49</v>
      </c>
      <c r="CW22" s="149"/>
      <c r="CX22" s="265">
        <v>4</v>
      </c>
      <c r="CY22" s="271">
        <v>8</v>
      </c>
      <c r="CZ22" s="269">
        <v>10</v>
      </c>
      <c r="DA22" s="270">
        <v>10</v>
      </c>
      <c r="DB22" s="267">
        <v>32</v>
      </c>
      <c r="DC22" s="279">
        <v>19</v>
      </c>
      <c r="DD22" s="267">
        <v>51</v>
      </c>
      <c r="DE22" s="48"/>
      <c r="DF22" s="282">
        <v>7</v>
      </c>
      <c r="DG22" s="283">
        <v>7</v>
      </c>
      <c r="DH22" s="283">
        <v>5</v>
      </c>
      <c r="DI22" s="283">
        <v>10</v>
      </c>
      <c r="DJ22" s="284">
        <v>29</v>
      </c>
      <c r="DK22" s="283">
        <v>51</v>
      </c>
      <c r="DL22" s="284">
        <v>80</v>
      </c>
      <c r="DM22" s="48"/>
      <c r="DN22" s="285">
        <v>3</v>
      </c>
      <c r="DO22" s="286">
        <v>10</v>
      </c>
      <c r="DP22" s="286">
        <v>2</v>
      </c>
      <c r="DQ22" s="286">
        <v>7</v>
      </c>
      <c r="DR22" s="287">
        <v>22</v>
      </c>
      <c r="DS22" s="286">
        <v>34</v>
      </c>
      <c r="DT22" s="287">
        <v>56</v>
      </c>
      <c r="DU22" s="70"/>
      <c r="DV22" s="288">
        <v>2</v>
      </c>
      <c r="DW22" s="289">
        <v>5</v>
      </c>
      <c r="DX22" s="289">
        <v>8</v>
      </c>
      <c r="DY22" s="289">
        <v>10</v>
      </c>
      <c r="DZ22" s="292">
        <v>25</v>
      </c>
      <c r="EA22" s="289">
        <v>37</v>
      </c>
      <c r="EB22" s="292">
        <v>62</v>
      </c>
      <c r="EC22" s="48"/>
      <c r="ED22" s="293">
        <v>9</v>
      </c>
      <c r="EE22" s="294">
        <v>4</v>
      </c>
      <c r="EF22" s="294">
        <v>10</v>
      </c>
      <c r="EG22" s="294">
        <v>10</v>
      </c>
      <c r="EH22" s="297">
        <v>33</v>
      </c>
      <c r="EI22" s="294">
        <v>41</v>
      </c>
      <c r="EJ22" s="297">
        <v>74</v>
      </c>
      <c r="EK22" s="95"/>
      <c r="EL22" s="298"/>
      <c r="EM22" s="299"/>
      <c r="EN22" s="299"/>
      <c r="EO22" s="299"/>
      <c r="EP22" s="302">
        <v>0</v>
      </c>
      <c r="EQ22" s="299"/>
      <c r="ER22" s="302">
        <v>0</v>
      </c>
    </row>
    <row r="23" spans="1:148" ht="15.75">
      <c r="A23" s="211">
        <v>21</v>
      </c>
      <c r="B23" s="144" t="s">
        <v>172</v>
      </c>
      <c r="C23" s="214">
        <v>4</v>
      </c>
      <c r="D23" s="215">
        <v>6</v>
      </c>
      <c r="E23" s="215">
        <v>10</v>
      </c>
      <c r="F23" s="215">
        <v>10</v>
      </c>
      <c r="G23" s="48">
        <f t="shared" si="1"/>
        <v>30</v>
      </c>
      <c r="H23" s="216">
        <v>40</v>
      </c>
      <c r="I23" s="48">
        <f t="shared" si="2"/>
        <v>70</v>
      </c>
      <c r="J23" s="144"/>
      <c r="K23" s="217">
        <v>1</v>
      </c>
      <c r="L23" s="218">
        <v>3</v>
      </c>
      <c r="M23" s="218">
        <v>10</v>
      </c>
      <c r="N23" s="218">
        <v>10</v>
      </c>
      <c r="O23" s="52">
        <f t="shared" ref="O23:O52" si="13">SUM(K23:N23)</f>
        <v>24</v>
      </c>
      <c r="P23" s="222">
        <v>26</v>
      </c>
      <c r="Q23" s="52">
        <f t="shared" si="4"/>
        <v>50</v>
      </c>
      <c r="R23" s="70"/>
      <c r="S23" s="224">
        <v>9</v>
      </c>
      <c r="T23" s="225">
        <v>5</v>
      </c>
      <c r="U23" s="225">
        <v>5</v>
      </c>
      <c r="V23" s="225">
        <v>5</v>
      </c>
      <c r="W23" s="70">
        <f t="shared" si="0"/>
        <v>24</v>
      </c>
      <c r="X23" s="226">
        <v>39</v>
      </c>
      <c r="Y23" s="70">
        <f t="shared" si="5"/>
        <v>63</v>
      </c>
      <c r="Z23" s="70">
        <f t="shared" si="6"/>
        <v>13</v>
      </c>
      <c r="AA23" s="70" t="str">
        <f t="shared" si="7"/>
        <v>C</v>
      </c>
      <c r="AB23" s="70" t="str">
        <f t="shared" si="8"/>
        <v>Credit</v>
      </c>
      <c r="AC23" s="144"/>
      <c r="AD23" s="228">
        <v>10</v>
      </c>
      <c r="AE23" s="229">
        <v>7</v>
      </c>
      <c r="AF23" s="229">
        <v>2</v>
      </c>
      <c r="AG23" s="229">
        <v>10</v>
      </c>
      <c r="AH23" s="44">
        <f t="shared" si="9"/>
        <v>29</v>
      </c>
      <c r="AI23" s="232">
        <v>48</v>
      </c>
      <c r="AJ23" s="44">
        <f t="shared" si="10"/>
        <v>77</v>
      </c>
      <c r="AK23" s="3"/>
      <c r="AL23" s="234">
        <v>5</v>
      </c>
      <c r="AM23" s="235">
        <v>10</v>
      </c>
      <c r="AN23" s="235">
        <v>10</v>
      </c>
      <c r="AO23" s="235">
        <v>10</v>
      </c>
      <c r="AP23" s="75">
        <f t="shared" si="11"/>
        <v>35</v>
      </c>
      <c r="AQ23" s="241">
        <v>21</v>
      </c>
      <c r="AR23" s="75">
        <f t="shared" si="12"/>
        <v>56</v>
      </c>
      <c r="AS23" s="79"/>
      <c r="AT23" s="242">
        <v>1</v>
      </c>
      <c r="AU23" s="243">
        <v>6</v>
      </c>
      <c r="AV23" s="243">
        <v>10</v>
      </c>
      <c r="AW23" s="243">
        <v>7</v>
      </c>
      <c r="AX23" s="244">
        <v>24</v>
      </c>
      <c r="AY23" s="243">
        <v>26</v>
      </c>
      <c r="AZ23" s="244">
        <v>50</v>
      </c>
      <c r="BA23" s="143"/>
      <c r="BB23" s="245">
        <v>4</v>
      </c>
      <c r="BC23" s="246">
        <v>2</v>
      </c>
      <c r="BD23" s="246">
        <v>4</v>
      </c>
      <c r="BE23" s="246">
        <v>9</v>
      </c>
      <c r="BF23" s="247">
        <v>19</v>
      </c>
      <c r="BG23" s="246">
        <v>49</v>
      </c>
      <c r="BH23" s="247">
        <v>68</v>
      </c>
      <c r="BI23" s="48"/>
      <c r="BJ23" s="249">
        <v>6</v>
      </c>
      <c r="BK23" s="249">
        <v>6</v>
      </c>
      <c r="BL23" s="249">
        <v>8</v>
      </c>
      <c r="BM23" s="249">
        <v>9</v>
      </c>
      <c r="BN23" s="250">
        <v>29</v>
      </c>
      <c r="BO23" s="249">
        <v>33</v>
      </c>
      <c r="BP23" s="250">
        <v>62</v>
      </c>
      <c r="BQ23" s="62"/>
      <c r="BR23" s="252">
        <v>8</v>
      </c>
      <c r="BS23" s="253">
        <v>9</v>
      </c>
      <c r="BT23" s="253">
        <v>10</v>
      </c>
      <c r="BU23" s="253">
        <v>10</v>
      </c>
      <c r="BV23" s="254">
        <v>37</v>
      </c>
      <c r="BW23" s="253">
        <v>28</v>
      </c>
      <c r="BX23" s="254">
        <v>65</v>
      </c>
      <c r="BY23" s="144"/>
      <c r="BZ23" s="255">
        <v>7</v>
      </c>
      <c r="CA23" s="256">
        <v>8</v>
      </c>
      <c r="CB23" s="256">
        <v>10</v>
      </c>
      <c r="CC23" s="256">
        <v>6</v>
      </c>
      <c r="CD23" s="257">
        <v>31</v>
      </c>
      <c r="CE23" s="256">
        <v>30</v>
      </c>
      <c r="CF23" s="257">
        <v>61</v>
      </c>
      <c r="CG23" s="143"/>
      <c r="CH23" s="258">
        <v>7</v>
      </c>
      <c r="CI23" s="259">
        <v>10</v>
      </c>
      <c r="CJ23" s="259">
        <v>10</v>
      </c>
      <c r="CK23" s="259">
        <v>10</v>
      </c>
      <c r="CL23" s="260">
        <v>37</v>
      </c>
      <c r="CM23" s="259">
        <v>43</v>
      </c>
      <c r="CN23" s="260">
        <v>80</v>
      </c>
      <c r="CO23" s="66"/>
      <c r="CP23" s="261">
        <v>6</v>
      </c>
      <c r="CQ23" s="262">
        <v>6</v>
      </c>
      <c r="CR23" s="262">
        <v>7</v>
      </c>
      <c r="CS23" s="262">
        <v>7</v>
      </c>
      <c r="CT23" s="263">
        <v>26</v>
      </c>
      <c r="CU23" s="262">
        <v>30</v>
      </c>
      <c r="CV23" s="263">
        <v>56</v>
      </c>
      <c r="CW23" s="144"/>
      <c r="CX23" s="265">
        <v>7</v>
      </c>
      <c r="CY23" s="272">
        <v>7</v>
      </c>
      <c r="CZ23" s="269">
        <v>8</v>
      </c>
      <c r="DA23" s="270">
        <v>10</v>
      </c>
      <c r="DB23" s="267">
        <v>32</v>
      </c>
      <c r="DC23" s="279">
        <v>22</v>
      </c>
      <c r="DD23" s="267">
        <v>54</v>
      </c>
      <c r="DE23" s="48"/>
      <c r="DF23" s="282">
        <v>4</v>
      </c>
      <c r="DG23" s="283">
        <v>2</v>
      </c>
      <c r="DH23" s="283">
        <v>5</v>
      </c>
      <c r="DI23" s="283">
        <v>5</v>
      </c>
      <c r="DJ23" s="284">
        <v>16</v>
      </c>
      <c r="DK23" s="283">
        <v>35</v>
      </c>
      <c r="DL23" s="284">
        <v>51</v>
      </c>
      <c r="DM23" s="48"/>
      <c r="DN23" s="285">
        <v>1</v>
      </c>
      <c r="DO23" s="286">
        <v>3</v>
      </c>
      <c r="DP23" s="286">
        <v>4</v>
      </c>
      <c r="DQ23" s="286">
        <v>6</v>
      </c>
      <c r="DR23" s="287">
        <v>14</v>
      </c>
      <c r="DS23" s="286">
        <v>30</v>
      </c>
      <c r="DT23" s="287">
        <v>44</v>
      </c>
      <c r="DU23" s="70"/>
      <c r="DV23" s="288">
        <v>1</v>
      </c>
      <c r="DW23" s="289">
        <v>6</v>
      </c>
      <c r="DX23" s="289">
        <v>7</v>
      </c>
      <c r="DY23" s="289">
        <v>10</v>
      </c>
      <c r="DZ23" s="292">
        <v>24</v>
      </c>
      <c r="EA23" s="289">
        <v>32</v>
      </c>
      <c r="EB23" s="292">
        <v>56</v>
      </c>
      <c r="EC23" s="48"/>
      <c r="ED23" s="293">
        <v>6</v>
      </c>
      <c r="EE23" s="294">
        <v>7</v>
      </c>
      <c r="EF23" s="294">
        <v>10</v>
      </c>
      <c r="EG23" s="294">
        <v>10</v>
      </c>
      <c r="EH23" s="297">
        <v>33</v>
      </c>
      <c r="EI23" s="294">
        <v>36</v>
      </c>
      <c r="EJ23" s="297">
        <v>69</v>
      </c>
      <c r="EK23" s="95"/>
      <c r="EL23" s="298"/>
      <c r="EM23" s="299"/>
      <c r="EN23" s="299"/>
      <c r="EO23" s="299"/>
      <c r="EP23" s="302">
        <v>0</v>
      </c>
      <c r="EQ23" s="299"/>
      <c r="ER23" s="302">
        <v>0</v>
      </c>
    </row>
    <row r="24" spans="1:148" ht="15.75">
      <c r="A24" s="212">
        <v>22</v>
      </c>
      <c r="B24" s="150" t="s">
        <v>173</v>
      </c>
      <c r="C24" s="214">
        <v>8</v>
      </c>
      <c r="D24" s="215">
        <v>6</v>
      </c>
      <c r="E24" s="215">
        <v>10</v>
      </c>
      <c r="F24" s="215">
        <v>10</v>
      </c>
      <c r="G24" s="48">
        <f t="shared" si="1"/>
        <v>34</v>
      </c>
      <c r="H24" s="216">
        <v>33</v>
      </c>
      <c r="I24" s="48">
        <f t="shared" si="2"/>
        <v>67</v>
      </c>
      <c r="J24" s="150"/>
      <c r="K24" s="217">
        <v>10</v>
      </c>
      <c r="L24" s="218">
        <v>5</v>
      </c>
      <c r="M24" s="218">
        <v>10</v>
      </c>
      <c r="N24" s="218">
        <v>10</v>
      </c>
      <c r="O24" s="52">
        <f t="shared" si="13"/>
        <v>35</v>
      </c>
      <c r="P24" s="222">
        <v>37</v>
      </c>
      <c r="Q24" s="52">
        <f t="shared" si="4"/>
        <v>72</v>
      </c>
      <c r="R24" s="70"/>
      <c r="S24" s="224">
        <v>9</v>
      </c>
      <c r="T24" s="225">
        <v>7</v>
      </c>
      <c r="U24" s="225">
        <v>5</v>
      </c>
      <c r="V24" s="225">
        <v>8</v>
      </c>
      <c r="W24" s="70">
        <f t="shared" si="0"/>
        <v>29</v>
      </c>
      <c r="X24" s="226">
        <v>46</v>
      </c>
      <c r="Y24" s="70">
        <f t="shared" si="5"/>
        <v>75</v>
      </c>
      <c r="Z24" s="70">
        <f t="shared" si="6"/>
        <v>4</v>
      </c>
      <c r="AA24" s="70" t="str">
        <f t="shared" si="7"/>
        <v>A</v>
      </c>
      <c r="AB24" s="70" t="str">
        <f t="shared" si="8"/>
        <v>Excellent</v>
      </c>
      <c r="AC24" s="150"/>
      <c r="AD24" s="228"/>
      <c r="AE24" s="229"/>
      <c r="AF24" s="229"/>
      <c r="AG24" s="229"/>
      <c r="AH24" s="44">
        <f t="shared" si="9"/>
        <v>0</v>
      </c>
      <c r="AI24" s="232"/>
      <c r="AJ24" s="44">
        <f t="shared" si="10"/>
        <v>0</v>
      </c>
      <c r="AK24" s="3"/>
      <c r="AL24" s="234">
        <v>8</v>
      </c>
      <c r="AM24" s="235">
        <v>9</v>
      </c>
      <c r="AN24" s="235">
        <v>10</v>
      </c>
      <c r="AO24" s="235">
        <v>8</v>
      </c>
      <c r="AP24" s="75">
        <f t="shared" si="11"/>
        <v>35</v>
      </c>
      <c r="AQ24" s="241">
        <v>39</v>
      </c>
      <c r="AR24" s="75">
        <f t="shared" si="12"/>
        <v>74</v>
      </c>
      <c r="AS24" s="79"/>
      <c r="AT24" s="242">
        <v>7</v>
      </c>
      <c r="AU24" s="243">
        <v>2</v>
      </c>
      <c r="AV24" s="243">
        <v>10</v>
      </c>
      <c r="AW24" s="243">
        <v>9</v>
      </c>
      <c r="AX24" s="244">
        <v>28</v>
      </c>
      <c r="AY24" s="243">
        <v>28</v>
      </c>
      <c r="AZ24" s="244">
        <v>56</v>
      </c>
      <c r="BA24" s="150"/>
      <c r="BB24" s="245">
        <v>10</v>
      </c>
      <c r="BC24" s="246">
        <v>6</v>
      </c>
      <c r="BD24" s="246">
        <v>9</v>
      </c>
      <c r="BE24" s="246">
        <v>9</v>
      </c>
      <c r="BF24" s="247">
        <v>34</v>
      </c>
      <c r="BG24" s="246">
        <v>47</v>
      </c>
      <c r="BH24" s="247">
        <v>81</v>
      </c>
      <c r="BI24" s="48"/>
      <c r="BJ24" s="249">
        <v>7</v>
      </c>
      <c r="BK24" s="249">
        <v>7</v>
      </c>
      <c r="BL24" s="249">
        <v>10</v>
      </c>
      <c r="BM24" s="249">
        <v>10</v>
      </c>
      <c r="BN24" s="250">
        <v>34</v>
      </c>
      <c r="BO24" s="249">
        <v>43</v>
      </c>
      <c r="BP24" s="250">
        <v>77</v>
      </c>
      <c r="BQ24" s="62"/>
      <c r="BR24" s="252">
        <v>9</v>
      </c>
      <c r="BS24" s="253">
        <v>10</v>
      </c>
      <c r="BT24" s="253">
        <v>10</v>
      </c>
      <c r="BU24" s="253">
        <v>10</v>
      </c>
      <c r="BV24" s="254">
        <v>39</v>
      </c>
      <c r="BW24" s="253">
        <v>51</v>
      </c>
      <c r="BX24" s="254">
        <v>90</v>
      </c>
      <c r="BY24" s="150"/>
      <c r="BZ24" s="255">
        <v>10</v>
      </c>
      <c r="CA24" s="256">
        <v>7</v>
      </c>
      <c r="CB24" s="256">
        <v>10</v>
      </c>
      <c r="CC24" s="256">
        <v>10</v>
      </c>
      <c r="CD24" s="257">
        <v>37</v>
      </c>
      <c r="CE24" s="256">
        <v>32</v>
      </c>
      <c r="CF24" s="257">
        <v>69</v>
      </c>
      <c r="CG24" s="150"/>
      <c r="CH24" s="258">
        <v>10</v>
      </c>
      <c r="CI24" s="259">
        <v>7</v>
      </c>
      <c r="CJ24" s="259">
        <v>10</v>
      </c>
      <c r="CK24" s="259">
        <v>10</v>
      </c>
      <c r="CL24" s="260">
        <v>37</v>
      </c>
      <c r="CM24" s="259">
        <v>41</v>
      </c>
      <c r="CN24" s="260">
        <v>78</v>
      </c>
      <c r="CO24" s="66"/>
      <c r="CP24" s="261">
        <v>9</v>
      </c>
      <c r="CQ24" s="262">
        <v>6</v>
      </c>
      <c r="CR24" s="262">
        <v>10</v>
      </c>
      <c r="CS24" s="262">
        <v>8</v>
      </c>
      <c r="CT24" s="263">
        <v>33</v>
      </c>
      <c r="CU24" s="262">
        <v>40</v>
      </c>
      <c r="CV24" s="263">
        <v>73</v>
      </c>
      <c r="CW24" s="150"/>
      <c r="CX24" s="265">
        <v>6</v>
      </c>
      <c r="CY24" s="271">
        <v>6</v>
      </c>
      <c r="CZ24" s="269">
        <v>10</v>
      </c>
      <c r="DA24" s="270">
        <v>10</v>
      </c>
      <c r="DB24" s="267">
        <v>32</v>
      </c>
      <c r="DC24" s="279">
        <v>32</v>
      </c>
      <c r="DD24" s="267">
        <v>64</v>
      </c>
      <c r="DE24" s="48"/>
      <c r="DF24" s="282">
        <v>10</v>
      </c>
      <c r="DG24" s="283">
        <v>8</v>
      </c>
      <c r="DH24" s="283">
        <v>5</v>
      </c>
      <c r="DI24" s="283">
        <v>10</v>
      </c>
      <c r="DJ24" s="284">
        <v>33</v>
      </c>
      <c r="DK24" s="283">
        <v>51</v>
      </c>
      <c r="DL24" s="284">
        <v>84</v>
      </c>
      <c r="DM24" s="48"/>
      <c r="DN24" s="285">
        <v>4</v>
      </c>
      <c r="DO24" s="286">
        <v>4</v>
      </c>
      <c r="DP24" s="286">
        <v>4</v>
      </c>
      <c r="DQ24" s="286">
        <v>8</v>
      </c>
      <c r="DR24" s="287">
        <v>20</v>
      </c>
      <c r="DS24" s="286">
        <v>27</v>
      </c>
      <c r="DT24" s="287">
        <v>47</v>
      </c>
      <c r="DU24" s="70"/>
      <c r="DV24" s="288">
        <v>8</v>
      </c>
      <c r="DW24" s="289">
        <v>10</v>
      </c>
      <c r="DX24" s="289">
        <v>8</v>
      </c>
      <c r="DY24" s="289">
        <v>10</v>
      </c>
      <c r="DZ24" s="292">
        <v>36</v>
      </c>
      <c r="EA24" s="289">
        <v>36</v>
      </c>
      <c r="EB24" s="292">
        <v>72</v>
      </c>
      <c r="EC24" s="48"/>
      <c r="ED24" s="293">
        <v>10</v>
      </c>
      <c r="EE24" s="294">
        <v>7</v>
      </c>
      <c r="EF24" s="294">
        <v>10</v>
      </c>
      <c r="EG24" s="294">
        <v>10</v>
      </c>
      <c r="EH24" s="297">
        <v>37</v>
      </c>
      <c r="EI24" s="294">
        <v>42</v>
      </c>
      <c r="EJ24" s="297">
        <v>79</v>
      </c>
      <c r="EK24" s="95"/>
      <c r="EL24" s="298">
        <v>10</v>
      </c>
      <c r="EM24" s="299">
        <v>4</v>
      </c>
      <c r="EN24" s="299">
        <v>10</v>
      </c>
      <c r="EO24" s="299">
        <v>10</v>
      </c>
      <c r="EP24" s="302">
        <v>34</v>
      </c>
      <c r="EQ24" s="299">
        <v>46</v>
      </c>
      <c r="ER24" s="302">
        <v>80</v>
      </c>
    </row>
    <row r="25" spans="1:148" ht="15.75">
      <c r="A25" s="211">
        <v>23</v>
      </c>
      <c r="B25" s="154" t="s">
        <v>174</v>
      </c>
      <c r="C25" s="214">
        <v>8</v>
      </c>
      <c r="D25" s="215">
        <v>7</v>
      </c>
      <c r="E25" s="215">
        <v>10</v>
      </c>
      <c r="F25" s="215">
        <v>10</v>
      </c>
      <c r="G25" s="48">
        <f t="shared" si="1"/>
        <v>35</v>
      </c>
      <c r="H25" s="216">
        <v>24</v>
      </c>
      <c r="I25" s="48">
        <f t="shared" si="2"/>
        <v>59</v>
      </c>
      <c r="J25" s="154"/>
      <c r="K25" s="217">
        <v>7</v>
      </c>
      <c r="L25" s="218">
        <v>5</v>
      </c>
      <c r="M25" s="218">
        <v>10</v>
      </c>
      <c r="N25" s="218">
        <v>10</v>
      </c>
      <c r="O25" s="52">
        <f t="shared" si="13"/>
        <v>32</v>
      </c>
      <c r="P25" s="222">
        <v>25</v>
      </c>
      <c r="Q25" s="52">
        <f t="shared" si="4"/>
        <v>57</v>
      </c>
      <c r="R25" s="70"/>
      <c r="S25" s="224">
        <v>10</v>
      </c>
      <c r="T25" s="225">
        <v>6</v>
      </c>
      <c r="U25" s="225">
        <v>5</v>
      </c>
      <c r="V25" s="225">
        <v>9</v>
      </c>
      <c r="W25" s="70">
        <f t="shared" si="0"/>
        <v>30</v>
      </c>
      <c r="X25" s="226">
        <v>39</v>
      </c>
      <c r="Y25" s="70">
        <f t="shared" si="5"/>
        <v>69</v>
      </c>
      <c r="Z25" s="70">
        <f t="shared" si="6"/>
        <v>11</v>
      </c>
      <c r="AA25" s="70" t="str">
        <f t="shared" si="7"/>
        <v>C</v>
      </c>
      <c r="AB25" s="70" t="str">
        <f t="shared" si="8"/>
        <v>Credit</v>
      </c>
      <c r="AC25" s="154"/>
      <c r="AD25" s="228"/>
      <c r="AE25" s="229"/>
      <c r="AF25" s="229"/>
      <c r="AG25" s="229"/>
      <c r="AH25" s="44">
        <f t="shared" si="9"/>
        <v>0</v>
      </c>
      <c r="AI25" s="232"/>
      <c r="AJ25" s="44">
        <f t="shared" si="10"/>
        <v>0</v>
      </c>
      <c r="AK25" s="3"/>
      <c r="AL25" s="234">
        <v>8</v>
      </c>
      <c r="AM25" s="235">
        <v>7</v>
      </c>
      <c r="AN25" s="235">
        <v>10</v>
      </c>
      <c r="AO25" s="235">
        <v>8</v>
      </c>
      <c r="AP25" s="75">
        <f t="shared" si="11"/>
        <v>33</v>
      </c>
      <c r="AQ25" s="241">
        <v>27</v>
      </c>
      <c r="AR25" s="75">
        <f t="shared" si="12"/>
        <v>60</v>
      </c>
      <c r="AS25" s="79"/>
      <c r="AT25" s="242">
        <v>2</v>
      </c>
      <c r="AU25" s="243">
        <v>2</v>
      </c>
      <c r="AV25" s="243">
        <v>10</v>
      </c>
      <c r="AW25" s="243">
        <v>10</v>
      </c>
      <c r="AX25" s="244">
        <v>24</v>
      </c>
      <c r="AY25" s="243">
        <v>25</v>
      </c>
      <c r="AZ25" s="244">
        <v>49</v>
      </c>
      <c r="BA25" s="151"/>
      <c r="BB25" s="245">
        <v>8</v>
      </c>
      <c r="BC25" s="246">
        <v>8</v>
      </c>
      <c r="BD25" s="246">
        <v>9</v>
      </c>
      <c r="BE25" s="246">
        <v>5</v>
      </c>
      <c r="BF25" s="247">
        <v>30</v>
      </c>
      <c r="BG25" s="246">
        <v>44</v>
      </c>
      <c r="BH25" s="247">
        <v>74</v>
      </c>
      <c r="BI25" s="48"/>
      <c r="BJ25" s="249">
        <v>9</v>
      </c>
      <c r="BK25" s="249">
        <v>5</v>
      </c>
      <c r="BL25" s="249">
        <v>10</v>
      </c>
      <c r="BM25" s="249">
        <v>9</v>
      </c>
      <c r="BN25" s="250">
        <v>33</v>
      </c>
      <c r="BO25" s="249">
        <v>33</v>
      </c>
      <c r="BP25" s="250">
        <v>66</v>
      </c>
      <c r="BQ25" s="62"/>
      <c r="BR25" s="252">
        <v>10</v>
      </c>
      <c r="BS25" s="253">
        <v>8</v>
      </c>
      <c r="BT25" s="253">
        <v>9</v>
      </c>
      <c r="BU25" s="253">
        <v>10</v>
      </c>
      <c r="BV25" s="254">
        <v>37</v>
      </c>
      <c r="BW25" s="253">
        <v>27</v>
      </c>
      <c r="BX25" s="254">
        <v>64</v>
      </c>
      <c r="BY25" s="154"/>
      <c r="BZ25" s="255">
        <v>8</v>
      </c>
      <c r="CA25" s="256">
        <v>6</v>
      </c>
      <c r="CB25" s="256">
        <v>7</v>
      </c>
      <c r="CC25" s="256">
        <v>10</v>
      </c>
      <c r="CD25" s="257">
        <v>31</v>
      </c>
      <c r="CE25" s="256">
        <v>40</v>
      </c>
      <c r="CF25" s="257">
        <v>71</v>
      </c>
      <c r="CG25" s="151"/>
      <c r="CH25" s="258">
        <v>7</v>
      </c>
      <c r="CI25" s="259">
        <v>5</v>
      </c>
      <c r="CJ25" s="259">
        <v>10</v>
      </c>
      <c r="CK25" s="259">
        <v>10</v>
      </c>
      <c r="CL25" s="260">
        <v>32</v>
      </c>
      <c r="CM25" s="259">
        <v>34</v>
      </c>
      <c r="CN25" s="260">
        <v>66</v>
      </c>
      <c r="CO25" s="66"/>
      <c r="CP25" s="261">
        <v>9</v>
      </c>
      <c r="CQ25" s="262">
        <v>6</v>
      </c>
      <c r="CR25" s="262">
        <v>10</v>
      </c>
      <c r="CS25" s="262">
        <v>8</v>
      </c>
      <c r="CT25" s="263">
        <v>33</v>
      </c>
      <c r="CU25" s="262">
        <v>40</v>
      </c>
      <c r="CV25" s="263">
        <v>73</v>
      </c>
      <c r="CW25" s="154"/>
      <c r="CX25" s="265">
        <v>4</v>
      </c>
      <c r="CY25" s="272">
        <v>4</v>
      </c>
      <c r="CZ25" s="269">
        <v>9</v>
      </c>
      <c r="DA25" s="270">
        <v>10</v>
      </c>
      <c r="DB25" s="267">
        <v>27</v>
      </c>
      <c r="DC25" s="279">
        <v>25</v>
      </c>
      <c r="DD25" s="267">
        <v>52</v>
      </c>
      <c r="DE25" s="48"/>
      <c r="DF25" s="282">
        <v>10</v>
      </c>
      <c r="DG25" s="283">
        <v>4</v>
      </c>
      <c r="DH25" s="283">
        <v>10</v>
      </c>
      <c r="DI25" s="283">
        <v>10</v>
      </c>
      <c r="DJ25" s="284">
        <v>34</v>
      </c>
      <c r="DK25" s="283">
        <v>45</v>
      </c>
      <c r="DL25" s="284">
        <v>79</v>
      </c>
      <c r="DM25" s="48"/>
      <c r="DN25" s="285">
        <v>6</v>
      </c>
      <c r="DO25" s="286">
        <v>9</v>
      </c>
      <c r="DP25" s="286">
        <v>6</v>
      </c>
      <c r="DQ25" s="286">
        <v>9</v>
      </c>
      <c r="DR25" s="287">
        <v>30</v>
      </c>
      <c r="DS25" s="286">
        <v>24</v>
      </c>
      <c r="DT25" s="287">
        <v>54</v>
      </c>
      <c r="DU25" s="70"/>
      <c r="DV25" s="288">
        <v>10</v>
      </c>
      <c r="DW25" s="289">
        <v>8</v>
      </c>
      <c r="DX25" s="289">
        <v>8</v>
      </c>
      <c r="DY25" s="289">
        <v>10</v>
      </c>
      <c r="DZ25" s="292">
        <v>36</v>
      </c>
      <c r="EA25" s="289">
        <v>28</v>
      </c>
      <c r="EB25" s="292">
        <v>64</v>
      </c>
      <c r="EC25" s="48"/>
      <c r="ED25" s="293">
        <v>7</v>
      </c>
      <c r="EE25" s="294">
        <v>9</v>
      </c>
      <c r="EF25" s="294">
        <v>7</v>
      </c>
      <c r="EG25" s="294">
        <v>10</v>
      </c>
      <c r="EH25" s="297">
        <v>33</v>
      </c>
      <c r="EI25" s="294">
        <v>34</v>
      </c>
      <c r="EJ25" s="297">
        <v>67</v>
      </c>
      <c r="EK25" s="95"/>
      <c r="EL25" s="298">
        <v>8</v>
      </c>
      <c r="EM25" s="299">
        <v>10</v>
      </c>
      <c r="EN25" s="299">
        <v>10</v>
      </c>
      <c r="EO25" s="299">
        <v>10</v>
      </c>
      <c r="EP25" s="302">
        <v>38</v>
      </c>
      <c r="EQ25" s="299">
        <v>30</v>
      </c>
      <c r="ER25" s="302">
        <v>68</v>
      </c>
    </row>
    <row r="26" spans="1:148" ht="15.75">
      <c r="A26" s="212">
        <v>24</v>
      </c>
      <c r="B26" s="152" t="s">
        <v>175</v>
      </c>
      <c r="C26" s="214">
        <v>7</v>
      </c>
      <c r="D26" s="215">
        <v>8</v>
      </c>
      <c r="E26" s="215">
        <v>8</v>
      </c>
      <c r="F26" s="215">
        <v>8</v>
      </c>
      <c r="G26" s="48">
        <f t="shared" si="1"/>
        <v>31</v>
      </c>
      <c r="H26" s="216">
        <v>32</v>
      </c>
      <c r="I26" s="48">
        <f t="shared" si="2"/>
        <v>63</v>
      </c>
      <c r="J26" s="152"/>
      <c r="K26" s="217">
        <v>7</v>
      </c>
      <c r="L26" s="218">
        <v>5</v>
      </c>
      <c r="M26" s="218">
        <v>10</v>
      </c>
      <c r="N26" s="218">
        <v>10</v>
      </c>
      <c r="O26" s="52">
        <f t="shared" si="13"/>
        <v>32</v>
      </c>
      <c r="P26" s="222">
        <v>28</v>
      </c>
      <c r="Q26" s="52">
        <f t="shared" si="4"/>
        <v>60</v>
      </c>
      <c r="R26" s="70"/>
      <c r="S26" s="224">
        <v>10</v>
      </c>
      <c r="T26" s="225">
        <v>5</v>
      </c>
      <c r="U26" s="225">
        <v>5</v>
      </c>
      <c r="V26" s="225">
        <v>9</v>
      </c>
      <c r="W26" s="70">
        <f t="shared" si="0"/>
        <v>29</v>
      </c>
      <c r="X26" s="226">
        <v>34</v>
      </c>
      <c r="Y26" s="70">
        <f t="shared" si="5"/>
        <v>63</v>
      </c>
      <c r="Z26" s="70">
        <f t="shared" si="6"/>
        <v>13</v>
      </c>
      <c r="AA26" s="70" t="str">
        <f t="shared" si="7"/>
        <v>C</v>
      </c>
      <c r="AB26" s="70" t="str">
        <f t="shared" si="8"/>
        <v>Credit</v>
      </c>
      <c r="AC26" s="152"/>
      <c r="AD26" s="228"/>
      <c r="AE26" s="229"/>
      <c r="AF26" s="229"/>
      <c r="AG26" s="229"/>
      <c r="AH26" s="44">
        <f t="shared" si="9"/>
        <v>0</v>
      </c>
      <c r="AI26" s="232"/>
      <c r="AJ26" s="44">
        <f t="shared" si="10"/>
        <v>0</v>
      </c>
      <c r="AK26" s="3"/>
      <c r="AL26" s="234">
        <v>4</v>
      </c>
      <c r="AM26" s="235">
        <v>8</v>
      </c>
      <c r="AN26" s="235">
        <v>10</v>
      </c>
      <c r="AO26" s="235">
        <v>9</v>
      </c>
      <c r="AP26" s="75">
        <f t="shared" si="11"/>
        <v>31</v>
      </c>
      <c r="AQ26" s="241">
        <v>23</v>
      </c>
      <c r="AR26" s="75">
        <f t="shared" si="12"/>
        <v>54</v>
      </c>
      <c r="AS26" s="79"/>
      <c r="AT26" s="242">
        <v>1</v>
      </c>
      <c r="AU26" s="243">
        <v>5</v>
      </c>
      <c r="AV26" s="243">
        <v>5</v>
      </c>
      <c r="AW26" s="243">
        <v>4</v>
      </c>
      <c r="AX26" s="244">
        <v>15</v>
      </c>
      <c r="AY26" s="243">
        <v>21</v>
      </c>
      <c r="AZ26" s="244">
        <v>36</v>
      </c>
      <c r="BA26" s="152"/>
      <c r="BB26" s="245">
        <v>6</v>
      </c>
      <c r="BC26" s="246">
        <v>9</v>
      </c>
      <c r="BD26" s="246">
        <v>3</v>
      </c>
      <c r="BE26" s="246">
        <v>9</v>
      </c>
      <c r="BF26" s="247">
        <v>27</v>
      </c>
      <c r="BG26" s="246">
        <v>44</v>
      </c>
      <c r="BH26" s="247">
        <v>71</v>
      </c>
      <c r="BI26" s="48"/>
      <c r="BJ26" s="249">
        <v>7</v>
      </c>
      <c r="BK26" s="249">
        <v>8</v>
      </c>
      <c r="BL26" s="249">
        <v>10</v>
      </c>
      <c r="BM26" s="249">
        <v>9</v>
      </c>
      <c r="BN26" s="250">
        <v>34</v>
      </c>
      <c r="BO26" s="249">
        <v>47</v>
      </c>
      <c r="BP26" s="250">
        <v>81</v>
      </c>
      <c r="BQ26" s="62"/>
      <c r="BR26" s="252">
        <v>8</v>
      </c>
      <c r="BS26" s="253">
        <v>9</v>
      </c>
      <c r="BT26" s="253">
        <v>8</v>
      </c>
      <c r="BU26" s="253">
        <v>10</v>
      </c>
      <c r="BV26" s="254">
        <v>35</v>
      </c>
      <c r="BW26" s="253">
        <v>31</v>
      </c>
      <c r="BX26" s="254">
        <v>66</v>
      </c>
      <c r="BY26" s="152"/>
      <c r="BZ26" s="255">
        <v>8</v>
      </c>
      <c r="CA26" s="256">
        <v>7</v>
      </c>
      <c r="CB26" s="256">
        <v>6</v>
      </c>
      <c r="CC26" s="256">
        <v>10</v>
      </c>
      <c r="CD26" s="257">
        <v>31</v>
      </c>
      <c r="CE26" s="256">
        <v>40</v>
      </c>
      <c r="CF26" s="257">
        <v>71</v>
      </c>
      <c r="CG26" s="152"/>
      <c r="CH26" s="258">
        <v>5</v>
      </c>
      <c r="CI26" s="259">
        <v>10</v>
      </c>
      <c r="CJ26" s="259">
        <v>10</v>
      </c>
      <c r="CK26" s="259">
        <v>10</v>
      </c>
      <c r="CL26" s="260">
        <v>35</v>
      </c>
      <c r="CM26" s="259">
        <v>45</v>
      </c>
      <c r="CN26" s="260">
        <v>80</v>
      </c>
      <c r="CO26" s="66"/>
      <c r="CP26" s="261">
        <v>3</v>
      </c>
      <c r="CQ26" s="262">
        <v>5</v>
      </c>
      <c r="CR26" s="262">
        <v>10</v>
      </c>
      <c r="CS26" s="262">
        <v>8</v>
      </c>
      <c r="CT26" s="263">
        <v>26</v>
      </c>
      <c r="CU26" s="262">
        <v>35</v>
      </c>
      <c r="CV26" s="263">
        <v>61</v>
      </c>
      <c r="CW26" s="152"/>
      <c r="CX26" s="265">
        <v>4</v>
      </c>
      <c r="CY26" s="271">
        <v>3</v>
      </c>
      <c r="CZ26" s="269">
        <v>10</v>
      </c>
      <c r="DA26" s="270">
        <v>10</v>
      </c>
      <c r="DB26" s="267">
        <v>27</v>
      </c>
      <c r="DC26" s="279">
        <v>20</v>
      </c>
      <c r="DD26" s="267">
        <v>47</v>
      </c>
      <c r="DE26" s="48"/>
      <c r="DF26" s="282">
        <v>9</v>
      </c>
      <c r="DG26" s="283">
        <v>7</v>
      </c>
      <c r="DH26" s="283">
        <v>3</v>
      </c>
      <c r="DI26" s="283">
        <v>9</v>
      </c>
      <c r="DJ26" s="284">
        <v>28</v>
      </c>
      <c r="DK26" s="283">
        <v>40</v>
      </c>
      <c r="DL26" s="284">
        <v>68</v>
      </c>
      <c r="DM26" s="48"/>
      <c r="DN26" s="285">
        <v>6</v>
      </c>
      <c r="DO26" s="286">
        <v>5</v>
      </c>
      <c r="DP26" s="286">
        <v>6</v>
      </c>
      <c r="DQ26" s="286">
        <v>7</v>
      </c>
      <c r="DR26" s="287">
        <v>24</v>
      </c>
      <c r="DS26" s="286">
        <v>28</v>
      </c>
      <c r="DT26" s="287">
        <v>52</v>
      </c>
      <c r="DU26" s="70"/>
      <c r="DV26" s="288">
        <v>6</v>
      </c>
      <c r="DW26" s="289">
        <v>10</v>
      </c>
      <c r="DX26" s="289">
        <v>8</v>
      </c>
      <c r="DY26" s="289">
        <v>10</v>
      </c>
      <c r="DZ26" s="292">
        <v>34</v>
      </c>
      <c r="EA26" s="289">
        <v>26</v>
      </c>
      <c r="EB26" s="292">
        <v>60</v>
      </c>
      <c r="EC26" s="48"/>
      <c r="ED26" s="293">
        <v>10</v>
      </c>
      <c r="EE26" s="294">
        <v>8</v>
      </c>
      <c r="EF26" s="294">
        <v>8</v>
      </c>
      <c r="EG26" s="294">
        <v>10</v>
      </c>
      <c r="EH26" s="297">
        <v>36</v>
      </c>
      <c r="EI26" s="294">
        <v>30</v>
      </c>
      <c r="EJ26" s="297">
        <v>66</v>
      </c>
      <c r="EK26" s="95"/>
      <c r="EL26" s="298">
        <v>9</v>
      </c>
      <c r="EM26" s="299">
        <v>2</v>
      </c>
      <c r="EN26" s="299">
        <v>10</v>
      </c>
      <c r="EO26" s="299">
        <v>10</v>
      </c>
      <c r="EP26" s="302">
        <v>31</v>
      </c>
      <c r="EQ26" s="299">
        <v>43</v>
      </c>
      <c r="ER26" s="302">
        <v>74</v>
      </c>
    </row>
    <row r="27" spans="1:148" ht="15.75">
      <c r="A27" s="211">
        <v>25</v>
      </c>
      <c r="B27" s="154" t="s">
        <v>176</v>
      </c>
      <c r="C27" s="214">
        <v>7</v>
      </c>
      <c r="D27" s="215">
        <v>3</v>
      </c>
      <c r="E27" s="215">
        <v>9</v>
      </c>
      <c r="F27" s="215">
        <v>9</v>
      </c>
      <c r="G27" s="48">
        <f t="shared" si="1"/>
        <v>28</v>
      </c>
      <c r="H27" s="216">
        <v>14</v>
      </c>
      <c r="I27" s="48">
        <f t="shared" si="2"/>
        <v>42</v>
      </c>
      <c r="J27" s="154"/>
      <c r="K27" s="217">
        <v>3</v>
      </c>
      <c r="L27" s="218">
        <v>1</v>
      </c>
      <c r="M27" s="218">
        <v>10</v>
      </c>
      <c r="N27" s="218">
        <v>10</v>
      </c>
      <c r="O27" s="52">
        <f t="shared" si="13"/>
        <v>24</v>
      </c>
      <c r="P27" s="222">
        <v>19</v>
      </c>
      <c r="Q27" s="52">
        <f t="shared" si="4"/>
        <v>43</v>
      </c>
      <c r="R27" s="70"/>
      <c r="S27" s="224">
        <v>2</v>
      </c>
      <c r="T27" s="225">
        <v>2</v>
      </c>
      <c r="U27" s="225">
        <v>5</v>
      </c>
      <c r="V27" s="225">
        <v>5</v>
      </c>
      <c r="W27" s="70">
        <f t="shared" si="0"/>
        <v>14</v>
      </c>
      <c r="X27" s="226">
        <v>25</v>
      </c>
      <c r="Y27" s="70">
        <f t="shared" si="5"/>
        <v>39</v>
      </c>
      <c r="Z27" s="70">
        <f t="shared" si="6"/>
        <v>35</v>
      </c>
      <c r="AA27" s="70" t="str">
        <f t="shared" si="7"/>
        <v>F</v>
      </c>
      <c r="AB27" s="70" t="str">
        <f t="shared" si="8"/>
        <v>Fail</v>
      </c>
      <c r="AC27" s="154"/>
      <c r="AD27" s="228"/>
      <c r="AE27" s="229"/>
      <c r="AF27" s="229"/>
      <c r="AG27" s="229"/>
      <c r="AH27" s="44">
        <f t="shared" si="9"/>
        <v>0</v>
      </c>
      <c r="AI27" s="232"/>
      <c r="AJ27" s="44">
        <f t="shared" si="10"/>
        <v>0</v>
      </c>
      <c r="AK27" s="3"/>
      <c r="AL27" s="234">
        <v>1</v>
      </c>
      <c r="AM27" s="235">
        <v>1</v>
      </c>
      <c r="AN27" s="235">
        <v>7</v>
      </c>
      <c r="AO27" s="235">
        <v>8</v>
      </c>
      <c r="AP27" s="75">
        <f t="shared" si="11"/>
        <v>17</v>
      </c>
      <c r="AQ27" s="241">
        <v>16</v>
      </c>
      <c r="AR27" s="75">
        <f t="shared" si="12"/>
        <v>33</v>
      </c>
      <c r="AS27" s="79"/>
      <c r="AT27" s="242">
        <v>1</v>
      </c>
      <c r="AU27" s="243">
        <v>4</v>
      </c>
      <c r="AV27" s="243">
        <v>10</v>
      </c>
      <c r="AW27" s="243">
        <v>4</v>
      </c>
      <c r="AX27" s="244">
        <v>19</v>
      </c>
      <c r="AY27" s="243">
        <v>13</v>
      </c>
      <c r="AZ27" s="244">
        <v>32</v>
      </c>
      <c r="BA27" s="151"/>
      <c r="BB27" s="245">
        <v>2</v>
      </c>
      <c r="BC27" s="246">
        <v>1</v>
      </c>
      <c r="BD27" s="246">
        <v>2</v>
      </c>
      <c r="BE27" s="246">
        <v>2</v>
      </c>
      <c r="BF27" s="247">
        <v>7</v>
      </c>
      <c r="BG27" s="246">
        <v>17</v>
      </c>
      <c r="BH27" s="247">
        <v>24</v>
      </c>
      <c r="BI27" s="48"/>
      <c r="BJ27" s="249">
        <v>2</v>
      </c>
      <c r="BK27" s="249">
        <v>5</v>
      </c>
      <c r="BL27" s="249">
        <v>8</v>
      </c>
      <c r="BM27" s="249">
        <v>10</v>
      </c>
      <c r="BN27" s="250">
        <v>25</v>
      </c>
      <c r="BO27" s="249">
        <v>8</v>
      </c>
      <c r="BP27" s="250">
        <v>33</v>
      </c>
      <c r="BQ27" s="62"/>
      <c r="BR27" s="252">
        <v>2</v>
      </c>
      <c r="BS27" s="253">
        <v>2</v>
      </c>
      <c r="BT27" s="253">
        <v>7</v>
      </c>
      <c r="BU27" s="253">
        <v>8</v>
      </c>
      <c r="BV27" s="254">
        <v>19</v>
      </c>
      <c r="BW27" s="253">
        <v>10</v>
      </c>
      <c r="BX27" s="254">
        <v>29</v>
      </c>
      <c r="BY27" s="154"/>
      <c r="BZ27" s="255">
        <v>2</v>
      </c>
      <c r="CA27" s="256">
        <v>1</v>
      </c>
      <c r="CB27" s="256">
        <v>10</v>
      </c>
      <c r="CC27" s="256">
        <v>5</v>
      </c>
      <c r="CD27" s="257">
        <v>18</v>
      </c>
      <c r="CE27" s="256">
        <v>12</v>
      </c>
      <c r="CF27" s="257">
        <v>30</v>
      </c>
      <c r="CG27" s="151"/>
      <c r="CH27" s="258">
        <v>1</v>
      </c>
      <c r="CI27" s="259">
        <v>4</v>
      </c>
      <c r="CJ27" s="259">
        <v>10</v>
      </c>
      <c r="CK27" s="259">
        <v>10</v>
      </c>
      <c r="CL27" s="260">
        <v>25</v>
      </c>
      <c r="CM27" s="259">
        <v>12</v>
      </c>
      <c r="CN27" s="260">
        <v>37</v>
      </c>
      <c r="CO27" s="66"/>
      <c r="CP27" s="261">
        <v>2</v>
      </c>
      <c r="CQ27" s="262">
        <v>1</v>
      </c>
      <c r="CR27" s="262">
        <v>5</v>
      </c>
      <c r="CS27" s="262">
        <v>8</v>
      </c>
      <c r="CT27" s="263">
        <v>16</v>
      </c>
      <c r="CU27" s="262">
        <v>20</v>
      </c>
      <c r="CV27" s="263">
        <v>36</v>
      </c>
      <c r="CW27" s="154"/>
      <c r="CX27" s="265">
        <v>2</v>
      </c>
      <c r="CY27" s="271">
        <v>2</v>
      </c>
      <c r="CZ27" s="269">
        <v>9</v>
      </c>
      <c r="DA27" s="270">
        <v>9</v>
      </c>
      <c r="DB27" s="267">
        <v>22</v>
      </c>
      <c r="DC27" s="279">
        <v>18</v>
      </c>
      <c r="DD27" s="267">
        <v>40</v>
      </c>
      <c r="DE27" s="48"/>
      <c r="DF27" s="282">
        <v>1</v>
      </c>
      <c r="DG27" s="283">
        <v>1</v>
      </c>
      <c r="DH27" s="283">
        <v>1</v>
      </c>
      <c r="DI27" s="283">
        <v>5</v>
      </c>
      <c r="DJ27" s="284">
        <v>8</v>
      </c>
      <c r="DK27" s="283">
        <v>11</v>
      </c>
      <c r="DL27" s="284">
        <v>19</v>
      </c>
      <c r="DM27" s="48"/>
      <c r="DN27" s="285">
        <v>1</v>
      </c>
      <c r="DO27" s="286">
        <v>1</v>
      </c>
      <c r="DP27" s="286">
        <v>4</v>
      </c>
      <c r="DQ27" s="286">
        <v>5</v>
      </c>
      <c r="DR27" s="287">
        <v>11</v>
      </c>
      <c r="DS27" s="286">
        <v>14</v>
      </c>
      <c r="DT27" s="287">
        <v>25</v>
      </c>
      <c r="DU27" s="70"/>
      <c r="DV27" s="288">
        <v>1</v>
      </c>
      <c r="DW27" s="289">
        <v>2</v>
      </c>
      <c r="DX27" s="289">
        <v>8</v>
      </c>
      <c r="DY27" s="289">
        <v>10</v>
      </c>
      <c r="DZ27" s="292">
        <v>21</v>
      </c>
      <c r="EA27" s="289">
        <v>8</v>
      </c>
      <c r="EB27" s="292">
        <v>29</v>
      </c>
      <c r="EC27" s="48"/>
      <c r="ED27" s="293">
        <v>2</v>
      </c>
      <c r="EE27" s="294">
        <v>3</v>
      </c>
      <c r="EF27" s="294">
        <v>10</v>
      </c>
      <c r="EG27" s="294">
        <v>7</v>
      </c>
      <c r="EH27" s="297">
        <v>22</v>
      </c>
      <c r="EI27" s="294">
        <v>18</v>
      </c>
      <c r="EJ27" s="297">
        <v>40</v>
      </c>
      <c r="EK27" s="95"/>
      <c r="EL27" s="298">
        <v>1</v>
      </c>
      <c r="EM27" s="299">
        <v>2</v>
      </c>
      <c r="EN27" s="299">
        <v>5</v>
      </c>
      <c r="EO27" s="299">
        <v>5</v>
      </c>
      <c r="EP27" s="302">
        <v>13</v>
      </c>
      <c r="EQ27" s="299">
        <v>12</v>
      </c>
      <c r="ER27" s="302">
        <v>25</v>
      </c>
    </row>
    <row r="28" spans="1:148" ht="15.75">
      <c r="A28" s="212">
        <v>26</v>
      </c>
      <c r="B28" s="153" t="s">
        <v>177</v>
      </c>
      <c r="C28" s="214">
        <v>3</v>
      </c>
      <c r="D28" s="215">
        <v>5</v>
      </c>
      <c r="E28" s="215">
        <v>10</v>
      </c>
      <c r="F28" s="215">
        <v>10</v>
      </c>
      <c r="G28" s="48">
        <f t="shared" si="1"/>
        <v>28</v>
      </c>
      <c r="H28" s="216">
        <v>31</v>
      </c>
      <c r="I28" s="48">
        <f t="shared" si="2"/>
        <v>59</v>
      </c>
      <c r="J28" s="153"/>
      <c r="K28" s="217">
        <v>2</v>
      </c>
      <c r="L28" s="218">
        <v>3</v>
      </c>
      <c r="M28" s="218">
        <v>10</v>
      </c>
      <c r="N28" s="218">
        <v>10</v>
      </c>
      <c r="O28" s="52">
        <f t="shared" si="13"/>
        <v>25</v>
      </c>
      <c r="P28" s="222">
        <v>20</v>
      </c>
      <c r="Q28" s="52">
        <f t="shared" si="4"/>
        <v>45</v>
      </c>
      <c r="R28" s="70"/>
      <c r="S28" s="224">
        <v>6</v>
      </c>
      <c r="T28" s="225">
        <v>6</v>
      </c>
      <c r="U28" s="225">
        <v>5</v>
      </c>
      <c r="V28" s="225">
        <v>5</v>
      </c>
      <c r="W28" s="70">
        <f t="shared" si="0"/>
        <v>22</v>
      </c>
      <c r="X28" s="226">
        <v>36</v>
      </c>
      <c r="Y28" s="70">
        <f t="shared" si="5"/>
        <v>58</v>
      </c>
      <c r="Z28" s="70">
        <f t="shared" si="6"/>
        <v>19</v>
      </c>
      <c r="AA28" s="70" t="str">
        <f t="shared" si="7"/>
        <v>C</v>
      </c>
      <c r="AB28" s="70" t="str">
        <f t="shared" si="8"/>
        <v>Credit</v>
      </c>
      <c r="AC28" s="153"/>
      <c r="AD28" s="228"/>
      <c r="AE28" s="229"/>
      <c r="AF28" s="229"/>
      <c r="AG28" s="229"/>
      <c r="AH28" s="44">
        <f t="shared" si="9"/>
        <v>0</v>
      </c>
      <c r="AI28" s="232"/>
      <c r="AJ28" s="44">
        <f t="shared" si="10"/>
        <v>0</v>
      </c>
      <c r="AK28" s="3"/>
      <c r="AL28" s="234">
        <v>3</v>
      </c>
      <c r="AM28" s="235">
        <v>4</v>
      </c>
      <c r="AN28" s="235">
        <v>7</v>
      </c>
      <c r="AO28" s="235">
        <v>7</v>
      </c>
      <c r="AP28" s="75">
        <f t="shared" si="11"/>
        <v>21</v>
      </c>
      <c r="AQ28" s="241">
        <v>17</v>
      </c>
      <c r="AR28" s="75">
        <f t="shared" si="12"/>
        <v>38</v>
      </c>
      <c r="AS28" s="79"/>
      <c r="AT28" s="242">
        <v>3</v>
      </c>
      <c r="AU28" s="243">
        <v>1</v>
      </c>
      <c r="AV28" s="243">
        <v>5</v>
      </c>
      <c r="AW28" s="243">
        <v>4</v>
      </c>
      <c r="AX28" s="244">
        <v>13</v>
      </c>
      <c r="AY28" s="243">
        <v>21</v>
      </c>
      <c r="AZ28" s="244">
        <v>34</v>
      </c>
      <c r="BA28" s="153"/>
      <c r="BB28" s="245">
        <v>8</v>
      </c>
      <c r="BC28" s="246">
        <v>6</v>
      </c>
      <c r="BD28" s="246">
        <v>8</v>
      </c>
      <c r="BE28" s="246">
        <v>8</v>
      </c>
      <c r="BF28" s="247">
        <v>30</v>
      </c>
      <c r="BG28" s="246">
        <v>39</v>
      </c>
      <c r="BH28" s="247">
        <v>69</v>
      </c>
      <c r="BI28" s="48"/>
      <c r="BJ28" s="249">
        <v>6</v>
      </c>
      <c r="BK28" s="249">
        <v>9</v>
      </c>
      <c r="BL28" s="249">
        <v>8</v>
      </c>
      <c r="BM28" s="249">
        <v>9</v>
      </c>
      <c r="BN28" s="250">
        <v>32</v>
      </c>
      <c r="BO28" s="249">
        <v>26</v>
      </c>
      <c r="BP28" s="250">
        <v>58</v>
      </c>
      <c r="BQ28" s="62"/>
      <c r="BR28" s="252">
        <v>7</v>
      </c>
      <c r="BS28" s="253">
        <v>8</v>
      </c>
      <c r="BT28" s="253">
        <v>7</v>
      </c>
      <c r="BU28" s="253">
        <v>10</v>
      </c>
      <c r="BV28" s="254">
        <v>32</v>
      </c>
      <c r="BW28" s="253">
        <v>19</v>
      </c>
      <c r="BX28" s="254">
        <v>51</v>
      </c>
      <c r="BY28" s="153"/>
      <c r="BZ28" s="255">
        <v>4</v>
      </c>
      <c r="CA28" s="256">
        <v>6</v>
      </c>
      <c r="CB28" s="256">
        <v>9</v>
      </c>
      <c r="CC28" s="256">
        <v>10</v>
      </c>
      <c r="CD28" s="257">
        <v>29</v>
      </c>
      <c r="CE28" s="256">
        <v>34</v>
      </c>
      <c r="CF28" s="257">
        <v>63</v>
      </c>
      <c r="CG28" s="153"/>
      <c r="CH28" s="258">
        <v>6</v>
      </c>
      <c r="CI28" s="259">
        <v>7</v>
      </c>
      <c r="CJ28" s="259">
        <v>10</v>
      </c>
      <c r="CK28" s="259">
        <v>10</v>
      </c>
      <c r="CL28" s="260">
        <v>33</v>
      </c>
      <c r="CM28" s="259">
        <v>42</v>
      </c>
      <c r="CN28" s="260">
        <v>75</v>
      </c>
      <c r="CO28" s="66"/>
      <c r="CP28" s="261">
        <v>7</v>
      </c>
      <c r="CQ28" s="262">
        <v>2</v>
      </c>
      <c r="CR28" s="262">
        <v>10</v>
      </c>
      <c r="CS28" s="262">
        <v>8</v>
      </c>
      <c r="CT28" s="263">
        <v>27</v>
      </c>
      <c r="CU28" s="262">
        <v>25</v>
      </c>
      <c r="CV28" s="263">
        <v>52</v>
      </c>
      <c r="CW28" s="153"/>
      <c r="CX28" s="265">
        <v>6</v>
      </c>
      <c r="CY28" s="271">
        <v>6</v>
      </c>
      <c r="CZ28" s="269">
        <v>8</v>
      </c>
      <c r="DA28" s="270">
        <v>9</v>
      </c>
      <c r="DB28" s="267">
        <v>29</v>
      </c>
      <c r="DC28" s="279">
        <v>20</v>
      </c>
      <c r="DD28" s="267">
        <v>49</v>
      </c>
      <c r="DE28" s="48"/>
      <c r="DF28" s="282">
        <v>5</v>
      </c>
      <c r="DG28" s="283">
        <v>7</v>
      </c>
      <c r="DH28" s="283">
        <v>4</v>
      </c>
      <c r="DI28" s="283">
        <v>9</v>
      </c>
      <c r="DJ28" s="284">
        <v>25</v>
      </c>
      <c r="DK28" s="283">
        <v>43</v>
      </c>
      <c r="DL28" s="284">
        <v>68</v>
      </c>
      <c r="DM28" s="48"/>
      <c r="DN28" s="285">
        <v>3</v>
      </c>
      <c r="DO28" s="286">
        <v>4</v>
      </c>
      <c r="DP28" s="286">
        <v>4</v>
      </c>
      <c r="DQ28" s="286">
        <v>9</v>
      </c>
      <c r="DR28" s="287">
        <v>20</v>
      </c>
      <c r="DS28" s="286">
        <v>22</v>
      </c>
      <c r="DT28" s="287">
        <v>42</v>
      </c>
      <c r="DU28" s="70"/>
      <c r="DV28" s="288">
        <v>4</v>
      </c>
      <c r="DW28" s="289">
        <v>6</v>
      </c>
      <c r="DX28" s="289">
        <v>8</v>
      </c>
      <c r="DY28" s="289">
        <v>10</v>
      </c>
      <c r="DZ28" s="292">
        <v>28</v>
      </c>
      <c r="EA28" s="289">
        <v>19</v>
      </c>
      <c r="EB28" s="292">
        <v>47</v>
      </c>
      <c r="EC28" s="48"/>
      <c r="ED28" s="293">
        <v>7</v>
      </c>
      <c r="EE28" s="294">
        <v>5</v>
      </c>
      <c r="EF28" s="294">
        <v>10</v>
      </c>
      <c r="EG28" s="294">
        <v>7</v>
      </c>
      <c r="EH28" s="297">
        <v>29</v>
      </c>
      <c r="EI28" s="294">
        <v>34</v>
      </c>
      <c r="EJ28" s="297">
        <v>63</v>
      </c>
      <c r="EK28" s="95"/>
      <c r="EL28" s="298">
        <v>7</v>
      </c>
      <c r="EM28" s="299">
        <v>4</v>
      </c>
      <c r="EN28" s="299">
        <v>5</v>
      </c>
      <c r="EO28" s="299">
        <v>5</v>
      </c>
      <c r="EP28" s="302">
        <v>21</v>
      </c>
      <c r="EQ28" s="299">
        <v>32</v>
      </c>
      <c r="ER28" s="302">
        <v>53</v>
      </c>
    </row>
    <row r="29" spans="1:148" ht="15.75">
      <c r="A29" s="211">
        <v>27</v>
      </c>
      <c r="B29" s="154" t="s">
        <v>178</v>
      </c>
      <c r="C29" s="214">
        <v>7</v>
      </c>
      <c r="D29" s="215">
        <v>6</v>
      </c>
      <c r="E29" s="215">
        <v>10</v>
      </c>
      <c r="F29" s="215">
        <v>10</v>
      </c>
      <c r="G29" s="48">
        <f t="shared" si="1"/>
        <v>33</v>
      </c>
      <c r="H29" s="216">
        <v>41</v>
      </c>
      <c r="I29" s="48">
        <f t="shared" si="2"/>
        <v>74</v>
      </c>
      <c r="J29" s="154"/>
      <c r="K29" s="217">
        <v>9</v>
      </c>
      <c r="L29" s="218">
        <v>7</v>
      </c>
      <c r="M29" s="218">
        <v>10</v>
      </c>
      <c r="N29" s="218">
        <v>10</v>
      </c>
      <c r="O29" s="52">
        <f t="shared" si="13"/>
        <v>36</v>
      </c>
      <c r="P29" s="222">
        <v>28</v>
      </c>
      <c r="Q29" s="52">
        <f t="shared" si="4"/>
        <v>64</v>
      </c>
      <c r="R29" s="70"/>
      <c r="S29" s="224">
        <v>10</v>
      </c>
      <c r="T29" s="225">
        <v>7</v>
      </c>
      <c r="U29" s="225">
        <v>5</v>
      </c>
      <c r="V29" s="225">
        <v>10</v>
      </c>
      <c r="W29" s="70">
        <f t="shared" si="0"/>
        <v>32</v>
      </c>
      <c r="X29" s="226">
        <v>52</v>
      </c>
      <c r="Y29" s="70">
        <f t="shared" si="5"/>
        <v>84</v>
      </c>
      <c r="Z29" s="70">
        <f t="shared" si="6"/>
        <v>1</v>
      </c>
      <c r="AA29" s="70" t="str">
        <f t="shared" si="7"/>
        <v>A</v>
      </c>
      <c r="AB29" s="70" t="str">
        <f t="shared" si="8"/>
        <v>Excellent</v>
      </c>
      <c r="AC29" s="154"/>
      <c r="AD29" s="228">
        <v>10</v>
      </c>
      <c r="AE29" s="229">
        <v>10</v>
      </c>
      <c r="AF29" s="229">
        <v>10</v>
      </c>
      <c r="AG29" s="229">
        <v>10</v>
      </c>
      <c r="AH29" s="44">
        <f t="shared" si="9"/>
        <v>40</v>
      </c>
      <c r="AI29" s="232">
        <v>57</v>
      </c>
      <c r="AJ29" s="44">
        <f t="shared" si="10"/>
        <v>97</v>
      </c>
      <c r="AK29" s="3"/>
      <c r="AL29" s="234">
        <v>8</v>
      </c>
      <c r="AM29" s="235">
        <v>10</v>
      </c>
      <c r="AN29" s="235">
        <v>8</v>
      </c>
      <c r="AO29" s="235">
        <v>9</v>
      </c>
      <c r="AP29" s="75">
        <f t="shared" si="11"/>
        <v>35</v>
      </c>
      <c r="AQ29" s="241">
        <v>44</v>
      </c>
      <c r="AR29" s="75">
        <f t="shared" si="12"/>
        <v>79</v>
      </c>
      <c r="AS29" s="79"/>
      <c r="AT29" s="242">
        <v>8</v>
      </c>
      <c r="AU29" s="243">
        <v>4</v>
      </c>
      <c r="AV29" s="243">
        <v>10</v>
      </c>
      <c r="AW29" s="243">
        <v>10</v>
      </c>
      <c r="AX29" s="244">
        <v>32</v>
      </c>
      <c r="AY29" s="243">
        <v>42</v>
      </c>
      <c r="AZ29" s="244">
        <v>74</v>
      </c>
      <c r="BA29" s="151"/>
      <c r="BB29" s="245">
        <v>10</v>
      </c>
      <c r="BC29" s="246">
        <v>7</v>
      </c>
      <c r="BD29" s="246">
        <v>9</v>
      </c>
      <c r="BE29" s="246">
        <v>10</v>
      </c>
      <c r="BF29" s="247">
        <v>36</v>
      </c>
      <c r="BG29" s="246">
        <v>53</v>
      </c>
      <c r="BH29" s="247">
        <v>89</v>
      </c>
      <c r="BI29" s="48"/>
      <c r="BJ29" s="249">
        <v>10</v>
      </c>
      <c r="BK29" s="249">
        <v>10</v>
      </c>
      <c r="BL29" s="249">
        <v>8</v>
      </c>
      <c r="BM29" s="249">
        <v>10</v>
      </c>
      <c r="BN29" s="250">
        <v>38</v>
      </c>
      <c r="BO29" s="249">
        <v>47</v>
      </c>
      <c r="BP29" s="250">
        <v>85</v>
      </c>
      <c r="BQ29" s="62"/>
      <c r="BR29" s="252">
        <v>10</v>
      </c>
      <c r="BS29" s="253">
        <v>8</v>
      </c>
      <c r="BT29" s="253">
        <v>10</v>
      </c>
      <c r="BU29" s="253">
        <v>10</v>
      </c>
      <c r="BV29" s="254">
        <v>38</v>
      </c>
      <c r="BW29" s="253">
        <v>42</v>
      </c>
      <c r="BX29" s="254">
        <v>80</v>
      </c>
      <c r="BY29" s="154"/>
      <c r="BZ29" s="255">
        <v>8</v>
      </c>
      <c r="CA29" s="256">
        <v>8</v>
      </c>
      <c r="CB29" s="256">
        <v>10</v>
      </c>
      <c r="CC29" s="256">
        <v>10</v>
      </c>
      <c r="CD29" s="257">
        <v>36</v>
      </c>
      <c r="CE29" s="256">
        <v>47</v>
      </c>
      <c r="CF29" s="257">
        <v>83</v>
      </c>
      <c r="CG29" s="151"/>
      <c r="CH29" s="258">
        <v>10</v>
      </c>
      <c r="CI29" s="259">
        <v>10</v>
      </c>
      <c r="CJ29" s="259">
        <v>10</v>
      </c>
      <c r="CK29" s="259">
        <v>10</v>
      </c>
      <c r="CL29" s="260">
        <v>40</v>
      </c>
      <c r="CM29" s="259">
        <v>55</v>
      </c>
      <c r="CN29" s="260">
        <v>95</v>
      </c>
      <c r="CO29" s="66"/>
      <c r="CP29" s="261">
        <v>8</v>
      </c>
      <c r="CQ29" s="262">
        <v>7</v>
      </c>
      <c r="CR29" s="262">
        <v>10</v>
      </c>
      <c r="CS29" s="262">
        <v>8</v>
      </c>
      <c r="CT29" s="263">
        <v>33</v>
      </c>
      <c r="CU29" s="262">
        <v>40</v>
      </c>
      <c r="CV29" s="263">
        <v>73</v>
      </c>
      <c r="CW29" s="154"/>
      <c r="CX29" s="265">
        <v>6</v>
      </c>
      <c r="CY29" s="272">
        <v>4</v>
      </c>
      <c r="CZ29" s="269">
        <v>10</v>
      </c>
      <c r="DA29" s="270">
        <v>10</v>
      </c>
      <c r="DB29" s="267">
        <v>30</v>
      </c>
      <c r="DC29" s="279">
        <v>25</v>
      </c>
      <c r="DD29" s="267">
        <v>55</v>
      </c>
      <c r="DE29" s="48"/>
      <c r="DF29" s="282">
        <v>9</v>
      </c>
      <c r="DG29" s="283">
        <v>3</v>
      </c>
      <c r="DH29" s="283">
        <v>3</v>
      </c>
      <c r="DI29" s="283">
        <v>10</v>
      </c>
      <c r="DJ29" s="284">
        <v>25</v>
      </c>
      <c r="DK29" s="283">
        <v>47</v>
      </c>
      <c r="DL29" s="284">
        <v>72</v>
      </c>
      <c r="DM29" s="48"/>
      <c r="DN29" s="285">
        <v>7</v>
      </c>
      <c r="DO29" s="286">
        <v>9</v>
      </c>
      <c r="DP29" s="286">
        <v>6</v>
      </c>
      <c r="DQ29" s="286">
        <v>10</v>
      </c>
      <c r="DR29" s="287">
        <v>32</v>
      </c>
      <c r="DS29" s="286">
        <v>41</v>
      </c>
      <c r="DT29" s="287">
        <v>73</v>
      </c>
      <c r="DU29" s="70"/>
      <c r="DV29" s="288">
        <v>10</v>
      </c>
      <c r="DW29" s="289">
        <v>7</v>
      </c>
      <c r="DX29" s="289">
        <v>9</v>
      </c>
      <c r="DY29" s="289">
        <v>10</v>
      </c>
      <c r="DZ29" s="292">
        <v>36</v>
      </c>
      <c r="EA29" s="289">
        <v>50</v>
      </c>
      <c r="EB29" s="292">
        <v>86</v>
      </c>
      <c r="EC29" s="48"/>
      <c r="ED29" s="293">
        <v>10</v>
      </c>
      <c r="EE29" s="294">
        <v>8</v>
      </c>
      <c r="EF29" s="294">
        <v>8</v>
      </c>
      <c r="EG29" s="294">
        <v>10</v>
      </c>
      <c r="EH29" s="297">
        <v>36</v>
      </c>
      <c r="EI29" s="294">
        <v>40</v>
      </c>
      <c r="EJ29" s="297">
        <v>76</v>
      </c>
      <c r="EK29" s="95"/>
      <c r="EL29" s="298"/>
      <c r="EM29" s="299"/>
      <c r="EN29" s="299"/>
      <c r="EO29" s="299"/>
      <c r="EP29" s="302">
        <v>0</v>
      </c>
      <c r="EQ29" s="299"/>
      <c r="ER29" s="302">
        <v>0</v>
      </c>
    </row>
    <row r="30" spans="1:148" ht="15.75">
      <c r="A30" s="212">
        <v>28</v>
      </c>
      <c r="B30" s="153" t="s">
        <v>179</v>
      </c>
      <c r="C30" s="214">
        <v>10</v>
      </c>
      <c r="D30" s="215">
        <v>7</v>
      </c>
      <c r="E30" s="215">
        <v>10</v>
      </c>
      <c r="F30" s="215">
        <v>10</v>
      </c>
      <c r="G30" s="48">
        <f t="shared" si="1"/>
        <v>37</v>
      </c>
      <c r="H30" s="216">
        <v>44</v>
      </c>
      <c r="I30" s="48">
        <f t="shared" si="2"/>
        <v>81</v>
      </c>
      <c r="J30" s="153"/>
      <c r="K30" s="217">
        <v>9</v>
      </c>
      <c r="L30" s="218">
        <v>7</v>
      </c>
      <c r="M30" s="218"/>
      <c r="N30" s="218">
        <v>10</v>
      </c>
      <c r="O30" s="52">
        <f t="shared" si="13"/>
        <v>26</v>
      </c>
      <c r="P30" s="222">
        <v>36</v>
      </c>
      <c r="Q30" s="52">
        <f t="shared" si="4"/>
        <v>62</v>
      </c>
      <c r="R30" s="70"/>
      <c r="S30" s="224">
        <v>10</v>
      </c>
      <c r="T30" s="225">
        <v>7</v>
      </c>
      <c r="U30" s="225">
        <v>5</v>
      </c>
      <c r="V30" s="225">
        <v>10</v>
      </c>
      <c r="W30" s="70">
        <f t="shared" si="0"/>
        <v>32</v>
      </c>
      <c r="X30" s="226">
        <v>40</v>
      </c>
      <c r="Y30" s="70">
        <f t="shared" si="5"/>
        <v>72</v>
      </c>
      <c r="Z30" s="70">
        <f t="shared" si="6"/>
        <v>6</v>
      </c>
      <c r="AA30" s="70" t="str">
        <f t="shared" si="7"/>
        <v>A</v>
      </c>
      <c r="AB30" s="70" t="str">
        <f t="shared" si="8"/>
        <v>Excellent</v>
      </c>
      <c r="AC30" s="153"/>
      <c r="AD30" s="228"/>
      <c r="AE30" s="229"/>
      <c r="AF30" s="229"/>
      <c r="AG30" s="229"/>
      <c r="AH30" s="44">
        <f t="shared" si="9"/>
        <v>0</v>
      </c>
      <c r="AI30" s="232"/>
      <c r="AJ30" s="44">
        <f t="shared" si="10"/>
        <v>0</v>
      </c>
      <c r="AK30" s="3"/>
      <c r="AL30" s="234">
        <v>10</v>
      </c>
      <c r="AM30" s="235">
        <v>10</v>
      </c>
      <c r="AN30" s="235">
        <v>10</v>
      </c>
      <c r="AO30" s="235">
        <v>10</v>
      </c>
      <c r="AP30" s="75">
        <f t="shared" si="11"/>
        <v>40</v>
      </c>
      <c r="AQ30" s="241">
        <v>26</v>
      </c>
      <c r="AR30" s="75">
        <f t="shared" si="12"/>
        <v>66</v>
      </c>
      <c r="AS30" s="79"/>
      <c r="AT30" s="242">
        <v>2</v>
      </c>
      <c r="AU30" s="243">
        <v>6</v>
      </c>
      <c r="AV30" s="243">
        <v>10</v>
      </c>
      <c r="AW30" s="243">
        <v>10</v>
      </c>
      <c r="AX30" s="244">
        <v>28</v>
      </c>
      <c r="AY30" s="243">
        <v>34</v>
      </c>
      <c r="AZ30" s="244">
        <v>62</v>
      </c>
      <c r="BA30" s="153"/>
      <c r="BB30" s="245">
        <v>8</v>
      </c>
      <c r="BC30" s="246">
        <v>7</v>
      </c>
      <c r="BD30" s="246">
        <v>9</v>
      </c>
      <c r="BE30" s="246">
        <v>10</v>
      </c>
      <c r="BF30" s="247">
        <v>34</v>
      </c>
      <c r="BG30" s="246">
        <v>48</v>
      </c>
      <c r="BH30" s="247">
        <v>82</v>
      </c>
      <c r="BI30" s="48"/>
      <c r="BJ30" s="249">
        <v>10</v>
      </c>
      <c r="BK30" s="249">
        <v>10</v>
      </c>
      <c r="BL30" s="249">
        <v>9</v>
      </c>
      <c r="BM30" s="249">
        <v>10</v>
      </c>
      <c r="BN30" s="250">
        <v>39</v>
      </c>
      <c r="BO30" s="249">
        <v>42</v>
      </c>
      <c r="BP30" s="250">
        <v>81</v>
      </c>
      <c r="BQ30" s="62"/>
      <c r="BR30" s="252">
        <v>9</v>
      </c>
      <c r="BS30" s="253">
        <v>10</v>
      </c>
      <c r="BT30" s="253">
        <v>10</v>
      </c>
      <c r="BU30" s="253">
        <v>10</v>
      </c>
      <c r="BV30" s="254">
        <v>39</v>
      </c>
      <c r="BW30" s="253">
        <v>31</v>
      </c>
      <c r="BX30" s="254">
        <v>70</v>
      </c>
      <c r="BY30" s="153"/>
      <c r="BZ30" s="255">
        <v>9</v>
      </c>
      <c r="CA30" s="256">
        <v>6</v>
      </c>
      <c r="CB30" s="256">
        <v>10</v>
      </c>
      <c r="CC30" s="256">
        <v>10</v>
      </c>
      <c r="CD30" s="257">
        <v>35</v>
      </c>
      <c r="CE30" s="256">
        <v>42</v>
      </c>
      <c r="CF30" s="257">
        <v>77</v>
      </c>
      <c r="CG30" s="153"/>
      <c r="CH30" s="258">
        <v>8</v>
      </c>
      <c r="CI30" s="259">
        <v>7</v>
      </c>
      <c r="CJ30" s="259">
        <v>10</v>
      </c>
      <c r="CK30" s="259">
        <v>10</v>
      </c>
      <c r="CL30" s="260">
        <v>35</v>
      </c>
      <c r="CM30" s="259">
        <v>52</v>
      </c>
      <c r="CN30" s="260">
        <v>87</v>
      </c>
      <c r="CO30" s="66"/>
      <c r="CP30" s="261">
        <v>9</v>
      </c>
      <c r="CQ30" s="262">
        <v>6</v>
      </c>
      <c r="CR30" s="262">
        <v>10</v>
      </c>
      <c r="CS30" s="262">
        <v>8</v>
      </c>
      <c r="CT30" s="263">
        <v>33</v>
      </c>
      <c r="CU30" s="262">
        <v>45</v>
      </c>
      <c r="CV30" s="263">
        <v>78</v>
      </c>
      <c r="CW30" s="153"/>
      <c r="CX30" s="265">
        <v>6</v>
      </c>
      <c r="CY30" s="271">
        <v>7</v>
      </c>
      <c r="CZ30" s="269">
        <v>10</v>
      </c>
      <c r="DA30" s="270">
        <v>10</v>
      </c>
      <c r="DB30" s="267">
        <v>33</v>
      </c>
      <c r="DC30" s="279">
        <v>21</v>
      </c>
      <c r="DD30" s="267">
        <v>54</v>
      </c>
      <c r="DE30" s="48"/>
      <c r="DF30" s="282">
        <v>8</v>
      </c>
      <c r="DG30" s="283">
        <v>10</v>
      </c>
      <c r="DH30" s="283">
        <v>10</v>
      </c>
      <c r="DI30" s="283">
        <v>10</v>
      </c>
      <c r="DJ30" s="284">
        <v>38</v>
      </c>
      <c r="DK30" s="283">
        <v>50</v>
      </c>
      <c r="DL30" s="284">
        <v>88</v>
      </c>
      <c r="DM30" s="48"/>
      <c r="DN30" s="285">
        <v>6</v>
      </c>
      <c r="DO30" s="286">
        <v>8</v>
      </c>
      <c r="DP30" s="286">
        <v>7</v>
      </c>
      <c r="DQ30" s="286">
        <v>10</v>
      </c>
      <c r="DR30" s="287">
        <v>31</v>
      </c>
      <c r="DS30" s="286">
        <v>34</v>
      </c>
      <c r="DT30" s="287">
        <v>65</v>
      </c>
      <c r="DU30" s="70"/>
      <c r="DV30" s="288">
        <v>5</v>
      </c>
      <c r="DW30" s="289">
        <v>8</v>
      </c>
      <c r="DX30" s="289">
        <v>8</v>
      </c>
      <c r="DY30" s="289">
        <v>10</v>
      </c>
      <c r="DZ30" s="292">
        <v>31</v>
      </c>
      <c r="EA30" s="289">
        <v>45</v>
      </c>
      <c r="EB30" s="292">
        <v>76</v>
      </c>
      <c r="EC30" s="48"/>
      <c r="ED30" s="293">
        <v>10</v>
      </c>
      <c r="EE30" s="294">
        <v>10</v>
      </c>
      <c r="EF30" s="294">
        <v>10</v>
      </c>
      <c r="EG30" s="294">
        <v>10</v>
      </c>
      <c r="EH30" s="297">
        <v>40</v>
      </c>
      <c r="EI30" s="294">
        <v>36</v>
      </c>
      <c r="EJ30" s="297">
        <v>76</v>
      </c>
      <c r="EK30" s="95"/>
      <c r="EL30" s="298"/>
      <c r="EM30" s="299">
        <v>10</v>
      </c>
      <c r="EN30" s="299">
        <v>10</v>
      </c>
      <c r="EO30" s="299">
        <v>10</v>
      </c>
      <c r="EP30" s="302">
        <v>30</v>
      </c>
      <c r="EQ30" s="299">
        <v>39</v>
      </c>
      <c r="ER30" s="302">
        <v>69</v>
      </c>
    </row>
    <row r="31" spans="1:148" ht="15.75">
      <c r="A31" s="211">
        <v>29</v>
      </c>
      <c r="B31" s="151" t="s">
        <v>180</v>
      </c>
      <c r="C31" s="214">
        <v>7</v>
      </c>
      <c r="D31" s="215">
        <v>7</v>
      </c>
      <c r="E31" s="215">
        <v>9</v>
      </c>
      <c r="F31" s="215">
        <v>10</v>
      </c>
      <c r="G31" s="48">
        <f t="shared" ref="G31:G52" si="14">SUM(C31:F31)</f>
        <v>33</v>
      </c>
      <c r="H31" s="216">
        <v>41</v>
      </c>
      <c r="I31" s="48">
        <f t="shared" ref="I31:I52" si="15">G31+H31</f>
        <v>74</v>
      </c>
      <c r="J31" s="151"/>
      <c r="K31" s="217">
        <v>4</v>
      </c>
      <c r="L31" s="218">
        <v>2</v>
      </c>
      <c r="M31" s="218">
        <v>10</v>
      </c>
      <c r="N31" s="218">
        <v>10</v>
      </c>
      <c r="O31" s="52">
        <f t="shared" si="13"/>
        <v>26</v>
      </c>
      <c r="P31" s="222">
        <v>24</v>
      </c>
      <c r="Q31" s="52">
        <f t="shared" si="4"/>
        <v>50</v>
      </c>
      <c r="R31" s="70"/>
      <c r="S31" s="224">
        <v>9</v>
      </c>
      <c r="T31" s="225">
        <v>7</v>
      </c>
      <c r="U31" s="225">
        <v>5</v>
      </c>
      <c r="V31" s="225">
        <v>6</v>
      </c>
      <c r="W31" s="70">
        <f t="shared" si="0"/>
        <v>27</v>
      </c>
      <c r="X31" s="226">
        <v>32</v>
      </c>
      <c r="Y31" s="70">
        <f t="shared" si="5"/>
        <v>59</v>
      </c>
      <c r="Z31" s="70">
        <f t="shared" si="6"/>
        <v>18</v>
      </c>
      <c r="AA31" s="70" t="str">
        <f t="shared" si="7"/>
        <v>C</v>
      </c>
      <c r="AB31" s="70" t="str">
        <f t="shared" si="8"/>
        <v>Credit</v>
      </c>
      <c r="AC31" s="151"/>
      <c r="AD31" s="228"/>
      <c r="AE31" s="229"/>
      <c r="AF31" s="229"/>
      <c r="AG31" s="229"/>
      <c r="AH31" s="44">
        <f t="shared" si="9"/>
        <v>0</v>
      </c>
      <c r="AI31" s="232"/>
      <c r="AJ31" s="44">
        <f t="shared" si="10"/>
        <v>0</v>
      </c>
      <c r="AK31" s="3"/>
      <c r="AL31" s="234">
        <v>4</v>
      </c>
      <c r="AM31" s="235">
        <v>10</v>
      </c>
      <c r="AN31" s="235">
        <v>8</v>
      </c>
      <c r="AO31" s="235">
        <v>8</v>
      </c>
      <c r="AP31" s="75">
        <f t="shared" si="11"/>
        <v>30</v>
      </c>
      <c r="AQ31" s="241">
        <v>25</v>
      </c>
      <c r="AR31" s="75">
        <f t="shared" si="12"/>
        <v>55</v>
      </c>
      <c r="AS31" s="79"/>
      <c r="AT31" s="242">
        <v>2</v>
      </c>
      <c r="AU31" s="243">
        <v>5</v>
      </c>
      <c r="AV31" s="243">
        <v>10</v>
      </c>
      <c r="AW31" s="243">
        <v>4</v>
      </c>
      <c r="AX31" s="244">
        <v>21</v>
      </c>
      <c r="AY31" s="243">
        <v>25</v>
      </c>
      <c r="AZ31" s="244">
        <v>46</v>
      </c>
      <c r="BA31" s="154"/>
      <c r="BB31" s="245">
        <v>10</v>
      </c>
      <c r="BC31" s="246">
        <v>7</v>
      </c>
      <c r="BD31" s="246">
        <v>9</v>
      </c>
      <c r="BE31" s="246">
        <v>5</v>
      </c>
      <c r="BF31" s="247">
        <v>31</v>
      </c>
      <c r="BG31" s="246">
        <v>40</v>
      </c>
      <c r="BH31" s="247">
        <v>71</v>
      </c>
      <c r="BI31" s="48"/>
      <c r="BJ31" s="249">
        <v>7</v>
      </c>
      <c r="BK31" s="249">
        <v>8</v>
      </c>
      <c r="BL31" s="249">
        <v>10</v>
      </c>
      <c r="BM31" s="249">
        <v>10</v>
      </c>
      <c r="BN31" s="250">
        <v>35</v>
      </c>
      <c r="BO31" s="249">
        <v>35</v>
      </c>
      <c r="BP31" s="250">
        <v>70</v>
      </c>
      <c r="BQ31" s="62"/>
      <c r="BR31" s="252">
        <v>4</v>
      </c>
      <c r="BS31" s="253">
        <v>9</v>
      </c>
      <c r="BT31" s="253">
        <v>10</v>
      </c>
      <c r="BU31" s="253">
        <v>10</v>
      </c>
      <c r="BV31" s="254">
        <v>33</v>
      </c>
      <c r="BW31" s="253">
        <v>30</v>
      </c>
      <c r="BX31" s="254">
        <v>63</v>
      </c>
      <c r="BY31" s="151"/>
      <c r="BZ31" s="255">
        <v>4</v>
      </c>
      <c r="CA31" s="256">
        <v>9</v>
      </c>
      <c r="CB31" s="256">
        <v>6</v>
      </c>
      <c r="CC31" s="256">
        <v>6</v>
      </c>
      <c r="CD31" s="257">
        <v>25</v>
      </c>
      <c r="CE31" s="256">
        <v>24</v>
      </c>
      <c r="CF31" s="257">
        <v>49</v>
      </c>
      <c r="CG31" s="154"/>
      <c r="CH31" s="258">
        <v>8</v>
      </c>
      <c r="CI31" s="259">
        <v>10</v>
      </c>
      <c r="CJ31" s="259">
        <v>10</v>
      </c>
      <c r="CK31" s="259">
        <v>10</v>
      </c>
      <c r="CL31" s="260">
        <v>38</v>
      </c>
      <c r="CM31" s="259">
        <v>26</v>
      </c>
      <c r="CN31" s="260">
        <v>64</v>
      </c>
      <c r="CO31" s="66"/>
      <c r="CP31" s="261">
        <v>7</v>
      </c>
      <c r="CQ31" s="262">
        <v>6</v>
      </c>
      <c r="CR31" s="262">
        <v>7</v>
      </c>
      <c r="CS31" s="262">
        <v>7</v>
      </c>
      <c r="CT31" s="263">
        <v>27</v>
      </c>
      <c r="CU31" s="262">
        <v>30</v>
      </c>
      <c r="CV31" s="263">
        <v>57</v>
      </c>
      <c r="CW31" s="151"/>
      <c r="CX31" s="265">
        <v>4</v>
      </c>
      <c r="CY31" s="272">
        <v>4</v>
      </c>
      <c r="CZ31" s="269">
        <v>9</v>
      </c>
      <c r="DA31" s="270">
        <v>9</v>
      </c>
      <c r="DB31" s="267">
        <v>26</v>
      </c>
      <c r="DC31" s="279">
        <v>26</v>
      </c>
      <c r="DD31" s="267">
        <v>52</v>
      </c>
      <c r="DE31" s="48"/>
      <c r="DF31" s="282">
        <v>10</v>
      </c>
      <c r="DG31" s="283">
        <v>7</v>
      </c>
      <c r="DH31" s="283">
        <v>10</v>
      </c>
      <c r="DI31" s="283">
        <v>10</v>
      </c>
      <c r="DJ31" s="284">
        <v>37</v>
      </c>
      <c r="DK31" s="283">
        <v>43</v>
      </c>
      <c r="DL31" s="284">
        <v>80</v>
      </c>
      <c r="DM31" s="48"/>
      <c r="DN31" s="285">
        <v>3</v>
      </c>
      <c r="DO31" s="286">
        <v>5</v>
      </c>
      <c r="DP31" s="286">
        <v>8</v>
      </c>
      <c r="DQ31" s="286">
        <v>10</v>
      </c>
      <c r="DR31" s="287">
        <v>26</v>
      </c>
      <c r="DS31" s="286">
        <v>33</v>
      </c>
      <c r="DT31" s="287">
        <v>59</v>
      </c>
      <c r="DU31" s="70"/>
      <c r="DV31" s="288">
        <v>5</v>
      </c>
      <c r="DW31" s="289">
        <v>10</v>
      </c>
      <c r="DX31" s="289">
        <v>9</v>
      </c>
      <c r="DY31" s="289">
        <v>10</v>
      </c>
      <c r="DZ31" s="292">
        <v>34</v>
      </c>
      <c r="EA31" s="289">
        <v>27</v>
      </c>
      <c r="EB31" s="292">
        <v>61</v>
      </c>
      <c r="EC31" s="48"/>
      <c r="ED31" s="293">
        <v>8</v>
      </c>
      <c r="EE31" s="294">
        <v>6</v>
      </c>
      <c r="EF31" s="294">
        <v>8</v>
      </c>
      <c r="EG31" s="294">
        <v>10</v>
      </c>
      <c r="EH31" s="297">
        <v>32</v>
      </c>
      <c r="EI31" s="294">
        <v>37</v>
      </c>
      <c r="EJ31" s="297">
        <v>69</v>
      </c>
      <c r="EK31" s="95"/>
      <c r="EL31" s="298">
        <v>8</v>
      </c>
      <c r="EM31" s="299">
        <v>8</v>
      </c>
      <c r="EN31" s="299">
        <v>10</v>
      </c>
      <c r="EO31" s="299">
        <v>10</v>
      </c>
      <c r="EP31" s="302">
        <v>36</v>
      </c>
      <c r="EQ31" s="299">
        <v>39</v>
      </c>
      <c r="ER31" s="302">
        <v>75</v>
      </c>
    </row>
    <row r="32" spans="1:148" ht="15.75">
      <c r="A32" s="212">
        <v>30</v>
      </c>
      <c r="B32" s="153" t="s">
        <v>181</v>
      </c>
      <c r="C32" s="214">
        <v>4</v>
      </c>
      <c r="D32" s="215">
        <v>7</v>
      </c>
      <c r="E32" s="215">
        <v>9</v>
      </c>
      <c r="F32" s="215">
        <v>10</v>
      </c>
      <c r="G32" s="48">
        <f t="shared" si="14"/>
        <v>30</v>
      </c>
      <c r="H32" s="216">
        <v>27</v>
      </c>
      <c r="I32" s="48">
        <f t="shared" si="15"/>
        <v>57</v>
      </c>
      <c r="J32" s="153"/>
      <c r="K32" s="217">
        <v>5</v>
      </c>
      <c r="L32" s="218">
        <v>3</v>
      </c>
      <c r="M32" s="218">
        <v>10</v>
      </c>
      <c r="N32" s="218">
        <v>10</v>
      </c>
      <c r="O32" s="52">
        <f t="shared" si="13"/>
        <v>28</v>
      </c>
      <c r="P32" s="222">
        <v>15</v>
      </c>
      <c r="Q32" s="52">
        <f t="shared" si="4"/>
        <v>43</v>
      </c>
      <c r="R32" s="70"/>
      <c r="S32" s="224">
        <v>8</v>
      </c>
      <c r="T32" s="225">
        <v>6</v>
      </c>
      <c r="U32" s="225">
        <v>5</v>
      </c>
      <c r="V32" s="225">
        <v>8</v>
      </c>
      <c r="W32" s="70">
        <f t="shared" si="0"/>
        <v>27</v>
      </c>
      <c r="X32" s="226">
        <v>31</v>
      </c>
      <c r="Y32" s="70">
        <f t="shared" si="5"/>
        <v>58</v>
      </c>
      <c r="Z32" s="70">
        <f t="shared" si="6"/>
        <v>19</v>
      </c>
      <c r="AA32" s="70" t="str">
        <f t="shared" si="7"/>
        <v>C</v>
      </c>
      <c r="AB32" s="70" t="str">
        <f t="shared" si="8"/>
        <v>Credit</v>
      </c>
      <c r="AC32" s="153"/>
      <c r="AD32" s="228"/>
      <c r="AE32" s="229"/>
      <c r="AF32" s="229"/>
      <c r="AG32" s="229"/>
      <c r="AH32" s="44">
        <f t="shared" si="9"/>
        <v>0</v>
      </c>
      <c r="AI32" s="232"/>
      <c r="AJ32" s="44">
        <f t="shared" si="10"/>
        <v>0</v>
      </c>
      <c r="AK32" s="3"/>
      <c r="AL32" s="234">
        <v>1</v>
      </c>
      <c r="AM32" s="235">
        <v>9</v>
      </c>
      <c r="AN32" s="235">
        <v>10</v>
      </c>
      <c r="AO32" s="235">
        <v>10</v>
      </c>
      <c r="AP32" s="75">
        <f t="shared" si="11"/>
        <v>30</v>
      </c>
      <c r="AQ32" s="241">
        <v>11</v>
      </c>
      <c r="AR32" s="75">
        <f t="shared" si="12"/>
        <v>41</v>
      </c>
      <c r="AS32" s="79"/>
      <c r="AT32" s="242">
        <v>1</v>
      </c>
      <c r="AU32" s="243">
        <v>5</v>
      </c>
      <c r="AV32" s="243">
        <v>5</v>
      </c>
      <c r="AW32" s="243">
        <v>10</v>
      </c>
      <c r="AX32" s="244">
        <v>21</v>
      </c>
      <c r="AY32" s="243">
        <v>13</v>
      </c>
      <c r="AZ32" s="244">
        <v>34</v>
      </c>
      <c r="BA32" s="153"/>
      <c r="BB32" s="245">
        <v>2</v>
      </c>
      <c r="BC32" s="246">
        <v>8</v>
      </c>
      <c r="BD32" s="246">
        <v>4</v>
      </c>
      <c r="BE32" s="246">
        <v>10</v>
      </c>
      <c r="BF32" s="247">
        <v>24</v>
      </c>
      <c r="BG32" s="246">
        <v>24</v>
      </c>
      <c r="BH32" s="247">
        <v>48</v>
      </c>
      <c r="BI32" s="48"/>
      <c r="BJ32" s="249">
        <v>7</v>
      </c>
      <c r="BK32" s="249">
        <v>4</v>
      </c>
      <c r="BL32" s="249">
        <v>10</v>
      </c>
      <c r="BM32" s="249">
        <v>8</v>
      </c>
      <c r="BN32" s="250">
        <v>29</v>
      </c>
      <c r="BO32" s="249">
        <v>21</v>
      </c>
      <c r="BP32" s="250">
        <v>50</v>
      </c>
      <c r="BQ32" s="62"/>
      <c r="BR32" s="252">
        <v>7</v>
      </c>
      <c r="BS32" s="253">
        <v>9</v>
      </c>
      <c r="BT32" s="253">
        <v>10</v>
      </c>
      <c r="BU32" s="253">
        <v>10</v>
      </c>
      <c r="BV32" s="254">
        <v>36</v>
      </c>
      <c r="BW32" s="253">
        <v>31</v>
      </c>
      <c r="BX32" s="254">
        <v>67</v>
      </c>
      <c r="BY32" s="153"/>
      <c r="BZ32" s="255">
        <v>6</v>
      </c>
      <c r="CA32" s="256">
        <v>5</v>
      </c>
      <c r="CB32" s="256">
        <v>8</v>
      </c>
      <c r="CC32" s="256">
        <v>10</v>
      </c>
      <c r="CD32" s="257">
        <v>29</v>
      </c>
      <c r="CE32" s="256">
        <v>28</v>
      </c>
      <c r="CF32" s="257">
        <v>57</v>
      </c>
      <c r="CG32" s="153"/>
      <c r="CH32" s="258">
        <v>7</v>
      </c>
      <c r="CI32" s="259">
        <v>5</v>
      </c>
      <c r="CJ32" s="259">
        <v>10</v>
      </c>
      <c r="CK32" s="259">
        <v>10</v>
      </c>
      <c r="CL32" s="260">
        <v>32</v>
      </c>
      <c r="CM32" s="259">
        <v>28</v>
      </c>
      <c r="CN32" s="260">
        <v>60</v>
      </c>
      <c r="CO32" s="66"/>
      <c r="CP32" s="261">
        <v>7</v>
      </c>
      <c r="CQ32" s="262">
        <v>5</v>
      </c>
      <c r="CR32" s="262">
        <v>10</v>
      </c>
      <c r="CS32" s="262">
        <v>8</v>
      </c>
      <c r="CT32" s="263">
        <v>30</v>
      </c>
      <c r="CU32" s="262">
        <v>35</v>
      </c>
      <c r="CV32" s="263">
        <v>65</v>
      </c>
      <c r="CW32" s="153"/>
      <c r="CX32" s="265">
        <v>6</v>
      </c>
      <c r="CY32" s="271">
        <v>6</v>
      </c>
      <c r="CZ32" s="269">
        <v>9</v>
      </c>
      <c r="DA32" s="270">
        <v>9</v>
      </c>
      <c r="DB32" s="267">
        <v>30</v>
      </c>
      <c r="DC32" s="279">
        <v>16</v>
      </c>
      <c r="DD32" s="267">
        <v>46</v>
      </c>
      <c r="DE32" s="48"/>
      <c r="DF32" s="282">
        <v>6</v>
      </c>
      <c r="DG32" s="283">
        <v>2</v>
      </c>
      <c r="DH32" s="283">
        <v>10</v>
      </c>
      <c r="DI32" s="283">
        <v>10</v>
      </c>
      <c r="DJ32" s="284">
        <v>28</v>
      </c>
      <c r="DK32" s="283">
        <v>32</v>
      </c>
      <c r="DL32" s="284">
        <v>60</v>
      </c>
      <c r="DM32" s="48"/>
      <c r="DN32" s="285">
        <v>5</v>
      </c>
      <c r="DO32" s="286">
        <v>8</v>
      </c>
      <c r="DP32" s="286">
        <v>5</v>
      </c>
      <c r="DQ32" s="286">
        <v>9</v>
      </c>
      <c r="DR32" s="287">
        <v>27</v>
      </c>
      <c r="DS32" s="286">
        <v>18</v>
      </c>
      <c r="DT32" s="287">
        <v>45</v>
      </c>
      <c r="DU32" s="70"/>
      <c r="DV32" s="288">
        <v>4</v>
      </c>
      <c r="DW32" s="289">
        <v>4</v>
      </c>
      <c r="DX32" s="289">
        <v>10</v>
      </c>
      <c r="DY32" s="289">
        <v>10</v>
      </c>
      <c r="DZ32" s="292">
        <v>28</v>
      </c>
      <c r="EA32" s="289">
        <v>15</v>
      </c>
      <c r="EB32" s="292">
        <v>43</v>
      </c>
      <c r="EC32" s="48"/>
      <c r="ED32" s="293">
        <v>7</v>
      </c>
      <c r="EE32" s="294">
        <v>4</v>
      </c>
      <c r="EF32" s="294">
        <v>8</v>
      </c>
      <c r="EG32" s="294">
        <v>10</v>
      </c>
      <c r="EH32" s="297">
        <v>29</v>
      </c>
      <c r="EI32" s="294">
        <v>35</v>
      </c>
      <c r="EJ32" s="297">
        <v>64</v>
      </c>
      <c r="EK32" s="95"/>
      <c r="EL32" s="298">
        <v>5</v>
      </c>
      <c r="EM32" s="299">
        <v>8</v>
      </c>
      <c r="EN32" s="299">
        <v>10</v>
      </c>
      <c r="EO32" s="299">
        <v>10</v>
      </c>
      <c r="EP32" s="302">
        <v>33</v>
      </c>
      <c r="EQ32" s="299">
        <v>37</v>
      </c>
      <c r="ER32" s="302">
        <v>70</v>
      </c>
    </row>
    <row r="33" spans="1:148" ht="15.75">
      <c r="A33" s="211">
        <v>31</v>
      </c>
      <c r="B33" s="154" t="s">
        <v>182</v>
      </c>
      <c r="C33" s="214">
        <v>5</v>
      </c>
      <c r="D33" s="215">
        <v>4</v>
      </c>
      <c r="E33" s="215">
        <v>10</v>
      </c>
      <c r="F33" s="215">
        <v>9</v>
      </c>
      <c r="G33" s="48">
        <f t="shared" si="14"/>
        <v>28</v>
      </c>
      <c r="H33" s="216">
        <v>25</v>
      </c>
      <c r="I33" s="48">
        <f t="shared" si="15"/>
        <v>53</v>
      </c>
      <c r="J33" s="154"/>
      <c r="K33" s="217">
        <v>1</v>
      </c>
      <c r="L33" s="218">
        <v>1</v>
      </c>
      <c r="M33" s="218">
        <v>10</v>
      </c>
      <c r="N33" s="218">
        <v>10</v>
      </c>
      <c r="O33" s="52">
        <f t="shared" si="13"/>
        <v>22</v>
      </c>
      <c r="P33" s="222">
        <v>27</v>
      </c>
      <c r="Q33" s="52">
        <f t="shared" si="4"/>
        <v>49</v>
      </c>
      <c r="R33" s="70"/>
      <c r="S33" s="224">
        <v>7</v>
      </c>
      <c r="T33" s="225">
        <v>6</v>
      </c>
      <c r="U33" s="225">
        <v>5</v>
      </c>
      <c r="V33" s="225">
        <v>9</v>
      </c>
      <c r="W33" s="70">
        <f t="shared" si="0"/>
        <v>27</v>
      </c>
      <c r="X33" s="226">
        <v>30</v>
      </c>
      <c r="Y33" s="70">
        <f t="shared" si="5"/>
        <v>57</v>
      </c>
      <c r="Z33" s="70">
        <f t="shared" si="6"/>
        <v>23</v>
      </c>
      <c r="AA33" s="70" t="str">
        <f t="shared" si="7"/>
        <v>C</v>
      </c>
      <c r="AB33" s="70" t="str">
        <f t="shared" si="8"/>
        <v>Credit</v>
      </c>
      <c r="AC33" s="154"/>
      <c r="AD33" s="228">
        <v>2</v>
      </c>
      <c r="AE33" s="229">
        <v>1</v>
      </c>
      <c r="AF33" s="229">
        <v>2</v>
      </c>
      <c r="AG33" s="229">
        <v>10</v>
      </c>
      <c r="AH33" s="44">
        <f t="shared" si="9"/>
        <v>15</v>
      </c>
      <c r="AI33" s="232">
        <v>31</v>
      </c>
      <c r="AJ33" s="44">
        <f t="shared" si="10"/>
        <v>46</v>
      </c>
      <c r="AK33" s="3"/>
      <c r="AL33" s="234">
        <v>1</v>
      </c>
      <c r="AM33" s="235">
        <v>3</v>
      </c>
      <c r="AN33" s="235">
        <v>8</v>
      </c>
      <c r="AO33" s="235">
        <v>7</v>
      </c>
      <c r="AP33" s="75">
        <f t="shared" si="11"/>
        <v>19</v>
      </c>
      <c r="AQ33" s="241">
        <v>12</v>
      </c>
      <c r="AR33" s="75">
        <f t="shared" si="12"/>
        <v>31</v>
      </c>
      <c r="AS33" s="79"/>
      <c r="AT33" s="242">
        <v>1</v>
      </c>
      <c r="AU33" s="243">
        <v>4</v>
      </c>
      <c r="AV33" s="243">
        <v>10</v>
      </c>
      <c r="AW33" s="243">
        <v>9</v>
      </c>
      <c r="AX33" s="244">
        <v>24</v>
      </c>
      <c r="AY33" s="243">
        <v>20</v>
      </c>
      <c r="AZ33" s="244">
        <v>44</v>
      </c>
      <c r="BA33" s="151"/>
      <c r="BB33" s="245">
        <v>1</v>
      </c>
      <c r="BC33" s="246">
        <v>1</v>
      </c>
      <c r="BD33" s="246">
        <v>8</v>
      </c>
      <c r="BE33" s="246">
        <v>7</v>
      </c>
      <c r="BF33" s="247">
        <v>17</v>
      </c>
      <c r="BG33" s="246">
        <v>30</v>
      </c>
      <c r="BH33" s="247">
        <v>47</v>
      </c>
      <c r="BI33" s="48"/>
      <c r="BJ33" s="251">
        <v>5</v>
      </c>
      <c r="BK33" s="249">
        <v>6</v>
      </c>
      <c r="BL33" s="249">
        <v>10</v>
      </c>
      <c r="BM33" s="249">
        <v>8</v>
      </c>
      <c r="BN33" s="250">
        <v>29</v>
      </c>
      <c r="BO33" s="249">
        <v>18</v>
      </c>
      <c r="BP33" s="250">
        <v>47</v>
      </c>
      <c r="BQ33" s="62"/>
      <c r="BR33" s="252">
        <v>3</v>
      </c>
      <c r="BS33" s="253">
        <v>4</v>
      </c>
      <c r="BT33" s="253">
        <v>8</v>
      </c>
      <c r="BU33" s="253">
        <v>10</v>
      </c>
      <c r="BV33" s="254">
        <v>25</v>
      </c>
      <c r="BW33" s="253">
        <v>25</v>
      </c>
      <c r="BX33" s="254">
        <v>50</v>
      </c>
      <c r="BY33" s="154"/>
      <c r="BZ33" s="255">
        <v>3</v>
      </c>
      <c r="CA33" s="256">
        <v>5</v>
      </c>
      <c r="CB33" s="256">
        <v>10</v>
      </c>
      <c r="CC33" s="256">
        <v>10</v>
      </c>
      <c r="CD33" s="257">
        <v>28</v>
      </c>
      <c r="CE33" s="256">
        <v>20</v>
      </c>
      <c r="CF33" s="257">
        <v>48</v>
      </c>
      <c r="CG33" s="151"/>
      <c r="CH33" s="258">
        <v>7</v>
      </c>
      <c r="CI33" s="259">
        <v>7</v>
      </c>
      <c r="CJ33" s="259">
        <v>10</v>
      </c>
      <c r="CK33" s="259">
        <v>10</v>
      </c>
      <c r="CL33" s="260">
        <v>34</v>
      </c>
      <c r="CM33" s="259">
        <v>32</v>
      </c>
      <c r="CN33" s="260">
        <v>66</v>
      </c>
      <c r="CO33" s="66"/>
      <c r="CP33" s="261">
        <v>4</v>
      </c>
      <c r="CQ33" s="262">
        <v>3</v>
      </c>
      <c r="CR33" s="262">
        <v>10</v>
      </c>
      <c r="CS33" s="262">
        <v>8</v>
      </c>
      <c r="CT33" s="263">
        <v>25</v>
      </c>
      <c r="CU33" s="262">
        <v>25</v>
      </c>
      <c r="CV33" s="263">
        <v>50</v>
      </c>
      <c r="CW33" s="154"/>
      <c r="CX33" s="265">
        <v>2</v>
      </c>
      <c r="CY33" s="272">
        <v>6</v>
      </c>
      <c r="CZ33" s="269">
        <v>10</v>
      </c>
      <c r="DA33" s="270">
        <v>10</v>
      </c>
      <c r="DB33" s="267">
        <v>28</v>
      </c>
      <c r="DC33" s="279">
        <v>26</v>
      </c>
      <c r="DD33" s="267">
        <v>54</v>
      </c>
      <c r="DE33" s="48"/>
      <c r="DF33" s="282">
        <v>1</v>
      </c>
      <c r="DG33" s="283">
        <v>2</v>
      </c>
      <c r="DH33" s="283">
        <v>9</v>
      </c>
      <c r="DI33" s="283">
        <v>9</v>
      </c>
      <c r="DJ33" s="284">
        <v>21</v>
      </c>
      <c r="DK33" s="283">
        <v>12</v>
      </c>
      <c r="DL33" s="284">
        <v>33</v>
      </c>
      <c r="DM33" s="48"/>
      <c r="DN33" s="285">
        <v>2</v>
      </c>
      <c r="DO33" s="286">
        <v>1</v>
      </c>
      <c r="DP33" s="286">
        <v>5</v>
      </c>
      <c r="DQ33" s="286">
        <v>8</v>
      </c>
      <c r="DR33" s="287">
        <v>16</v>
      </c>
      <c r="DS33" s="286">
        <v>12</v>
      </c>
      <c r="DT33" s="287">
        <v>28</v>
      </c>
      <c r="DU33" s="70"/>
      <c r="DV33" s="288">
        <v>1</v>
      </c>
      <c r="DW33" s="289">
        <v>3</v>
      </c>
      <c r="DX33" s="289">
        <v>8</v>
      </c>
      <c r="DY33" s="289">
        <v>8</v>
      </c>
      <c r="DZ33" s="292">
        <v>20</v>
      </c>
      <c r="EA33" s="289">
        <v>20</v>
      </c>
      <c r="EB33" s="292">
        <v>40</v>
      </c>
      <c r="EC33" s="48"/>
      <c r="ED33" s="293">
        <v>3</v>
      </c>
      <c r="EE33" s="294">
        <v>3</v>
      </c>
      <c r="EF33" s="294">
        <v>10</v>
      </c>
      <c r="EG33" s="294">
        <v>9</v>
      </c>
      <c r="EH33" s="297">
        <v>25</v>
      </c>
      <c r="EI33" s="294">
        <v>31</v>
      </c>
      <c r="EJ33" s="297">
        <v>56</v>
      </c>
      <c r="EK33" s="95"/>
      <c r="EL33" s="298"/>
      <c r="EM33" s="299"/>
      <c r="EN33" s="299"/>
      <c r="EO33" s="299"/>
      <c r="EP33" s="302">
        <v>0</v>
      </c>
      <c r="EQ33" s="299"/>
      <c r="ER33" s="302">
        <v>0</v>
      </c>
    </row>
    <row r="34" spans="1:148" ht="15.75">
      <c r="A34" s="212">
        <v>32</v>
      </c>
      <c r="B34" s="155" t="s">
        <v>183</v>
      </c>
      <c r="C34" s="214">
        <v>7</v>
      </c>
      <c r="D34" s="215">
        <v>4</v>
      </c>
      <c r="E34" s="215">
        <v>10</v>
      </c>
      <c r="F34" s="215">
        <v>10</v>
      </c>
      <c r="G34" s="48">
        <f t="shared" si="14"/>
        <v>31</v>
      </c>
      <c r="H34" s="216">
        <v>26</v>
      </c>
      <c r="I34" s="48">
        <f t="shared" si="15"/>
        <v>57</v>
      </c>
      <c r="J34" s="155"/>
      <c r="K34" s="217">
        <v>1</v>
      </c>
      <c r="L34" s="218">
        <v>3</v>
      </c>
      <c r="M34" s="218">
        <v>10</v>
      </c>
      <c r="N34" s="218">
        <v>10</v>
      </c>
      <c r="O34" s="52">
        <f t="shared" si="13"/>
        <v>24</v>
      </c>
      <c r="P34" s="222">
        <v>24</v>
      </c>
      <c r="Q34" s="52">
        <f t="shared" si="4"/>
        <v>48</v>
      </c>
      <c r="R34" s="70"/>
      <c r="S34" s="224">
        <v>8</v>
      </c>
      <c r="T34" s="225">
        <v>3</v>
      </c>
      <c r="U34" s="225">
        <v>5</v>
      </c>
      <c r="V34" s="225">
        <v>5</v>
      </c>
      <c r="W34" s="70">
        <f t="shared" si="0"/>
        <v>21</v>
      </c>
      <c r="X34" s="226">
        <v>36</v>
      </c>
      <c r="Y34" s="70">
        <f t="shared" si="5"/>
        <v>57</v>
      </c>
      <c r="Z34" s="70">
        <f t="shared" si="6"/>
        <v>23</v>
      </c>
      <c r="AA34" s="70" t="str">
        <f t="shared" si="7"/>
        <v>C</v>
      </c>
      <c r="AB34" s="70" t="str">
        <f t="shared" si="8"/>
        <v>Credit</v>
      </c>
      <c r="AC34" s="155"/>
      <c r="AD34" s="228"/>
      <c r="AE34" s="229"/>
      <c r="AF34" s="229"/>
      <c r="AG34" s="229"/>
      <c r="AH34" s="44">
        <f t="shared" si="9"/>
        <v>0</v>
      </c>
      <c r="AI34" s="232"/>
      <c r="AJ34" s="44">
        <f t="shared" si="10"/>
        <v>0</v>
      </c>
      <c r="AK34" s="3"/>
      <c r="AL34" s="234">
        <v>4</v>
      </c>
      <c r="AM34" s="235">
        <v>5</v>
      </c>
      <c r="AN34" s="235">
        <v>7</v>
      </c>
      <c r="AO34" s="235">
        <v>7</v>
      </c>
      <c r="AP34" s="75">
        <f t="shared" si="11"/>
        <v>23</v>
      </c>
      <c r="AQ34" s="241">
        <v>26</v>
      </c>
      <c r="AR34" s="75">
        <f t="shared" si="12"/>
        <v>49</v>
      </c>
      <c r="AS34" s="79"/>
      <c r="AT34" s="242">
        <v>1</v>
      </c>
      <c r="AU34" s="243">
        <v>1</v>
      </c>
      <c r="AV34" s="243">
        <v>10</v>
      </c>
      <c r="AW34" s="243">
        <v>4</v>
      </c>
      <c r="AX34" s="244">
        <v>16</v>
      </c>
      <c r="AY34" s="243">
        <v>12</v>
      </c>
      <c r="AZ34" s="244">
        <v>28</v>
      </c>
      <c r="BA34" s="155"/>
      <c r="BB34" s="245">
        <v>5</v>
      </c>
      <c r="BC34" s="246">
        <v>4</v>
      </c>
      <c r="BD34" s="246">
        <v>3</v>
      </c>
      <c r="BE34" s="246">
        <v>10</v>
      </c>
      <c r="BF34" s="247">
        <v>22</v>
      </c>
      <c r="BG34" s="246">
        <v>34</v>
      </c>
      <c r="BH34" s="247">
        <v>56</v>
      </c>
      <c r="BI34" s="48"/>
      <c r="BJ34" s="249">
        <v>4</v>
      </c>
      <c r="BK34" s="249">
        <v>7</v>
      </c>
      <c r="BL34" s="249">
        <v>10</v>
      </c>
      <c r="BM34" s="249">
        <v>8</v>
      </c>
      <c r="BN34" s="250">
        <v>29</v>
      </c>
      <c r="BO34" s="249">
        <v>19</v>
      </c>
      <c r="BP34" s="250">
        <v>48</v>
      </c>
      <c r="BQ34" s="62"/>
      <c r="BR34" s="252">
        <v>4</v>
      </c>
      <c r="BS34" s="253">
        <v>2</v>
      </c>
      <c r="BT34" s="253">
        <v>7</v>
      </c>
      <c r="BU34" s="253">
        <v>8</v>
      </c>
      <c r="BV34" s="254">
        <v>21</v>
      </c>
      <c r="BW34" s="253">
        <v>30</v>
      </c>
      <c r="BX34" s="254">
        <v>51</v>
      </c>
      <c r="BY34" s="155"/>
      <c r="BZ34" s="255">
        <v>1</v>
      </c>
      <c r="CA34" s="256">
        <v>5</v>
      </c>
      <c r="CB34" s="256">
        <v>10</v>
      </c>
      <c r="CC34" s="256">
        <v>10</v>
      </c>
      <c r="CD34" s="257">
        <v>26</v>
      </c>
      <c r="CE34" s="256">
        <v>20</v>
      </c>
      <c r="CF34" s="257">
        <v>46</v>
      </c>
      <c r="CG34" s="155"/>
      <c r="CH34" s="258">
        <v>5</v>
      </c>
      <c r="CI34" s="259">
        <v>6</v>
      </c>
      <c r="CJ34" s="259">
        <v>8</v>
      </c>
      <c r="CK34" s="259">
        <v>10</v>
      </c>
      <c r="CL34" s="260">
        <v>29</v>
      </c>
      <c r="CM34" s="259">
        <v>29</v>
      </c>
      <c r="CN34" s="260">
        <v>58</v>
      </c>
      <c r="CO34" s="66"/>
      <c r="CP34" s="261">
        <v>2</v>
      </c>
      <c r="CQ34" s="262">
        <v>2</v>
      </c>
      <c r="CR34" s="262">
        <v>8</v>
      </c>
      <c r="CS34" s="262">
        <v>7</v>
      </c>
      <c r="CT34" s="263">
        <v>19</v>
      </c>
      <c r="CU34" s="262">
        <v>20</v>
      </c>
      <c r="CV34" s="263">
        <v>39</v>
      </c>
      <c r="CW34" s="155"/>
      <c r="CX34" s="265">
        <v>2</v>
      </c>
      <c r="CY34" s="271">
        <v>2</v>
      </c>
      <c r="CZ34" s="269">
        <v>9</v>
      </c>
      <c r="DA34" s="270">
        <v>10</v>
      </c>
      <c r="DB34" s="267">
        <v>23</v>
      </c>
      <c r="DC34" s="279">
        <v>19</v>
      </c>
      <c r="DD34" s="267">
        <v>42</v>
      </c>
      <c r="DE34" s="48"/>
      <c r="DF34" s="282">
        <v>4</v>
      </c>
      <c r="DG34" s="283">
        <v>5</v>
      </c>
      <c r="DH34" s="283">
        <v>2</v>
      </c>
      <c r="DI34" s="283">
        <v>4</v>
      </c>
      <c r="DJ34" s="284">
        <v>15</v>
      </c>
      <c r="DK34" s="283">
        <v>21</v>
      </c>
      <c r="DL34" s="284">
        <v>36</v>
      </c>
      <c r="DM34" s="48"/>
      <c r="DN34" s="285">
        <v>1</v>
      </c>
      <c r="DO34" s="286">
        <v>1</v>
      </c>
      <c r="DP34" s="286">
        <v>8</v>
      </c>
      <c r="DQ34" s="286">
        <v>7</v>
      </c>
      <c r="DR34" s="287">
        <v>17</v>
      </c>
      <c r="DS34" s="286">
        <v>10</v>
      </c>
      <c r="DT34" s="287">
        <v>27</v>
      </c>
      <c r="DU34" s="70"/>
      <c r="DV34" s="288">
        <v>3</v>
      </c>
      <c r="DW34" s="289">
        <v>6</v>
      </c>
      <c r="DX34" s="289">
        <v>8</v>
      </c>
      <c r="DY34" s="289">
        <v>10</v>
      </c>
      <c r="DZ34" s="292">
        <v>27</v>
      </c>
      <c r="EA34" s="289">
        <v>14</v>
      </c>
      <c r="EB34" s="292">
        <v>41</v>
      </c>
      <c r="EC34" s="48"/>
      <c r="ED34" s="293">
        <v>2</v>
      </c>
      <c r="EE34" s="294">
        <v>3</v>
      </c>
      <c r="EF34" s="294">
        <v>10</v>
      </c>
      <c r="EG34" s="294">
        <v>7</v>
      </c>
      <c r="EH34" s="297">
        <v>22</v>
      </c>
      <c r="EI34" s="294">
        <v>20</v>
      </c>
      <c r="EJ34" s="297">
        <v>42</v>
      </c>
      <c r="EK34" s="95"/>
      <c r="EL34" s="298">
        <v>7</v>
      </c>
      <c r="EM34" s="299">
        <v>7</v>
      </c>
      <c r="EN34" s="299">
        <v>10</v>
      </c>
      <c r="EO34" s="299">
        <v>10</v>
      </c>
      <c r="EP34" s="302">
        <v>34</v>
      </c>
      <c r="EQ34" s="299">
        <v>31</v>
      </c>
      <c r="ER34" s="302">
        <v>65</v>
      </c>
    </row>
    <row r="35" spans="1:148" ht="15.75">
      <c r="A35" s="211">
        <v>33</v>
      </c>
      <c r="B35" s="154" t="s">
        <v>184</v>
      </c>
      <c r="C35" s="214">
        <v>5</v>
      </c>
      <c r="D35" s="215">
        <v>7</v>
      </c>
      <c r="E35" s="215">
        <v>10</v>
      </c>
      <c r="F35" s="215">
        <v>10</v>
      </c>
      <c r="G35" s="48">
        <f t="shared" si="14"/>
        <v>32</v>
      </c>
      <c r="H35" s="216">
        <v>30</v>
      </c>
      <c r="I35" s="48">
        <f t="shared" si="15"/>
        <v>62</v>
      </c>
      <c r="J35" s="154"/>
      <c r="K35" s="217">
        <v>5</v>
      </c>
      <c r="L35" s="218">
        <v>3</v>
      </c>
      <c r="M35" s="218">
        <v>10</v>
      </c>
      <c r="N35" s="218">
        <v>10</v>
      </c>
      <c r="O35" s="52">
        <f t="shared" si="13"/>
        <v>28</v>
      </c>
      <c r="P35" s="222">
        <v>24</v>
      </c>
      <c r="Q35" s="52">
        <f t="shared" si="4"/>
        <v>52</v>
      </c>
      <c r="R35" s="70"/>
      <c r="S35" s="224">
        <v>10</v>
      </c>
      <c r="T35" s="225">
        <v>6</v>
      </c>
      <c r="U35" s="225">
        <v>5</v>
      </c>
      <c r="V35" s="225">
        <v>9</v>
      </c>
      <c r="W35" s="70">
        <f t="shared" si="0"/>
        <v>30</v>
      </c>
      <c r="X35" s="226">
        <v>47</v>
      </c>
      <c r="Y35" s="70">
        <f t="shared" si="5"/>
        <v>77</v>
      </c>
      <c r="Z35" s="70">
        <f t="shared" si="6"/>
        <v>3</v>
      </c>
      <c r="AA35" s="70" t="str">
        <f t="shared" si="7"/>
        <v>A</v>
      </c>
      <c r="AB35" s="70" t="str">
        <f t="shared" si="8"/>
        <v>Excellent</v>
      </c>
      <c r="AC35" s="154"/>
      <c r="AD35" s="228"/>
      <c r="AE35" s="229"/>
      <c r="AF35" s="229"/>
      <c r="AG35" s="229"/>
      <c r="AH35" s="44">
        <f t="shared" si="9"/>
        <v>0</v>
      </c>
      <c r="AI35" s="232"/>
      <c r="AJ35" s="44">
        <f t="shared" si="10"/>
        <v>0</v>
      </c>
      <c r="AK35" s="3"/>
      <c r="AL35" s="234">
        <v>8</v>
      </c>
      <c r="AM35" s="235">
        <v>4</v>
      </c>
      <c r="AN35" s="235">
        <v>10</v>
      </c>
      <c r="AO35" s="235">
        <v>8</v>
      </c>
      <c r="AP35" s="75">
        <f t="shared" si="11"/>
        <v>30</v>
      </c>
      <c r="AQ35" s="241">
        <v>31</v>
      </c>
      <c r="AR35" s="75">
        <f t="shared" si="12"/>
        <v>61</v>
      </c>
      <c r="AS35" s="79"/>
      <c r="AT35" s="242">
        <v>2</v>
      </c>
      <c r="AU35" s="243">
        <v>1</v>
      </c>
      <c r="AV35" s="243">
        <v>5</v>
      </c>
      <c r="AW35" s="243">
        <v>10</v>
      </c>
      <c r="AX35" s="244">
        <v>18</v>
      </c>
      <c r="AY35" s="243">
        <v>24</v>
      </c>
      <c r="AZ35" s="244">
        <v>42</v>
      </c>
      <c r="BA35" s="151"/>
      <c r="BB35" s="245">
        <v>4</v>
      </c>
      <c r="BC35" s="246">
        <v>4</v>
      </c>
      <c r="BD35" s="246">
        <v>9</v>
      </c>
      <c r="BE35" s="246">
        <v>10</v>
      </c>
      <c r="BF35" s="247">
        <v>27</v>
      </c>
      <c r="BG35" s="246">
        <v>40</v>
      </c>
      <c r="BH35" s="247">
        <v>67</v>
      </c>
      <c r="BI35" s="48"/>
      <c r="BJ35" s="249">
        <v>5</v>
      </c>
      <c r="BK35" s="249">
        <v>9</v>
      </c>
      <c r="BL35" s="249">
        <v>9</v>
      </c>
      <c r="BM35" s="249">
        <v>10</v>
      </c>
      <c r="BN35" s="250">
        <v>33</v>
      </c>
      <c r="BO35" s="249">
        <v>22</v>
      </c>
      <c r="BP35" s="250">
        <v>55</v>
      </c>
      <c r="BQ35" s="62"/>
      <c r="BR35" s="252">
        <v>7</v>
      </c>
      <c r="BS35" s="253">
        <v>7</v>
      </c>
      <c r="BT35" s="253">
        <v>10</v>
      </c>
      <c r="BU35" s="253">
        <v>10</v>
      </c>
      <c r="BV35" s="254">
        <v>34</v>
      </c>
      <c r="BW35" s="253">
        <v>40</v>
      </c>
      <c r="BX35" s="254">
        <v>74</v>
      </c>
      <c r="BY35" s="154"/>
      <c r="BZ35" s="255">
        <v>7</v>
      </c>
      <c r="CA35" s="256">
        <v>8</v>
      </c>
      <c r="CB35" s="256">
        <v>10</v>
      </c>
      <c r="CC35" s="256">
        <v>10</v>
      </c>
      <c r="CD35" s="257">
        <v>35</v>
      </c>
      <c r="CE35" s="256">
        <v>38</v>
      </c>
      <c r="CF35" s="257">
        <v>73</v>
      </c>
      <c r="CG35" s="151"/>
      <c r="CH35" s="258">
        <v>7</v>
      </c>
      <c r="CI35" s="259">
        <v>5</v>
      </c>
      <c r="CJ35" s="259">
        <v>10</v>
      </c>
      <c r="CK35" s="259">
        <v>10</v>
      </c>
      <c r="CL35" s="260">
        <v>32</v>
      </c>
      <c r="CM35" s="259">
        <v>44</v>
      </c>
      <c r="CN35" s="260">
        <v>76</v>
      </c>
      <c r="CO35" s="66"/>
      <c r="CP35" s="261">
        <v>8</v>
      </c>
      <c r="CQ35" s="262">
        <v>7</v>
      </c>
      <c r="CR35" s="262">
        <v>10</v>
      </c>
      <c r="CS35" s="262">
        <v>8</v>
      </c>
      <c r="CT35" s="263">
        <v>33</v>
      </c>
      <c r="CU35" s="262">
        <v>32</v>
      </c>
      <c r="CV35" s="263">
        <v>65</v>
      </c>
      <c r="CW35" s="154"/>
      <c r="CX35" s="265">
        <v>5</v>
      </c>
      <c r="CY35" s="271">
        <v>5</v>
      </c>
      <c r="CZ35" s="269">
        <v>9</v>
      </c>
      <c r="DA35" s="270">
        <v>10</v>
      </c>
      <c r="DB35" s="267">
        <v>29</v>
      </c>
      <c r="DC35" s="279">
        <v>18</v>
      </c>
      <c r="DD35" s="267">
        <v>47</v>
      </c>
      <c r="DE35" s="48"/>
      <c r="DF35" s="282">
        <v>8</v>
      </c>
      <c r="DG35" s="283">
        <v>2</v>
      </c>
      <c r="DH35" s="283">
        <v>10</v>
      </c>
      <c r="DI35" s="283">
        <v>10</v>
      </c>
      <c r="DJ35" s="284">
        <v>30</v>
      </c>
      <c r="DK35" s="283">
        <v>38</v>
      </c>
      <c r="DL35" s="284">
        <v>68</v>
      </c>
      <c r="DM35" s="48"/>
      <c r="DN35" s="285">
        <v>3</v>
      </c>
      <c r="DO35" s="286">
        <v>8</v>
      </c>
      <c r="DP35" s="286">
        <v>6</v>
      </c>
      <c r="DQ35" s="286">
        <v>10</v>
      </c>
      <c r="DR35" s="287">
        <v>27</v>
      </c>
      <c r="DS35" s="286">
        <v>26</v>
      </c>
      <c r="DT35" s="287">
        <v>53</v>
      </c>
      <c r="DU35" s="70"/>
      <c r="DV35" s="288">
        <v>6</v>
      </c>
      <c r="DW35" s="289">
        <v>8</v>
      </c>
      <c r="DX35" s="289">
        <v>8</v>
      </c>
      <c r="DY35" s="289">
        <v>10</v>
      </c>
      <c r="DZ35" s="292">
        <v>32</v>
      </c>
      <c r="EA35" s="289">
        <v>27</v>
      </c>
      <c r="EB35" s="292">
        <v>59</v>
      </c>
      <c r="EC35" s="48"/>
      <c r="ED35" s="293">
        <v>10</v>
      </c>
      <c r="EE35" s="294">
        <v>8</v>
      </c>
      <c r="EF35" s="294">
        <v>7</v>
      </c>
      <c r="EG35" s="294">
        <v>10</v>
      </c>
      <c r="EH35" s="297">
        <v>35</v>
      </c>
      <c r="EI35" s="294">
        <v>41</v>
      </c>
      <c r="EJ35" s="297">
        <v>76</v>
      </c>
      <c r="EK35" s="95"/>
      <c r="EL35" s="298">
        <v>3</v>
      </c>
      <c r="EM35" s="299">
        <v>7</v>
      </c>
      <c r="EN35" s="299">
        <v>5</v>
      </c>
      <c r="EO35" s="299">
        <v>5</v>
      </c>
      <c r="EP35" s="302">
        <v>20</v>
      </c>
      <c r="EQ35" s="299">
        <v>28</v>
      </c>
      <c r="ER35" s="302">
        <v>48</v>
      </c>
    </row>
    <row r="36" spans="1:148" ht="15.75">
      <c r="A36" s="212">
        <v>34</v>
      </c>
      <c r="B36" s="155" t="s">
        <v>185</v>
      </c>
      <c r="C36" s="214">
        <v>9</v>
      </c>
      <c r="D36" s="215">
        <v>4</v>
      </c>
      <c r="E36" s="215">
        <v>10</v>
      </c>
      <c r="F36" s="215">
        <v>10</v>
      </c>
      <c r="G36" s="48">
        <f t="shared" si="14"/>
        <v>33</v>
      </c>
      <c r="H36" s="216">
        <v>25</v>
      </c>
      <c r="I36" s="48">
        <f t="shared" si="15"/>
        <v>58</v>
      </c>
      <c r="J36" s="155"/>
      <c r="K36" s="217">
        <v>5</v>
      </c>
      <c r="L36" s="218">
        <v>7</v>
      </c>
      <c r="M36" s="218">
        <v>10</v>
      </c>
      <c r="N36" s="218">
        <v>10</v>
      </c>
      <c r="O36" s="52">
        <f t="shared" si="13"/>
        <v>32</v>
      </c>
      <c r="P36" s="222">
        <v>20</v>
      </c>
      <c r="Q36" s="52">
        <f t="shared" si="4"/>
        <v>52</v>
      </c>
      <c r="R36" s="70"/>
      <c r="S36" s="224">
        <v>6</v>
      </c>
      <c r="T36" s="225">
        <v>5</v>
      </c>
      <c r="U36" s="225">
        <v>5</v>
      </c>
      <c r="V36" s="225">
        <v>10</v>
      </c>
      <c r="W36" s="70">
        <f t="shared" si="0"/>
        <v>26</v>
      </c>
      <c r="X36" s="226">
        <v>32</v>
      </c>
      <c r="Y36" s="70">
        <f t="shared" si="5"/>
        <v>58</v>
      </c>
      <c r="Z36" s="70">
        <f t="shared" si="6"/>
        <v>19</v>
      </c>
      <c r="AA36" s="70" t="str">
        <f t="shared" si="7"/>
        <v>C</v>
      </c>
      <c r="AB36" s="70" t="str">
        <f t="shared" si="8"/>
        <v>Credit</v>
      </c>
      <c r="AC36" s="155"/>
      <c r="AD36" s="228"/>
      <c r="AE36" s="229"/>
      <c r="AF36" s="229"/>
      <c r="AG36" s="229"/>
      <c r="AH36" s="44">
        <f t="shared" si="9"/>
        <v>0</v>
      </c>
      <c r="AI36" s="232"/>
      <c r="AJ36" s="44">
        <f t="shared" si="10"/>
        <v>0</v>
      </c>
      <c r="AK36" s="3"/>
      <c r="AL36" s="234">
        <v>4</v>
      </c>
      <c r="AM36" s="235">
        <v>2</v>
      </c>
      <c r="AN36" s="235">
        <v>10</v>
      </c>
      <c r="AO36" s="235">
        <v>8</v>
      </c>
      <c r="AP36" s="75">
        <f t="shared" si="11"/>
        <v>24</v>
      </c>
      <c r="AQ36" s="241">
        <v>18</v>
      </c>
      <c r="AR36" s="75">
        <f t="shared" si="12"/>
        <v>42</v>
      </c>
      <c r="AS36" s="79"/>
      <c r="AT36" s="242">
        <v>1</v>
      </c>
      <c r="AU36" s="243">
        <v>5</v>
      </c>
      <c r="AV36" s="243">
        <v>10</v>
      </c>
      <c r="AW36" s="243">
        <v>7</v>
      </c>
      <c r="AX36" s="244">
        <v>23</v>
      </c>
      <c r="AY36" s="243">
        <v>13</v>
      </c>
      <c r="AZ36" s="244">
        <v>36</v>
      </c>
      <c r="BA36" s="155"/>
      <c r="BB36" s="245">
        <v>1</v>
      </c>
      <c r="BC36" s="246">
        <v>6</v>
      </c>
      <c r="BD36" s="246">
        <v>9</v>
      </c>
      <c r="BE36" s="246">
        <v>4</v>
      </c>
      <c r="BF36" s="247">
        <v>20</v>
      </c>
      <c r="BG36" s="246">
        <v>31</v>
      </c>
      <c r="BH36" s="247">
        <v>51</v>
      </c>
      <c r="BI36" s="48"/>
      <c r="BJ36" s="249">
        <v>5</v>
      </c>
      <c r="BK36" s="249">
        <v>7</v>
      </c>
      <c r="BL36" s="249">
        <v>8</v>
      </c>
      <c r="BM36" s="249">
        <v>10</v>
      </c>
      <c r="BN36" s="250">
        <v>30</v>
      </c>
      <c r="BO36" s="249">
        <v>27</v>
      </c>
      <c r="BP36" s="250">
        <v>57</v>
      </c>
      <c r="BQ36" s="62"/>
      <c r="BR36" s="252">
        <v>4</v>
      </c>
      <c r="BS36" s="253">
        <v>2</v>
      </c>
      <c r="BT36" s="253">
        <v>6</v>
      </c>
      <c r="BU36" s="253">
        <v>10</v>
      </c>
      <c r="BV36" s="254">
        <v>22</v>
      </c>
      <c r="BW36" s="253">
        <v>30</v>
      </c>
      <c r="BX36" s="254">
        <v>52</v>
      </c>
      <c r="BY36" s="155"/>
      <c r="BZ36" s="255">
        <v>4</v>
      </c>
      <c r="CA36" s="256">
        <v>4</v>
      </c>
      <c r="CB36" s="256">
        <v>10</v>
      </c>
      <c r="CC36" s="256">
        <v>10</v>
      </c>
      <c r="CD36" s="257">
        <v>28</v>
      </c>
      <c r="CE36" s="256">
        <v>31</v>
      </c>
      <c r="CF36" s="257">
        <v>59</v>
      </c>
      <c r="CG36" s="155"/>
      <c r="CH36" s="258">
        <v>1</v>
      </c>
      <c r="CI36" s="259">
        <v>5</v>
      </c>
      <c r="CJ36" s="259">
        <v>10</v>
      </c>
      <c r="CK36" s="259">
        <v>10</v>
      </c>
      <c r="CL36" s="260">
        <v>26</v>
      </c>
      <c r="CM36" s="259">
        <v>32</v>
      </c>
      <c r="CN36" s="260">
        <v>58</v>
      </c>
      <c r="CO36" s="66"/>
      <c r="CP36" s="261">
        <v>6</v>
      </c>
      <c r="CQ36" s="262">
        <v>2</v>
      </c>
      <c r="CR36" s="262">
        <v>5</v>
      </c>
      <c r="CS36" s="262">
        <v>8</v>
      </c>
      <c r="CT36" s="263">
        <v>21</v>
      </c>
      <c r="CU36" s="262">
        <v>25</v>
      </c>
      <c r="CV36" s="263">
        <v>46</v>
      </c>
      <c r="CW36" s="155"/>
      <c r="CX36" s="265">
        <v>2</v>
      </c>
      <c r="CY36" s="271">
        <v>4</v>
      </c>
      <c r="CZ36" s="269">
        <v>10</v>
      </c>
      <c r="DA36" s="270">
        <v>10</v>
      </c>
      <c r="DB36" s="267">
        <v>26</v>
      </c>
      <c r="DC36" s="279">
        <v>20</v>
      </c>
      <c r="DD36" s="267">
        <v>46</v>
      </c>
      <c r="DE36" s="48"/>
      <c r="DF36" s="282">
        <v>2</v>
      </c>
      <c r="DG36" s="283">
        <v>1</v>
      </c>
      <c r="DH36" s="283">
        <v>5</v>
      </c>
      <c r="DI36" s="283">
        <v>10</v>
      </c>
      <c r="DJ36" s="284">
        <v>18</v>
      </c>
      <c r="DK36" s="283">
        <v>23</v>
      </c>
      <c r="DL36" s="284">
        <v>41</v>
      </c>
      <c r="DM36" s="48"/>
      <c r="DN36" s="285">
        <v>1</v>
      </c>
      <c r="DO36" s="286">
        <v>1</v>
      </c>
      <c r="DP36" s="286">
        <v>4</v>
      </c>
      <c r="DQ36" s="286">
        <v>7</v>
      </c>
      <c r="DR36" s="287">
        <v>13</v>
      </c>
      <c r="DS36" s="286">
        <v>21</v>
      </c>
      <c r="DT36" s="287">
        <v>34</v>
      </c>
      <c r="DU36" s="70"/>
      <c r="DV36" s="288">
        <v>3</v>
      </c>
      <c r="DW36" s="289">
        <v>2</v>
      </c>
      <c r="DX36" s="289">
        <v>10</v>
      </c>
      <c r="DY36" s="289">
        <v>10</v>
      </c>
      <c r="DZ36" s="292">
        <v>25</v>
      </c>
      <c r="EA36" s="289">
        <v>17</v>
      </c>
      <c r="EB36" s="292">
        <v>42</v>
      </c>
      <c r="EC36" s="48"/>
      <c r="ED36" s="293">
        <v>7</v>
      </c>
      <c r="EE36" s="294">
        <v>6</v>
      </c>
      <c r="EF36" s="294">
        <v>8</v>
      </c>
      <c r="EG36" s="294">
        <v>10</v>
      </c>
      <c r="EH36" s="297">
        <v>31</v>
      </c>
      <c r="EI36" s="294">
        <v>32</v>
      </c>
      <c r="EJ36" s="297">
        <v>63</v>
      </c>
      <c r="EK36" s="95"/>
      <c r="EL36" s="298">
        <v>4</v>
      </c>
      <c r="EM36" s="299">
        <v>5</v>
      </c>
      <c r="EN36" s="299">
        <v>5</v>
      </c>
      <c r="EO36" s="299">
        <v>5</v>
      </c>
      <c r="EP36" s="302">
        <v>19</v>
      </c>
      <c r="EQ36" s="299">
        <v>23</v>
      </c>
      <c r="ER36" s="302">
        <v>42</v>
      </c>
    </row>
    <row r="37" spans="1:148" ht="15.75">
      <c r="A37" s="211">
        <v>35</v>
      </c>
      <c r="B37" s="154" t="s">
        <v>186</v>
      </c>
      <c r="C37" s="214">
        <v>3</v>
      </c>
      <c r="D37" s="215">
        <v>5</v>
      </c>
      <c r="E37" s="215">
        <v>10</v>
      </c>
      <c r="F37" s="215">
        <v>10</v>
      </c>
      <c r="G37" s="48">
        <f t="shared" si="14"/>
        <v>28</v>
      </c>
      <c r="H37" s="216">
        <v>28</v>
      </c>
      <c r="I37" s="48">
        <f t="shared" si="15"/>
        <v>56</v>
      </c>
      <c r="J37" s="154"/>
      <c r="K37" s="217">
        <v>5</v>
      </c>
      <c r="L37" s="218">
        <v>1</v>
      </c>
      <c r="M37" s="218">
        <v>10</v>
      </c>
      <c r="N37" s="218">
        <v>10</v>
      </c>
      <c r="O37" s="52">
        <f t="shared" si="13"/>
        <v>26</v>
      </c>
      <c r="P37" s="222">
        <v>26</v>
      </c>
      <c r="Q37" s="52">
        <f t="shared" si="4"/>
        <v>52</v>
      </c>
      <c r="R37" s="70"/>
      <c r="S37" s="224">
        <v>1</v>
      </c>
      <c r="T37" s="225">
        <v>4</v>
      </c>
      <c r="U37" s="225">
        <v>5</v>
      </c>
      <c r="V37" s="225">
        <v>5</v>
      </c>
      <c r="W37" s="70">
        <f t="shared" si="0"/>
        <v>15</v>
      </c>
      <c r="X37" s="226">
        <v>31</v>
      </c>
      <c r="Y37" s="70">
        <f t="shared" si="5"/>
        <v>46</v>
      </c>
      <c r="Z37" s="70">
        <f t="shared" si="6"/>
        <v>32</v>
      </c>
      <c r="AA37" s="70" t="str">
        <f t="shared" si="7"/>
        <v>P</v>
      </c>
      <c r="AB37" s="70" t="str">
        <f t="shared" si="8"/>
        <v>Pass</v>
      </c>
      <c r="AC37" s="154"/>
      <c r="AD37" s="228">
        <v>4</v>
      </c>
      <c r="AE37" s="229">
        <v>1</v>
      </c>
      <c r="AF37" s="229">
        <v>2</v>
      </c>
      <c r="AG37" s="229">
        <v>10</v>
      </c>
      <c r="AH37" s="44">
        <f t="shared" si="9"/>
        <v>17</v>
      </c>
      <c r="AI37" s="232">
        <v>48</v>
      </c>
      <c r="AJ37" s="44">
        <f t="shared" si="10"/>
        <v>65</v>
      </c>
      <c r="AK37" s="3"/>
      <c r="AL37" s="234">
        <v>1</v>
      </c>
      <c r="AM37" s="235">
        <v>1</v>
      </c>
      <c r="AN37" s="235">
        <v>8</v>
      </c>
      <c r="AO37" s="235">
        <v>9</v>
      </c>
      <c r="AP37" s="75">
        <f t="shared" si="11"/>
        <v>19</v>
      </c>
      <c r="AQ37" s="241">
        <v>23</v>
      </c>
      <c r="AR37" s="75">
        <f t="shared" si="12"/>
        <v>42</v>
      </c>
      <c r="AS37" s="79"/>
      <c r="AT37" s="242">
        <v>2</v>
      </c>
      <c r="AU37" s="243">
        <v>2</v>
      </c>
      <c r="AV37" s="243">
        <v>10</v>
      </c>
      <c r="AW37" s="243">
        <v>4</v>
      </c>
      <c r="AX37" s="244">
        <v>18</v>
      </c>
      <c r="AY37" s="243">
        <v>18</v>
      </c>
      <c r="AZ37" s="244">
        <v>36</v>
      </c>
      <c r="BA37" s="151"/>
      <c r="BB37" s="245">
        <v>6</v>
      </c>
      <c r="BC37" s="246">
        <v>2</v>
      </c>
      <c r="BD37" s="246">
        <v>10</v>
      </c>
      <c r="BE37" s="246">
        <v>8</v>
      </c>
      <c r="BF37" s="247">
        <v>26</v>
      </c>
      <c r="BG37" s="246">
        <v>36</v>
      </c>
      <c r="BH37" s="247">
        <v>62</v>
      </c>
      <c r="BI37" s="48"/>
      <c r="BJ37" s="249">
        <v>4</v>
      </c>
      <c r="BK37" s="249">
        <v>7</v>
      </c>
      <c r="BL37" s="249">
        <v>10</v>
      </c>
      <c r="BM37" s="249">
        <v>10</v>
      </c>
      <c r="BN37" s="250">
        <v>31</v>
      </c>
      <c r="BO37" s="249">
        <v>23</v>
      </c>
      <c r="BP37" s="250">
        <v>54</v>
      </c>
      <c r="BQ37" s="62"/>
      <c r="BR37" s="252">
        <v>2</v>
      </c>
      <c r="BS37" s="253">
        <v>3</v>
      </c>
      <c r="BT37" s="253">
        <v>10</v>
      </c>
      <c r="BU37" s="253">
        <v>10</v>
      </c>
      <c r="BV37" s="254">
        <v>25</v>
      </c>
      <c r="BW37" s="253">
        <v>19</v>
      </c>
      <c r="BX37" s="254">
        <v>44</v>
      </c>
      <c r="BY37" s="154"/>
      <c r="BZ37" s="255">
        <v>5</v>
      </c>
      <c r="CA37" s="256">
        <v>9</v>
      </c>
      <c r="CB37" s="256">
        <v>10</v>
      </c>
      <c r="CC37" s="256">
        <v>10</v>
      </c>
      <c r="CD37" s="257">
        <v>34</v>
      </c>
      <c r="CE37" s="256">
        <v>36</v>
      </c>
      <c r="CF37" s="257">
        <v>70</v>
      </c>
      <c r="CG37" s="151"/>
      <c r="CH37" s="258">
        <v>1</v>
      </c>
      <c r="CI37" s="259">
        <v>6</v>
      </c>
      <c r="CJ37" s="259"/>
      <c r="CK37" s="259"/>
      <c r="CL37" s="260">
        <v>7</v>
      </c>
      <c r="CM37" s="259">
        <v>41</v>
      </c>
      <c r="CN37" s="260">
        <v>48</v>
      </c>
      <c r="CO37" s="66"/>
      <c r="CP37" s="261">
        <v>2</v>
      </c>
      <c r="CQ37" s="262">
        <v>2</v>
      </c>
      <c r="CR37" s="262">
        <v>10</v>
      </c>
      <c r="CS37" s="262">
        <v>8</v>
      </c>
      <c r="CT37" s="263">
        <v>22</v>
      </c>
      <c r="CU37" s="262">
        <v>25</v>
      </c>
      <c r="CV37" s="263">
        <v>47</v>
      </c>
      <c r="CW37" s="154"/>
      <c r="CX37" s="265">
        <v>2</v>
      </c>
      <c r="CY37" s="271">
        <v>2</v>
      </c>
      <c r="CZ37" s="269">
        <v>9</v>
      </c>
      <c r="DA37" s="270">
        <v>10</v>
      </c>
      <c r="DB37" s="267">
        <v>23</v>
      </c>
      <c r="DC37" s="279">
        <v>23</v>
      </c>
      <c r="DD37" s="267">
        <v>46</v>
      </c>
      <c r="DE37" s="48"/>
      <c r="DF37" s="282">
        <v>1</v>
      </c>
      <c r="DG37" s="283">
        <v>1</v>
      </c>
      <c r="DH37" s="283">
        <v>10</v>
      </c>
      <c r="DI37" s="283">
        <v>10</v>
      </c>
      <c r="DJ37" s="284">
        <v>22</v>
      </c>
      <c r="DK37" s="283">
        <v>18</v>
      </c>
      <c r="DL37" s="284">
        <v>40</v>
      </c>
      <c r="DM37" s="48"/>
      <c r="DN37" s="285">
        <v>2</v>
      </c>
      <c r="DO37" s="286">
        <v>6</v>
      </c>
      <c r="DP37" s="286">
        <v>10</v>
      </c>
      <c r="DQ37" s="286">
        <v>10</v>
      </c>
      <c r="DR37" s="287">
        <v>28</v>
      </c>
      <c r="DS37" s="286">
        <v>27</v>
      </c>
      <c r="DT37" s="287">
        <v>55</v>
      </c>
      <c r="DU37" s="70"/>
      <c r="DV37" s="288">
        <v>3</v>
      </c>
      <c r="DW37" s="289">
        <v>4</v>
      </c>
      <c r="DX37" s="289">
        <v>10</v>
      </c>
      <c r="DY37" s="289">
        <v>10</v>
      </c>
      <c r="DZ37" s="292">
        <v>27</v>
      </c>
      <c r="EA37" s="289">
        <v>14</v>
      </c>
      <c r="EB37" s="292">
        <v>41</v>
      </c>
      <c r="EC37" s="48"/>
      <c r="ED37" s="293">
        <v>7</v>
      </c>
      <c r="EE37" s="294">
        <v>5</v>
      </c>
      <c r="EF37" s="294">
        <v>7</v>
      </c>
      <c r="EG37" s="294">
        <v>10</v>
      </c>
      <c r="EH37" s="297">
        <v>29</v>
      </c>
      <c r="EI37" s="294">
        <v>30</v>
      </c>
      <c r="EJ37" s="297">
        <v>59</v>
      </c>
      <c r="EK37" s="95"/>
      <c r="EL37" s="298"/>
      <c r="EM37" s="299"/>
      <c r="EN37" s="299"/>
      <c r="EO37" s="299"/>
      <c r="EP37" s="302">
        <v>0</v>
      </c>
      <c r="EQ37" s="299"/>
      <c r="ER37" s="302">
        <v>0</v>
      </c>
    </row>
    <row r="38" spans="1:148" ht="15.75">
      <c r="A38" s="212">
        <v>36</v>
      </c>
      <c r="B38" s="151" t="s">
        <v>221</v>
      </c>
      <c r="C38" s="214">
        <v>10</v>
      </c>
      <c r="D38" s="215">
        <v>5</v>
      </c>
      <c r="E38" s="215">
        <v>10</v>
      </c>
      <c r="F38" s="215">
        <v>10</v>
      </c>
      <c r="G38" s="48">
        <f t="shared" si="14"/>
        <v>35</v>
      </c>
      <c r="H38" s="216">
        <v>31</v>
      </c>
      <c r="I38" s="48">
        <f t="shared" si="15"/>
        <v>66</v>
      </c>
      <c r="J38" s="151"/>
      <c r="K38" s="217">
        <v>3</v>
      </c>
      <c r="L38" s="218">
        <v>7</v>
      </c>
      <c r="M38" s="218">
        <v>10</v>
      </c>
      <c r="N38" s="218">
        <v>10</v>
      </c>
      <c r="O38" s="52">
        <f t="shared" si="13"/>
        <v>30</v>
      </c>
      <c r="P38" s="222">
        <v>20</v>
      </c>
      <c r="Q38" s="52">
        <f t="shared" si="4"/>
        <v>50</v>
      </c>
      <c r="R38" s="70"/>
      <c r="S38" s="224">
        <v>7</v>
      </c>
      <c r="T38" s="225">
        <v>6</v>
      </c>
      <c r="U38" s="225">
        <v>5</v>
      </c>
      <c r="V38" s="225">
        <v>7</v>
      </c>
      <c r="W38" s="70">
        <f t="shared" si="0"/>
        <v>25</v>
      </c>
      <c r="X38" s="226">
        <v>36</v>
      </c>
      <c r="Y38" s="70">
        <f t="shared" si="5"/>
        <v>61</v>
      </c>
      <c r="Z38" s="70">
        <f t="shared" si="6"/>
        <v>17</v>
      </c>
      <c r="AA38" s="70" t="str">
        <f t="shared" si="7"/>
        <v>C</v>
      </c>
      <c r="AB38" s="70" t="str">
        <f t="shared" si="8"/>
        <v>Credit</v>
      </c>
      <c r="AC38" s="151"/>
      <c r="AD38" s="228">
        <v>9</v>
      </c>
      <c r="AE38" s="229">
        <v>3</v>
      </c>
      <c r="AF38" s="229">
        <v>2</v>
      </c>
      <c r="AG38" s="229">
        <v>2</v>
      </c>
      <c r="AH38" s="44">
        <f t="shared" si="9"/>
        <v>16</v>
      </c>
      <c r="AI38" s="232">
        <v>51</v>
      </c>
      <c r="AJ38" s="44">
        <f t="shared" si="10"/>
        <v>67</v>
      </c>
      <c r="AK38" s="3"/>
      <c r="AL38" s="234">
        <v>3</v>
      </c>
      <c r="AM38" s="235">
        <v>3</v>
      </c>
      <c r="AN38" s="235">
        <v>10</v>
      </c>
      <c r="AO38" s="235">
        <v>8</v>
      </c>
      <c r="AP38" s="75">
        <f t="shared" si="11"/>
        <v>24</v>
      </c>
      <c r="AQ38" s="241">
        <v>15</v>
      </c>
      <c r="AR38" s="75">
        <f t="shared" si="12"/>
        <v>39</v>
      </c>
      <c r="AS38" s="79"/>
      <c r="AT38" s="242">
        <v>2</v>
      </c>
      <c r="AU38" s="243">
        <v>4</v>
      </c>
      <c r="AV38" s="243">
        <v>10</v>
      </c>
      <c r="AW38" s="243">
        <v>10</v>
      </c>
      <c r="AX38" s="244">
        <v>26</v>
      </c>
      <c r="AY38" s="243">
        <v>22</v>
      </c>
      <c r="AZ38" s="244">
        <v>48</v>
      </c>
      <c r="BA38" s="151"/>
      <c r="BB38" s="245">
        <v>8</v>
      </c>
      <c r="BC38" s="246">
        <v>1</v>
      </c>
      <c r="BD38" s="246">
        <v>2</v>
      </c>
      <c r="BE38" s="246">
        <v>5</v>
      </c>
      <c r="BF38" s="247">
        <v>16</v>
      </c>
      <c r="BG38" s="246">
        <v>25</v>
      </c>
      <c r="BH38" s="247">
        <v>41</v>
      </c>
      <c r="BI38" s="151"/>
      <c r="BJ38" s="248">
        <v>5</v>
      </c>
      <c r="BK38" s="249">
        <v>9</v>
      </c>
      <c r="BL38" s="249">
        <v>10</v>
      </c>
      <c r="BM38" s="249">
        <v>10</v>
      </c>
      <c r="BN38" s="250">
        <v>34</v>
      </c>
      <c r="BO38" s="249">
        <v>23</v>
      </c>
      <c r="BP38" s="250">
        <v>57</v>
      </c>
      <c r="BQ38" s="62"/>
      <c r="BR38" s="252">
        <v>6</v>
      </c>
      <c r="BS38" s="253">
        <v>5</v>
      </c>
      <c r="BT38" s="253">
        <v>7</v>
      </c>
      <c r="BU38" s="253">
        <v>10</v>
      </c>
      <c r="BV38" s="254">
        <v>28</v>
      </c>
      <c r="BW38" s="253">
        <v>24</v>
      </c>
      <c r="BX38" s="254">
        <v>52</v>
      </c>
      <c r="BY38" s="151"/>
      <c r="BZ38" s="255">
        <v>6</v>
      </c>
      <c r="CA38" s="256">
        <v>8</v>
      </c>
      <c r="CB38" s="256">
        <v>9</v>
      </c>
      <c r="CC38" s="256">
        <v>10</v>
      </c>
      <c r="CD38" s="257">
        <v>33</v>
      </c>
      <c r="CE38" s="256">
        <v>35</v>
      </c>
      <c r="CF38" s="257">
        <v>68</v>
      </c>
      <c r="CG38" s="151"/>
      <c r="CH38" s="258">
        <v>8</v>
      </c>
      <c r="CI38" s="259">
        <v>7</v>
      </c>
      <c r="CJ38" s="259">
        <v>10</v>
      </c>
      <c r="CK38" s="259">
        <v>10</v>
      </c>
      <c r="CL38" s="260">
        <v>35</v>
      </c>
      <c r="CM38" s="259">
        <v>30</v>
      </c>
      <c r="CN38" s="260">
        <v>65</v>
      </c>
      <c r="CO38" s="66"/>
      <c r="CP38" s="261">
        <v>7</v>
      </c>
      <c r="CQ38" s="262">
        <v>4</v>
      </c>
      <c r="CR38" s="262">
        <v>8</v>
      </c>
      <c r="CS38" s="262">
        <v>8</v>
      </c>
      <c r="CT38" s="263">
        <v>27</v>
      </c>
      <c r="CU38" s="262">
        <v>21</v>
      </c>
      <c r="CV38" s="263">
        <v>48</v>
      </c>
      <c r="CW38" s="151"/>
      <c r="CX38" s="265">
        <v>4</v>
      </c>
      <c r="CY38" s="271">
        <v>4</v>
      </c>
      <c r="CZ38" s="269">
        <v>10</v>
      </c>
      <c r="DA38" s="270">
        <v>10</v>
      </c>
      <c r="DB38" s="267">
        <v>28</v>
      </c>
      <c r="DC38" s="279">
        <v>15</v>
      </c>
      <c r="DD38" s="267">
        <v>43</v>
      </c>
      <c r="DE38" s="151"/>
      <c r="DF38" s="282">
        <v>1</v>
      </c>
      <c r="DG38" s="283">
        <v>1</v>
      </c>
      <c r="DH38" s="283">
        <v>7</v>
      </c>
      <c r="DI38" s="283">
        <v>10</v>
      </c>
      <c r="DJ38" s="284">
        <v>15</v>
      </c>
      <c r="DK38" s="283">
        <v>32</v>
      </c>
      <c r="DL38" s="284">
        <v>47</v>
      </c>
      <c r="DM38" s="151"/>
      <c r="DN38" s="285">
        <v>1</v>
      </c>
      <c r="DO38" s="286">
        <v>1</v>
      </c>
      <c r="DP38" s="286">
        <v>3</v>
      </c>
      <c r="DQ38" s="286">
        <v>7</v>
      </c>
      <c r="DR38" s="287">
        <v>12</v>
      </c>
      <c r="DS38" s="286">
        <v>21</v>
      </c>
      <c r="DT38" s="287">
        <v>33</v>
      </c>
      <c r="DU38" s="70"/>
      <c r="DV38" s="288">
        <v>3</v>
      </c>
      <c r="DW38" s="289">
        <v>3</v>
      </c>
      <c r="DX38" s="289">
        <v>8</v>
      </c>
      <c r="DY38" s="289">
        <v>10</v>
      </c>
      <c r="DZ38" s="292">
        <v>24</v>
      </c>
      <c r="EA38" s="289">
        <v>15</v>
      </c>
      <c r="EB38" s="292">
        <v>39</v>
      </c>
      <c r="EC38" s="151"/>
      <c r="ED38" s="293">
        <v>4</v>
      </c>
      <c r="EE38" s="294">
        <v>4</v>
      </c>
      <c r="EF38" s="294">
        <v>10</v>
      </c>
      <c r="EG38" s="294">
        <v>10</v>
      </c>
      <c r="EH38" s="297">
        <v>28</v>
      </c>
      <c r="EI38" s="294">
        <v>31</v>
      </c>
      <c r="EJ38" s="297">
        <v>59</v>
      </c>
      <c r="EK38" s="95"/>
      <c r="EL38" s="298"/>
      <c r="EM38" s="299"/>
      <c r="EN38" s="299"/>
      <c r="EO38" s="299"/>
      <c r="EP38" s="302">
        <v>0</v>
      </c>
      <c r="EQ38" s="299"/>
      <c r="ER38" s="302">
        <v>0</v>
      </c>
    </row>
    <row r="39" spans="1:148" ht="15.75">
      <c r="A39" s="211">
        <v>37</v>
      </c>
      <c r="B39" s="151" t="s">
        <v>212</v>
      </c>
      <c r="C39" s="214">
        <v>1</v>
      </c>
      <c r="D39" s="215">
        <v>1</v>
      </c>
      <c r="E39" s="215">
        <v>1</v>
      </c>
      <c r="F39" s="215">
        <v>1</v>
      </c>
      <c r="G39" s="48">
        <f t="shared" si="14"/>
        <v>4</v>
      </c>
      <c r="H39" s="216">
        <v>10</v>
      </c>
      <c r="I39" s="48">
        <f t="shared" si="15"/>
        <v>14</v>
      </c>
      <c r="J39" s="151"/>
      <c r="K39" s="217">
        <v>1</v>
      </c>
      <c r="L39" s="218">
        <v>1</v>
      </c>
      <c r="M39" s="218">
        <v>10</v>
      </c>
      <c r="N39" s="218">
        <v>10</v>
      </c>
      <c r="O39" s="52">
        <f t="shared" si="13"/>
        <v>22</v>
      </c>
      <c r="P39" s="222">
        <v>22</v>
      </c>
      <c r="Q39" s="52">
        <f t="shared" si="4"/>
        <v>44</v>
      </c>
      <c r="R39" s="70"/>
      <c r="S39" s="224">
        <v>5</v>
      </c>
      <c r="T39" s="225"/>
      <c r="U39" s="225">
        <v>5</v>
      </c>
      <c r="V39" s="225">
        <v>5</v>
      </c>
      <c r="W39" s="70">
        <f t="shared" si="0"/>
        <v>15</v>
      </c>
      <c r="X39" s="226">
        <v>21</v>
      </c>
      <c r="Y39" s="70">
        <f t="shared" si="5"/>
        <v>36</v>
      </c>
      <c r="Z39" s="70">
        <f t="shared" si="6"/>
        <v>36</v>
      </c>
      <c r="AA39" s="70" t="str">
        <f t="shared" si="7"/>
        <v>F</v>
      </c>
      <c r="AB39" s="70" t="str">
        <f t="shared" si="8"/>
        <v>Fail</v>
      </c>
      <c r="AC39" s="151"/>
      <c r="AD39" s="228"/>
      <c r="AE39" s="229"/>
      <c r="AF39" s="229"/>
      <c r="AG39" s="229"/>
      <c r="AH39" s="44">
        <f t="shared" si="9"/>
        <v>0</v>
      </c>
      <c r="AI39" s="232"/>
      <c r="AJ39" s="44">
        <f t="shared" si="10"/>
        <v>0</v>
      </c>
      <c r="AK39" s="3"/>
      <c r="AL39" s="234">
        <v>1</v>
      </c>
      <c r="AM39" s="235">
        <v>1</v>
      </c>
      <c r="AN39" s="235">
        <v>7</v>
      </c>
      <c r="AO39" s="235">
        <v>8</v>
      </c>
      <c r="AP39" s="75">
        <f t="shared" si="11"/>
        <v>17</v>
      </c>
      <c r="AQ39" s="241">
        <v>17</v>
      </c>
      <c r="AR39" s="75">
        <f t="shared" si="12"/>
        <v>34</v>
      </c>
      <c r="AS39" s="79"/>
      <c r="AT39" s="242">
        <v>2</v>
      </c>
      <c r="AU39" s="243"/>
      <c r="AV39" s="243">
        <v>5</v>
      </c>
      <c r="AW39" s="243">
        <v>4</v>
      </c>
      <c r="AX39" s="244">
        <v>11</v>
      </c>
      <c r="AY39" s="243">
        <v>13</v>
      </c>
      <c r="AZ39" s="244">
        <v>24</v>
      </c>
      <c r="BA39" s="151"/>
      <c r="BB39" s="245">
        <v>6</v>
      </c>
      <c r="BC39" s="246"/>
      <c r="BD39" s="246">
        <v>1</v>
      </c>
      <c r="BE39" s="246">
        <v>3</v>
      </c>
      <c r="BF39" s="247">
        <v>10</v>
      </c>
      <c r="BG39" s="246">
        <v>17</v>
      </c>
      <c r="BH39" s="247">
        <v>27</v>
      </c>
      <c r="BI39" s="151"/>
      <c r="BJ39" s="248">
        <v>4</v>
      </c>
      <c r="BK39" s="249">
        <v>5</v>
      </c>
      <c r="BL39" s="249">
        <v>10</v>
      </c>
      <c r="BM39" s="249">
        <v>9</v>
      </c>
      <c r="BN39" s="250">
        <v>28</v>
      </c>
      <c r="BO39" s="249">
        <v>11</v>
      </c>
      <c r="BP39" s="250">
        <v>39</v>
      </c>
      <c r="BQ39" s="62"/>
      <c r="BR39" s="252">
        <v>3</v>
      </c>
      <c r="BS39" s="253"/>
      <c r="BT39" s="253">
        <v>7</v>
      </c>
      <c r="BU39" s="253">
        <v>8</v>
      </c>
      <c r="BV39" s="254">
        <v>18</v>
      </c>
      <c r="BW39" s="253">
        <v>12</v>
      </c>
      <c r="BX39" s="254">
        <v>30</v>
      </c>
      <c r="BY39" s="151"/>
      <c r="BZ39" s="255">
        <v>2</v>
      </c>
      <c r="CA39" s="256">
        <v>6</v>
      </c>
      <c r="CB39" s="256">
        <v>10</v>
      </c>
      <c r="CC39" s="256">
        <v>6</v>
      </c>
      <c r="CD39" s="257">
        <v>24</v>
      </c>
      <c r="CE39" s="256"/>
      <c r="CF39" s="257">
        <v>24</v>
      </c>
      <c r="CG39" s="151"/>
      <c r="CH39" s="258">
        <v>2</v>
      </c>
      <c r="CI39" s="259">
        <v>1</v>
      </c>
      <c r="CJ39" s="259">
        <v>10</v>
      </c>
      <c r="CK39" s="259">
        <v>10</v>
      </c>
      <c r="CL39" s="260">
        <v>23</v>
      </c>
      <c r="CM39" s="259">
        <v>9</v>
      </c>
      <c r="CN39" s="260">
        <v>32</v>
      </c>
      <c r="CO39" s="66"/>
      <c r="CP39" s="261">
        <v>4</v>
      </c>
      <c r="CQ39" s="262">
        <v>3</v>
      </c>
      <c r="CR39" s="262">
        <v>8</v>
      </c>
      <c r="CS39" s="262">
        <v>6</v>
      </c>
      <c r="CT39" s="263">
        <v>21</v>
      </c>
      <c r="CU39" s="262">
        <v>15</v>
      </c>
      <c r="CV39" s="263">
        <v>36</v>
      </c>
      <c r="CW39" s="151"/>
      <c r="CX39" s="265">
        <v>6</v>
      </c>
      <c r="CY39" s="271">
        <v>6</v>
      </c>
      <c r="CZ39" s="269">
        <v>8</v>
      </c>
      <c r="DA39" s="270">
        <v>9</v>
      </c>
      <c r="DB39" s="267">
        <v>29</v>
      </c>
      <c r="DC39" s="280">
        <v>17</v>
      </c>
      <c r="DD39" s="267">
        <v>46</v>
      </c>
      <c r="DE39" s="151"/>
      <c r="DF39" s="282"/>
      <c r="DG39" s="283">
        <v>4</v>
      </c>
      <c r="DH39" s="283">
        <v>2</v>
      </c>
      <c r="DI39" s="283">
        <v>5</v>
      </c>
      <c r="DJ39" s="284">
        <v>11</v>
      </c>
      <c r="DK39" s="283"/>
      <c r="DL39" s="284">
        <v>11</v>
      </c>
      <c r="DM39" s="151"/>
      <c r="DN39" s="285">
        <v>1</v>
      </c>
      <c r="DO39" s="286"/>
      <c r="DP39" s="286">
        <v>2</v>
      </c>
      <c r="DQ39" s="286">
        <v>3</v>
      </c>
      <c r="DR39" s="287">
        <v>6</v>
      </c>
      <c r="DS39" s="286">
        <v>16</v>
      </c>
      <c r="DT39" s="287">
        <v>22</v>
      </c>
      <c r="DU39" s="70"/>
      <c r="DV39" s="288"/>
      <c r="DW39" s="289"/>
      <c r="DX39" s="289"/>
      <c r="DY39" s="289"/>
      <c r="DZ39" s="292">
        <v>0</v>
      </c>
      <c r="EA39" s="289"/>
      <c r="EB39" s="292">
        <v>0</v>
      </c>
      <c r="EC39" s="151"/>
      <c r="ED39" s="293">
        <v>3</v>
      </c>
      <c r="EE39" s="294">
        <v>3</v>
      </c>
      <c r="EF39" s="294">
        <v>10</v>
      </c>
      <c r="EG39" s="294">
        <v>10</v>
      </c>
      <c r="EH39" s="297">
        <v>26</v>
      </c>
      <c r="EI39" s="294">
        <v>14</v>
      </c>
      <c r="EJ39" s="297">
        <v>40</v>
      </c>
      <c r="EK39" s="95"/>
      <c r="EL39" s="298">
        <v>7</v>
      </c>
      <c r="EM39" s="299">
        <v>2</v>
      </c>
      <c r="EN39" s="299">
        <v>5</v>
      </c>
      <c r="EO39" s="299">
        <v>5</v>
      </c>
      <c r="EP39" s="302">
        <v>19</v>
      </c>
      <c r="EQ39" s="299">
        <v>13</v>
      </c>
      <c r="ER39" s="302">
        <v>32</v>
      </c>
    </row>
    <row r="40" spans="1:148" ht="15.75">
      <c r="A40" s="212">
        <v>38</v>
      </c>
      <c r="B40" s="151" t="s">
        <v>213</v>
      </c>
      <c r="C40" s="214">
        <v>6</v>
      </c>
      <c r="D40" s="215">
        <v>9</v>
      </c>
      <c r="E40" s="215">
        <v>9</v>
      </c>
      <c r="F40" s="215">
        <v>10</v>
      </c>
      <c r="G40" s="48">
        <f t="shared" si="14"/>
        <v>34</v>
      </c>
      <c r="H40" s="216">
        <v>40</v>
      </c>
      <c r="I40" s="48">
        <f t="shared" si="15"/>
        <v>74</v>
      </c>
      <c r="J40" s="151"/>
      <c r="K40" s="217">
        <v>10</v>
      </c>
      <c r="L40" s="218">
        <v>3</v>
      </c>
      <c r="M40" s="218">
        <v>10</v>
      </c>
      <c r="N40" s="218">
        <v>10</v>
      </c>
      <c r="O40" s="52">
        <f t="shared" si="13"/>
        <v>33</v>
      </c>
      <c r="P40" s="222">
        <v>21</v>
      </c>
      <c r="Q40" s="52">
        <f t="shared" si="4"/>
        <v>54</v>
      </c>
      <c r="R40" s="70"/>
      <c r="S40" s="224">
        <v>10</v>
      </c>
      <c r="T40" s="225">
        <v>6</v>
      </c>
      <c r="U40" s="225">
        <v>5</v>
      </c>
      <c r="V40" s="225">
        <v>8</v>
      </c>
      <c r="W40" s="70">
        <f t="shared" si="0"/>
        <v>29</v>
      </c>
      <c r="X40" s="226">
        <v>43</v>
      </c>
      <c r="Y40" s="70">
        <f t="shared" si="5"/>
        <v>72</v>
      </c>
      <c r="Z40" s="70">
        <f t="shared" si="6"/>
        <v>6</v>
      </c>
      <c r="AA40" s="70" t="str">
        <f t="shared" si="7"/>
        <v>A</v>
      </c>
      <c r="AB40" s="70" t="str">
        <f t="shared" si="8"/>
        <v>Excellent</v>
      </c>
      <c r="AC40" s="151"/>
      <c r="AD40" s="228">
        <v>6</v>
      </c>
      <c r="AE40" s="229">
        <v>8</v>
      </c>
      <c r="AF40" s="229">
        <v>10</v>
      </c>
      <c r="AG40" s="229">
        <v>10</v>
      </c>
      <c r="AH40" s="44">
        <f t="shared" si="9"/>
        <v>34</v>
      </c>
      <c r="AI40" s="232">
        <v>49</v>
      </c>
      <c r="AJ40" s="44">
        <f t="shared" si="10"/>
        <v>83</v>
      </c>
      <c r="AK40" s="3"/>
      <c r="AL40" s="234">
        <v>8</v>
      </c>
      <c r="AM40" s="235">
        <v>6</v>
      </c>
      <c r="AN40" s="235">
        <v>8</v>
      </c>
      <c r="AO40" s="235">
        <v>9</v>
      </c>
      <c r="AP40" s="75">
        <f t="shared" si="11"/>
        <v>31</v>
      </c>
      <c r="AQ40" s="241">
        <v>23</v>
      </c>
      <c r="AR40" s="75">
        <f t="shared" si="12"/>
        <v>54</v>
      </c>
      <c r="AS40" s="79"/>
      <c r="AT40" s="242">
        <v>4</v>
      </c>
      <c r="AU40" s="243">
        <v>6</v>
      </c>
      <c r="AV40" s="243">
        <v>5</v>
      </c>
      <c r="AW40" s="243">
        <v>10</v>
      </c>
      <c r="AX40" s="244">
        <v>25</v>
      </c>
      <c r="AY40" s="243">
        <v>37</v>
      </c>
      <c r="AZ40" s="244">
        <v>62</v>
      </c>
      <c r="BA40" s="151"/>
      <c r="BB40" s="245">
        <v>10</v>
      </c>
      <c r="BC40" s="246">
        <v>6</v>
      </c>
      <c r="BD40" s="246">
        <v>10</v>
      </c>
      <c r="BE40" s="246">
        <v>3</v>
      </c>
      <c r="BF40" s="247">
        <v>29</v>
      </c>
      <c r="BG40" s="246">
        <v>39</v>
      </c>
      <c r="BH40" s="247">
        <v>68</v>
      </c>
      <c r="BI40" s="151"/>
      <c r="BJ40" s="248">
        <v>9</v>
      </c>
      <c r="BK40" s="249">
        <v>6</v>
      </c>
      <c r="BL40" s="249">
        <v>9</v>
      </c>
      <c r="BM40" s="249">
        <v>10</v>
      </c>
      <c r="BN40" s="250">
        <v>34</v>
      </c>
      <c r="BO40" s="249">
        <v>40</v>
      </c>
      <c r="BP40" s="250">
        <v>74</v>
      </c>
      <c r="BQ40" s="62"/>
      <c r="BR40" s="252">
        <v>8</v>
      </c>
      <c r="BS40" s="253">
        <v>7</v>
      </c>
      <c r="BT40" s="253">
        <v>10</v>
      </c>
      <c r="BU40" s="253">
        <v>10</v>
      </c>
      <c r="BV40" s="254">
        <v>35</v>
      </c>
      <c r="BW40" s="253">
        <v>40</v>
      </c>
      <c r="BX40" s="254">
        <v>75</v>
      </c>
      <c r="BY40" s="151"/>
      <c r="BZ40" s="255">
        <v>9</v>
      </c>
      <c r="CA40" s="256">
        <v>10</v>
      </c>
      <c r="CB40" s="256">
        <v>10</v>
      </c>
      <c r="CC40" s="256">
        <v>10</v>
      </c>
      <c r="CD40" s="257">
        <v>39</v>
      </c>
      <c r="CE40" s="256">
        <v>50</v>
      </c>
      <c r="CF40" s="257">
        <v>89</v>
      </c>
      <c r="CG40" s="151"/>
      <c r="CH40" s="258">
        <v>10</v>
      </c>
      <c r="CI40" s="259">
        <v>10</v>
      </c>
      <c r="CJ40" s="259">
        <v>10</v>
      </c>
      <c r="CK40" s="259">
        <v>10</v>
      </c>
      <c r="CL40" s="260">
        <v>40</v>
      </c>
      <c r="CM40" s="259">
        <v>47</v>
      </c>
      <c r="CN40" s="260">
        <v>87</v>
      </c>
      <c r="CO40" s="66"/>
      <c r="CP40" s="261">
        <v>8</v>
      </c>
      <c r="CQ40" s="262">
        <v>7</v>
      </c>
      <c r="CR40" s="262">
        <v>8</v>
      </c>
      <c r="CS40" s="262">
        <v>8</v>
      </c>
      <c r="CT40" s="263">
        <v>31</v>
      </c>
      <c r="CU40" s="262">
        <v>44</v>
      </c>
      <c r="CV40" s="263">
        <v>75</v>
      </c>
      <c r="CW40" s="151"/>
      <c r="CX40" s="265">
        <v>4</v>
      </c>
      <c r="CY40" s="271">
        <v>5</v>
      </c>
      <c r="CZ40" s="269">
        <v>10</v>
      </c>
      <c r="DA40" s="270">
        <v>10</v>
      </c>
      <c r="DB40" s="267">
        <v>29</v>
      </c>
      <c r="DC40" s="281">
        <v>19</v>
      </c>
      <c r="DD40" s="267">
        <v>48</v>
      </c>
      <c r="DE40" s="151"/>
      <c r="DF40" s="282">
        <v>7</v>
      </c>
      <c r="DG40" s="283">
        <v>2</v>
      </c>
      <c r="DH40" s="283">
        <v>3</v>
      </c>
      <c r="DI40" s="283">
        <v>10</v>
      </c>
      <c r="DJ40" s="284">
        <v>22</v>
      </c>
      <c r="DK40" s="283">
        <v>45</v>
      </c>
      <c r="DL40" s="284">
        <v>67</v>
      </c>
      <c r="DM40" s="151"/>
      <c r="DN40" s="285">
        <v>5</v>
      </c>
      <c r="DO40" s="286">
        <v>7</v>
      </c>
      <c r="DP40" s="286">
        <v>5</v>
      </c>
      <c r="DQ40" s="286">
        <v>9</v>
      </c>
      <c r="DR40" s="287">
        <v>26</v>
      </c>
      <c r="DS40" s="286">
        <v>34</v>
      </c>
      <c r="DT40" s="287">
        <v>60</v>
      </c>
      <c r="DU40" s="70"/>
      <c r="DV40" s="288">
        <v>6</v>
      </c>
      <c r="DW40" s="289">
        <v>8</v>
      </c>
      <c r="DX40" s="289">
        <v>8</v>
      </c>
      <c r="DY40" s="289">
        <v>10</v>
      </c>
      <c r="DZ40" s="292">
        <v>32</v>
      </c>
      <c r="EA40" s="289">
        <v>47</v>
      </c>
      <c r="EB40" s="292">
        <v>79</v>
      </c>
      <c r="EC40" s="151"/>
      <c r="ED40" s="293">
        <v>9</v>
      </c>
      <c r="EE40" s="294">
        <v>8</v>
      </c>
      <c r="EF40" s="294">
        <v>10</v>
      </c>
      <c r="EG40" s="294">
        <v>10</v>
      </c>
      <c r="EH40" s="297">
        <v>37</v>
      </c>
      <c r="EI40" s="294">
        <v>43</v>
      </c>
      <c r="EJ40" s="297">
        <v>80</v>
      </c>
      <c r="EK40" s="95"/>
      <c r="EL40" s="298"/>
      <c r="EM40" s="299"/>
      <c r="EN40" s="299"/>
      <c r="EO40" s="299"/>
      <c r="EP40" s="302">
        <v>0</v>
      </c>
      <c r="EQ40" s="299"/>
      <c r="ER40" s="302">
        <v>0</v>
      </c>
    </row>
    <row r="41" spans="1:148" ht="15.75">
      <c r="A41" s="211">
        <v>39</v>
      </c>
      <c r="B41" s="151" t="s">
        <v>214</v>
      </c>
      <c r="C41" s="214">
        <v>5</v>
      </c>
      <c r="D41" s="215">
        <v>5</v>
      </c>
      <c r="E41" s="215">
        <v>9</v>
      </c>
      <c r="F41" s="215">
        <v>9</v>
      </c>
      <c r="G41" s="48">
        <f t="shared" si="14"/>
        <v>28</v>
      </c>
      <c r="H41" s="216">
        <v>32</v>
      </c>
      <c r="I41" s="48">
        <f t="shared" si="15"/>
        <v>60</v>
      </c>
      <c r="J41" s="151"/>
      <c r="K41" s="217">
        <v>1</v>
      </c>
      <c r="L41" s="218">
        <v>5</v>
      </c>
      <c r="M41" s="218"/>
      <c r="N41" s="218">
        <v>10</v>
      </c>
      <c r="O41" s="52">
        <f t="shared" si="13"/>
        <v>16</v>
      </c>
      <c r="P41" s="222">
        <v>28</v>
      </c>
      <c r="Q41" s="52">
        <f t="shared" si="4"/>
        <v>44</v>
      </c>
      <c r="R41" s="70"/>
      <c r="S41" s="224">
        <v>9</v>
      </c>
      <c r="T41" s="225">
        <v>4</v>
      </c>
      <c r="U41" s="225">
        <v>5</v>
      </c>
      <c r="V41" s="225">
        <v>5</v>
      </c>
      <c r="W41" s="70">
        <f t="shared" si="0"/>
        <v>23</v>
      </c>
      <c r="X41" s="226">
        <v>30</v>
      </c>
      <c r="Y41" s="70">
        <f t="shared" si="5"/>
        <v>53</v>
      </c>
      <c r="Z41" s="70">
        <f t="shared" si="6"/>
        <v>28</v>
      </c>
      <c r="AA41" s="70" t="str">
        <f t="shared" si="7"/>
        <v>C</v>
      </c>
      <c r="AB41" s="70" t="str">
        <f t="shared" si="8"/>
        <v>Credit</v>
      </c>
      <c r="AC41" s="151"/>
      <c r="AD41" s="228"/>
      <c r="AE41" s="229">
        <v>5</v>
      </c>
      <c r="AF41" s="229">
        <v>2</v>
      </c>
      <c r="AG41" s="229">
        <v>2</v>
      </c>
      <c r="AH41" s="44">
        <f t="shared" si="9"/>
        <v>9</v>
      </c>
      <c r="AI41" s="232">
        <v>54</v>
      </c>
      <c r="AJ41" s="44">
        <f t="shared" si="10"/>
        <v>63</v>
      </c>
      <c r="AK41" s="3"/>
      <c r="AL41" s="234">
        <v>4</v>
      </c>
      <c r="AM41" s="235"/>
      <c r="AN41" s="235">
        <v>8</v>
      </c>
      <c r="AO41" s="235">
        <v>9</v>
      </c>
      <c r="AP41" s="75">
        <f t="shared" si="11"/>
        <v>21</v>
      </c>
      <c r="AQ41" s="241">
        <v>19</v>
      </c>
      <c r="AR41" s="75">
        <f t="shared" si="12"/>
        <v>40</v>
      </c>
      <c r="AS41" s="79"/>
      <c r="AT41" s="242">
        <v>1</v>
      </c>
      <c r="AU41" s="243">
        <v>1</v>
      </c>
      <c r="AV41" s="243">
        <v>5</v>
      </c>
      <c r="AW41" s="243">
        <v>4</v>
      </c>
      <c r="AX41" s="244">
        <v>11</v>
      </c>
      <c r="AY41" s="243">
        <v>28</v>
      </c>
      <c r="AZ41" s="244">
        <v>39</v>
      </c>
      <c r="BA41" s="151"/>
      <c r="BB41" s="245">
        <v>4</v>
      </c>
      <c r="BC41" s="246">
        <v>2</v>
      </c>
      <c r="BD41" s="246">
        <v>9</v>
      </c>
      <c r="BE41" s="246">
        <v>7</v>
      </c>
      <c r="BF41" s="247">
        <v>22</v>
      </c>
      <c r="BG41" s="246">
        <v>38</v>
      </c>
      <c r="BH41" s="247">
        <v>60</v>
      </c>
      <c r="BI41" s="151"/>
      <c r="BJ41" s="248">
        <v>8</v>
      </c>
      <c r="BK41" s="249">
        <v>7</v>
      </c>
      <c r="BL41" s="249">
        <v>10</v>
      </c>
      <c r="BM41" s="249">
        <v>10</v>
      </c>
      <c r="BN41" s="250">
        <v>35</v>
      </c>
      <c r="BO41" s="249">
        <v>17</v>
      </c>
      <c r="BP41" s="250">
        <v>52</v>
      </c>
      <c r="BQ41" s="62"/>
      <c r="BR41" s="252">
        <v>5</v>
      </c>
      <c r="BS41" s="253">
        <v>1</v>
      </c>
      <c r="BT41" s="253">
        <v>10</v>
      </c>
      <c r="BU41" s="253">
        <v>10</v>
      </c>
      <c r="BV41" s="254">
        <v>26</v>
      </c>
      <c r="BW41" s="253">
        <v>24</v>
      </c>
      <c r="BX41" s="254">
        <v>50</v>
      </c>
      <c r="BY41" s="151"/>
      <c r="BZ41" s="255">
        <v>6</v>
      </c>
      <c r="CA41" s="256"/>
      <c r="CB41" s="256">
        <v>10</v>
      </c>
      <c r="CC41" s="256">
        <v>6</v>
      </c>
      <c r="CD41" s="257">
        <v>22</v>
      </c>
      <c r="CE41" s="256">
        <v>33</v>
      </c>
      <c r="CF41" s="257">
        <v>55</v>
      </c>
      <c r="CG41" s="151"/>
      <c r="CH41" s="258"/>
      <c r="CI41" s="259">
        <v>3</v>
      </c>
      <c r="CJ41" s="259">
        <v>8</v>
      </c>
      <c r="CK41" s="259">
        <v>10</v>
      </c>
      <c r="CL41" s="260">
        <v>21</v>
      </c>
      <c r="CM41" s="259">
        <v>36</v>
      </c>
      <c r="CN41" s="260">
        <v>57</v>
      </c>
      <c r="CO41" s="66"/>
      <c r="CP41" s="261">
        <v>2</v>
      </c>
      <c r="CQ41" s="262">
        <v>4</v>
      </c>
      <c r="CR41" s="262">
        <v>7</v>
      </c>
      <c r="CS41" s="262">
        <v>7</v>
      </c>
      <c r="CT41" s="263">
        <v>20</v>
      </c>
      <c r="CU41" s="262">
        <v>25</v>
      </c>
      <c r="CV41" s="263">
        <v>45</v>
      </c>
      <c r="CW41" s="151"/>
      <c r="CX41" s="265">
        <v>3</v>
      </c>
      <c r="CY41" s="274">
        <v>3</v>
      </c>
      <c r="CZ41" s="269">
        <v>9</v>
      </c>
      <c r="DA41" s="270">
        <v>10</v>
      </c>
      <c r="DB41" s="267">
        <v>25</v>
      </c>
      <c r="DC41" s="276">
        <v>19</v>
      </c>
      <c r="DD41" s="267">
        <v>44</v>
      </c>
      <c r="DE41" s="151"/>
      <c r="DF41" s="282">
        <v>7</v>
      </c>
      <c r="DG41" s="283">
        <v>6</v>
      </c>
      <c r="DH41" s="283">
        <v>2</v>
      </c>
      <c r="DI41" s="283">
        <v>9</v>
      </c>
      <c r="DJ41" s="284">
        <v>24</v>
      </c>
      <c r="DK41" s="283">
        <v>29</v>
      </c>
      <c r="DL41" s="284">
        <v>53</v>
      </c>
      <c r="DM41" s="151"/>
      <c r="DN41" s="285">
        <v>1</v>
      </c>
      <c r="DO41" s="286">
        <v>1</v>
      </c>
      <c r="DP41" s="286">
        <v>2</v>
      </c>
      <c r="DQ41" s="286">
        <v>6</v>
      </c>
      <c r="DR41" s="287">
        <v>10</v>
      </c>
      <c r="DS41" s="286">
        <v>16</v>
      </c>
      <c r="DT41" s="287">
        <v>26</v>
      </c>
      <c r="DU41" s="70"/>
      <c r="DV41" s="288">
        <v>1</v>
      </c>
      <c r="DW41" s="289">
        <v>6</v>
      </c>
      <c r="DX41" s="289">
        <v>7</v>
      </c>
      <c r="DY41" s="289">
        <v>10</v>
      </c>
      <c r="DZ41" s="292">
        <v>24</v>
      </c>
      <c r="EA41" s="289">
        <v>21</v>
      </c>
      <c r="EB41" s="292">
        <v>45</v>
      </c>
      <c r="EC41" s="151"/>
      <c r="ED41" s="293">
        <v>3</v>
      </c>
      <c r="EE41" s="294">
        <v>5</v>
      </c>
      <c r="EF41" s="294">
        <v>7</v>
      </c>
      <c r="EG41" s="294">
        <v>10</v>
      </c>
      <c r="EH41" s="297">
        <v>25</v>
      </c>
      <c r="EI41" s="294">
        <v>26</v>
      </c>
      <c r="EJ41" s="297">
        <v>51</v>
      </c>
      <c r="EK41" s="95"/>
      <c r="EL41" s="298"/>
      <c r="EM41" s="299"/>
      <c r="EN41" s="299"/>
      <c r="EO41" s="299"/>
      <c r="EP41" s="302">
        <v>0</v>
      </c>
      <c r="EQ41" s="299"/>
      <c r="ER41" s="302">
        <v>0</v>
      </c>
    </row>
    <row r="42" spans="1:148" ht="15.75">
      <c r="A42" s="212">
        <v>40</v>
      </c>
      <c r="B42" s="156" t="s">
        <v>215</v>
      </c>
      <c r="C42" s="214"/>
      <c r="D42" s="215"/>
      <c r="E42" s="215"/>
      <c r="F42" s="215"/>
      <c r="G42" s="48">
        <f t="shared" si="14"/>
        <v>0</v>
      </c>
      <c r="H42" s="216"/>
      <c r="I42" s="48">
        <f t="shared" si="15"/>
        <v>0</v>
      </c>
      <c r="J42" s="156"/>
      <c r="K42" s="217"/>
      <c r="L42" s="218"/>
      <c r="M42" s="218"/>
      <c r="N42" s="218"/>
      <c r="O42" s="52">
        <f t="shared" si="13"/>
        <v>0</v>
      </c>
      <c r="P42" s="222"/>
      <c r="Q42" s="52">
        <f t="shared" si="4"/>
        <v>0</v>
      </c>
      <c r="R42" s="70"/>
      <c r="S42" s="224"/>
      <c r="T42" s="225"/>
      <c r="U42" s="225"/>
      <c r="V42" s="225"/>
      <c r="W42" s="70">
        <f t="shared" si="0"/>
        <v>0</v>
      </c>
      <c r="X42" s="226"/>
      <c r="Y42" s="70">
        <f t="shared" si="5"/>
        <v>0</v>
      </c>
      <c r="Z42" s="70" t="str">
        <f t="shared" si="6"/>
        <v/>
      </c>
      <c r="AA42" s="70" t="str">
        <f t="shared" si="7"/>
        <v/>
      </c>
      <c r="AB42" s="70" t="str">
        <f t="shared" si="8"/>
        <v/>
      </c>
      <c r="AC42" s="156"/>
      <c r="AD42" s="228"/>
      <c r="AE42" s="229"/>
      <c r="AF42" s="229"/>
      <c r="AG42" s="229"/>
      <c r="AH42" s="44">
        <f t="shared" si="9"/>
        <v>0</v>
      </c>
      <c r="AI42" s="232"/>
      <c r="AJ42" s="44">
        <f t="shared" si="10"/>
        <v>0</v>
      </c>
      <c r="AK42" s="3"/>
      <c r="AL42" s="234"/>
      <c r="AM42" s="235"/>
      <c r="AN42" s="235"/>
      <c r="AO42" s="235"/>
      <c r="AP42" s="75">
        <f t="shared" si="11"/>
        <v>0</v>
      </c>
      <c r="AQ42" s="241"/>
      <c r="AR42" s="75">
        <f t="shared" si="12"/>
        <v>0</v>
      </c>
      <c r="AS42" s="79"/>
      <c r="AT42" s="242"/>
      <c r="AU42" s="243"/>
      <c r="AV42" s="243"/>
      <c r="AW42" s="243"/>
      <c r="AX42" s="244">
        <v>0</v>
      </c>
      <c r="AY42" s="243"/>
      <c r="AZ42" s="244">
        <v>0</v>
      </c>
      <c r="BA42" s="156"/>
      <c r="BB42" s="245"/>
      <c r="BC42" s="246"/>
      <c r="BD42" s="246"/>
      <c r="BE42" s="246"/>
      <c r="BF42" s="247">
        <v>0</v>
      </c>
      <c r="BG42" s="246"/>
      <c r="BH42" s="247">
        <v>0</v>
      </c>
      <c r="BI42" s="156"/>
      <c r="BJ42" s="248"/>
      <c r="BK42" s="249"/>
      <c r="BL42" s="249"/>
      <c r="BM42" s="249"/>
      <c r="BN42" s="250">
        <v>0</v>
      </c>
      <c r="BO42" s="249"/>
      <c r="BP42" s="250">
        <v>0</v>
      </c>
      <c r="BQ42" s="62"/>
      <c r="BR42" s="252"/>
      <c r="BS42" s="253"/>
      <c r="BT42" s="253"/>
      <c r="BU42" s="253"/>
      <c r="BV42" s="254">
        <v>0</v>
      </c>
      <c r="BW42" s="253"/>
      <c r="BX42" s="254">
        <v>0</v>
      </c>
      <c r="BY42" s="156"/>
      <c r="BZ42" s="255"/>
      <c r="CA42" s="256">
        <v>1</v>
      </c>
      <c r="CB42" s="256">
        <v>10</v>
      </c>
      <c r="CC42" s="256">
        <v>6</v>
      </c>
      <c r="CD42" s="257">
        <v>17</v>
      </c>
      <c r="CE42" s="256">
        <v>10</v>
      </c>
      <c r="CF42" s="257">
        <v>27</v>
      </c>
      <c r="CG42" s="156"/>
      <c r="CH42" s="258"/>
      <c r="CI42" s="259"/>
      <c r="CJ42" s="259"/>
      <c r="CK42" s="259"/>
      <c r="CL42" s="260">
        <v>0</v>
      </c>
      <c r="CM42" s="259"/>
      <c r="CN42" s="260">
        <v>0</v>
      </c>
      <c r="CO42" s="66"/>
      <c r="CP42" s="261"/>
      <c r="CQ42" s="262"/>
      <c r="CR42" s="262"/>
      <c r="CS42" s="262"/>
      <c r="CT42" s="263">
        <v>0</v>
      </c>
      <c r="CU42" s="262"/>
      <c r="CV42" s="263">
        <v>0</v>
      </c>
      <c r="CW42" s="156"/>
      <c r="CX42" s="275">
        <v>2</v>
      </c>
      <c r="CY42" s="276">
        <v>2</v>
      </c>
      <c r="CZ42" s="269">
        <v>10</v>
      </c>
      <c r="DA42" s="270">
        <v>10</v>
      </c>
      <c r="DB42" s="267">
        <v>24</v>
      </c>
      <c r="DC42" s="276"/>
      <c r="DD42" s="267">
        <v>24</v>
      </c>
      <c r="DE42" s="156"/>
      <c r="DF42" s="282"/>
      <c r="DG42" s="283"/>
      <c r="DH42" s="283"/>
      <c r="DI42" s="283"/>
      <c r="DJ42" s="284">
        <v>0</v>
      </c>
      <c r="DK42" s="283"/>
      <c r="DL42" s="284">
        <v>0</v>
      </c>
      <c r="DM42" s="156"/>
      <c r="DN42" s="285"/>
      <c r="DO42" s="286"/>
      <c r="DP42" s="286"/>
      <c r="DQ42" s="286"/>
      <c r="DR42" s="287">
        <v>0</v>
      </c>
      <c r="DS42" s="286"/>
      <c r="DT42" s="287">
        <v>0</v>
      </c>
      <c r="DU42" s="70"/>
      <c r="DV42" s="288"/>
      <c r="DW42" s="289"/>
      <c r="DX42" s="289"/>
      <c r="DY42" s="289"/>
      <c r="DZ42" s="292">
        <v>0</v>
      </c>
      <c r="EA42" s="289"/>
      <c r="EB42" s="292">
        <v>0</v>
      </c>
      <c r="EC42" s="156"/>
      <c r="ED42" s="293"/>
      <c r="EE42" s="294"/>
      <c r="EF42" s="294"/>
      <c r="EG42" s="294"/>
      <c r="EH42" s="297">
        <v>0</v>
      </c>
      <c r="EI42" s="294"/>
      <c r="EJ42" s="297">
        <v>0</v>
      </c>
      <c r="EK42" s="95"/>
      <c r="EL42" s="298"/>
      <c r="EM42" s="299"/>
      <c r="EN42" s="299"/>
      <c r="EO42" s="299"/>
      <c r="EP42" s="302">
        <v>0</v>
      </c>
      <c r="EQ42" s="299"/>
      <c r="ER42" s="302">
        <v>0</v>
      </c>
    </row>
    <row r="43" spans="1:148" ht="15.75">
      <c r="A43" s="211">
        <v>41</v>
      </c>
      <c r="B43" s="213" t="s">
        <v>264</v>
      </c>
      <c r="C43" s="214">
        <v>1</v>
      </c>
      <c r="D43" s="215">
        <v>1</v>
      </c>
      <c r="E43" s="215">
        <v>1</v>
      </c>
      <c r="F43" s="215">
        <v>1</v>
      </c>
      <c r="G43" s="48">
        <f t="shared" si="14"/>
        <v>4</v>
      </c>
      <c r="H43" s="216">
        <v>19</v>
      </c>
      <c r="I43" s="48">
        <f t="shared" si="15"/>
        <v>23</v>
      </c>
      <c r="J43" s="52"/>
      <c r="K43" s="217">
        <v>5</v>
      </c>
      <c r="L43" s="218">
        <v>3</v>
      </c>
      <c r="M43" s="218">
        <v>10</v>
      </c>
      <c r="N43" s="218">
        <v>10</v>
      </c>
      <c r="O43" s="52">
        <f t="shared" si="13"/>
        <v>28</v>
      </c>
      <c r="P43" s="222">
        <v>18</v>
      </c>
      <c r="Q43" s="52">
        <f t="shared" si="4"/>
        <v>46</v>
      </c>
      <c r="R43" s="70"/>
      <c r="S43" s="224"/>
      <c r="T43" s="225">
        <v>2</v>
      </c>
      <c r="U43" s="225">
        <v>5</v>
      </c>
      <c r="V43" s="225">
        <v>5</v>
      </c>
      <c r="W43" s="70">
        <f t="shared" si="0"/>
        <v>12</v>
      </c>
      <c r="X43" s="226">
        <v>9</v>
      </c>
      <c r="Y43" s="70">
        <f t="shared" si="5"/>
        <v>21</v>
      </c>
      <c r="Z43" s="70">
        <f t="shared" si="6"/>
        <v>40</v>
      </c>
      <c r="AA43" s="70" t="str">
        <f t="shared" si="7"/>
        <v>F</v>
      </c>
      <c r="AB43" s="70" t="str">
        <f t="shared" si="8"/>
        <v>Fail</v>
      </c>
      <c r="AC43" s="44"/>
      <c r="AD43" s="228"/>
      <c r="AE43" s="229"/>
      <c r="AF43" s="229"/>
      <c r="AG43" s="229"/>
      <c r="AH43" s="44">
        <f t="shared" si="9"/>
        <v>0</v>
      </c>
      <c r="AI43" s="232"/>
      <c r="AJ43" s="44">
        <f t="shared" si="10"/>
        <v>0</v>
      </c>
      <c r="AK43" s="3"/>
      <c r="AL43" s="234"/>
      <c r="AM43" s="235">
        <v>1</v>
      </c>
      <c r="AN43" s="235">
        <v>6</v>
      </c>
      <c r="AO43" s="235">
        <v>7</v>
      </c>
      <c r="AP43" s="75">
        <f t="shared" si="11"/>
        <v>14</v>
      </c>
      <c r="AQ43" s="241">
        <v>11</v>
      </c>
      <c r="AR43" s="75">
        <f t="shared" si="12"/>
        <v>25</v>
      </c>
      <c r="AS43" s="79"/>
      <c r="AT43" s="242"/>
      <c r="AU43" s="243">
        <v>1</v>
      </c>
      <c r="AV43" s="243">
        <v>5</v>
      </c>
      <c r="AW43" s="243">
        <v>4</v>
      </c>
      <c r="AX43" s="244">
        <v>10</v>
      </c>
      <c r="AY43" s="243">
        <v>13</v>
      </c>
      <c r="AZ43" s="244">
        <v>23</v>
      </c>
      <c r="BA43" s="156"/>
      <c r="BB43" s="245"/>
      <c r="BC43" s="246">
        <v>1</v>
      </c>
      <c r="BD43" s="246">
        <v>1</v>
      </c>
      <c r="BE43" s="246">
        <v>3</v>
      </c>
      <c r="BF43" s="247">
        <v>5</v>
      </c>
      <c r="BG43" s="246">
        <v>11</v>
      </c>
      <c r="BH43" s="247">
        <v>16</v>
      </c>
      <c r="BI43" s="58"/>
      <c r="BJ43" s="248"/>
      <c r="BK43" s="249"/>
      <c r="BL43" s="249"/>
      <c r="BM43" s="249"/>
      <c r="BN43" s="250">
        <v>0</v>
      </c>
      <c r="BO43" s="249"/>
      <c r="BP43" s="250">
        <v>0</v>
      </c>
      <c r="BQ43" s="62"/>
      <c r="BR43" s="252"/>
      <c r="BS43" s="253">
        <v>1</v>
      </c>
      <c r="BT43" s="253">
        <v>10</v>
      </c>
      <c r="BU43" s="253">
        <v>10</v>
      </c>
      <c r="BV43" s="254">
        <v>21</v>
      </c>
      <c r="BW43" s="253">
        <v>7</v>
      </c>
      <c r="BX43" s="254">
        <v>28</v>
      </c>
      <c r="BY43" s="52"/>
      <c r="BZ43" s="114"/>
      <c r="CA43" s="115"/>
      <c r="CB43" s="115"/>
      <c r="CC43" s="115"/>
      <c r="CD43" s="52">
        <f t="shared" ref="CD43:CD52" si="16">SUM(BZ43:CC43)</f>
        <v>0</v>
      </c>
      <c r="CE43" s="115"/>
      <c r="CF43" s="52">
        <f t="shared" ref="CF43:CF52" si="17">CD43+CE43</f>
        <v>0</v>
      </c>
      <c r="CG43" s="156"/>
      <c r="CH43" s="258"/>
      <c r="CI43" s="259">
        <v>1</v>
      </c>
      <c r="CJ43" s="259"/>
      <c r="CK43" s="259">
        <v>10</v>
      </c>
      <c r="CL43" s="260">
        <v>11</v>
      </c>
      <c r="CM43" s="259">
        <v>21</v>
      </c>
      <c r="CN43" s="260">
        <v>32</v>
      </c>
      <c r="CO43" s="66"/>
      <c r="CP43" s="261">
        <v>6</v>
      </c>
      <c r="CQ43" s="262">
        <v>4</v>
      </c>
      <c r="CR43" s="262">
        <v>7</v>
      </c>
      <c r="CS43" s="262">
        <v>7</v>
      </c>
      <c r="CT43" s="263">
        <v>24</v>
      </c>
      <c r="CU43" s="262">
        <v>25</v>
      </c>
      <c r="CV43" s="263">
        <v>49</v>
      </c>
      <c r="CW43" s="87"/>
      <c r="CX43" s="277">
        <v>4</v>
      </c>
      <c r="CY43" s="264">
        <v>4</v>
      </c>
      <c r="CZ43" s="269">
        <v>10</v>
      </c>
      <c r="DA43" s="270">
        <v>10</v>
      </c>
      <c r="DB43" s="267">
        <v>28</v>
      </c>
      <c r="DC43" s="264">
        <v>10</v>
      </c>
      <c r="DD43" s="267">
        <v>38</v>
      </c>
      <c r="DE43" s="48"/>
      <c r="DF43" s="282"/>
      <c r="DG43" s="283"/>
      <c r="DH43" s="283"/>
      <c r="DI43" s="283"/>
      <c r="DJ43" s="284">
        <v>0</v>
      </c>
      <c r="DK43" s="283">
        <v>15</v>
      </c>
      <c r="DL43" s="284">
        <v>15</v>
      </c>
      <c r="DM43" s="48"/>
      <c r="DN43" s="285"/>
      <c r="DO43" s="286">
        <v>1</v>
      </c>
      <c r="DP43" s="286">
        <v>2</v>
      </c>
      <c r="DQ43" s="286">
        <v>3</v>
      </c>
      <c r="DR43" s="287">
        <v>6</v>
      </c>
      <c r="DS43" s="286">
        <v>9</v>
      </c>
      <c r="DT43" s="287">
        <v>15</v>
      </c>
      <c r="DU43" s="70"/>
      <c r="DV43" s="288"/>
      <c r="DW43" s="289"/>
      <c r="DX43" s="289">
        <v>6</v>
      </c>
      <c r="DY43" s="289">
        <v>5</v>
      </c>
      <c r="DZ43" s="292">
        <v>11</v>
      </c>
      <c r="EA43" s="289">
        <v>7</v>
      </c>
      <c r="EB43" s="292">
        <v>18</v>
      </c>
      <c r="EC43" s="100"/>
      <c r="ED43" s="293"/>
      <c r="EE43" s="294">
        <v>2</v>
      </c>
      <c r="EF43" s="294">
        <v>6</v>
      </c>
      <c r="EG43" s="294">
        <v>4</v>
      </c>
      <c r="EH43" s="297">
        <v>12</v>
      </c>
      <c r="EI43" s="294">
        <v>8</v>
      </c>
      <c r="EJ43" s="297">
        <v>20</v>
      </c>
      <c r="EK43" s="95"/>
      <c r="EL43" s="298"/>
      <c r="EM43" s="299">
        <v>3</v>
      </c>
      <c r="EN43" s="299">
        <v>5</v>
      </c>
      <c r="EO43" s="299">
        <v>5</v>
      </c>
      <c r="EP43" s="302">
        <v>13</v>
      </c>
      <c r="EQ43" s="299">
        <v>20</v>
      </c>
      <c r="ER43" s="302">
        <v>33</v>
      </c>
    </row>
    <row r="44" spans="1:148" ht="18">
      <c r="A44" s="212"/>
      <c r="B44" s="156"/>
      <c r="C44" s="116"/>
      <c r="D44" s="117"/>
      <c r="E44" s="117"/>
      <c r="F44" s="117"/>
      <c r="G44" s="48">
        <f t="shared" si="14"/>
        <v>0</v>
      </c>
      <c r="H44" s="117"/>
      <c r="I44" s="48">
        <f t="shared" si="15"/>
        <v>0</v>
      </c>
      <c r="J44" s="52"/>
      <c r="K44" s="219"/>
      <c r="L44" s="220"/>
      <c r="M44" s="220"/>
      <c r="N44" s="220"/>
      <c r="O44" s="52">
        <f t="shared" si="13"/>
        <v>0</v>
      </c>
      <c r="P44" s="223"/>
      <c r="Q44" s="52">
        <f t="shared" si="4"/>
        <v>0</v>
      </c>
      <c r="R44" s="70"/>
      <c r="S44" s="124"/>
      <c r="T44" s="125"/>
      <c r="U44" s="125"/>
      <c r="V44" s="125"/>
      <c r="W44" s="70">
        <f t="shared" si="0"/>
        <v>0</v>
      </c>
      <c r="X44" s="227"/>
      <c r="Y44" s="70">
        <f t="shared" si="5"/>
        <v>0</v>
      </c>
      <c r="Z44" s="70" t="str">
        <f t="shared" si="6"/>
        <v/>
      </c>
      <c r="AA44" s="70" t="str">
        <f t="shared" si="7"/>
        <v/>
      </c>
      <c r="AB44" s="70" t="str">
        <f t="shared" si="8"/>
        <v/>
      </c>
      <c r="AC44" s="44"/>
      <c r="AD44" s="230"/>
      <c r="AE44" s="231"/>
      <c r="AF44" s="231"/>
      <c r="AG44" s="231"/>
      <c r="AH44" s="44">
        <f t="shared" si="9"/>
        <v>0</v>
      </c>
      <c r="AI44" s="233"/>
      <c r="AJ44" s="44">
        <f t="shared" si="10"/>
        <v>0</v>
      </c>
      <c r="AK44" s="3"/>
      <c r="AL44" s="236"/>
      <c r="AM44" s="237"/>
      <c r="AN44" s="237"/>
      <c r="AO44" s="237"/>
      <c r="AP44" s="75">
        <f t="shared" si="11"/>
        <v>0</v>
      </c>
      <c r="AQ44" s="117"/>
      <c r="AR44" s="75">
        <f t="shared" si="12"/>
        <v>0</v>
      </c>
      <c r="AS44" s="79"/>
      <c r="AT44" s="116"/>
      <c r="AU44" s="117"/>
      <c r="AV44" s="117"/>
      <c r="AW44" s="117"/>
      <c r="AX44" s="79">
        <f t="shared" ref="AX44:AX52" si="18">SUM(AT44:AW44)</f>
        <v>0</v>
      </c>
      <c r="AY44" s="117"/>
      <c r="AZ44" s="79">
        <f t="shared" ref="AZ44:AZ52" si="19">AX44+AY44</f>
        <v>0</v>
      </c>
      <c r="BA44" s="83"/>
      <c r="BB44" s="114"/>
      <c r="BC44" s="115"/>
      <c r="BD44" s="115"/>
      <c r="BE44" s="115"/>
      <c r="BF44" s="83">
        <f t="shared" ref="BF44:BF46" si="20">SUM(BB44:BE44)</f>
        <v>0</v>
      </c>
      <c r="BG44" s="115"/>
      <c r="BH44" s="83">
        <f t="shared" ref="BH44:BH52" si="21">BF44+BG44</f>
        <v>0</v>
      </c>
      <c r="BI44" s="58"/>
      <c r="BJ44" s="116"/>
      <c r="BK44" s="117"/>
      <c r="BL44" s="117"/>
      <c r="BM44" s="117"/>
      <c r="BN44" s="58">
        <f t="shared" ref="BN44:BN52" si="22">SUM(BJ44:BM44)</f>
        <v>0</v>
      </c>
      <c r="BO44" s="117"/>
      <c r="BP44" s="58">
        <f t="shared" ref="BP44:BP52" si="23">BN44+BO44</f>
        <v>0</v>
      </c>
      <c r="BQ44" s="62"/>
      <c r="BR44" s="119"/>
      <c r="BS44" s="120"/>
      <c r="BT44" s="120"/>
      <c r="BU44" s="120"/>
      <c r="BV44" s="62">
        <f t="shared" ref="BV44:BV52" si="24">SUM(BR44:BU44)</f>
        <v>0</v>
      </c>
      <c r="BW44" s="120"/>
      <c r="BX44" s="62">
        <f t="shared" ref="BX44:BX52" si="25">BV44+BW44</f>
        <v>0</v>
      </c>
      <c r="BY44" s="52"/>
      <c r="BZ44" s="116"/>
      <c r="CA44" s="117"/>
      <c r="CB44" s="117"/>
      <c r="CC44" s="117"/>
      <c r="CD44" s="52">
        <f t="shared" si="16"/>
        <v>0</v>
      </c>
      <c r="CE44" s="117"/>
      <c r="CF44" s="52">
        <f t="shared" si="17"/>
        <v>0</v>
      </c>
      <c r="CG44" s="91"/>
      <c r="CH44" s="258"/>
      <c r="CI44" s="259"/>
      <c r="CJ44" s="259"/>
      <c r="CK44" s="259"/>
      <c r="CL44" s="260">
        <v>0</v>
      </c>
      <c r="CM44" s="259"/>
      <c r="CN44" s="260">
        <v>0</v>
      </c>
      <c r="CO44" s="66"/>
      <c r="CP44" s="124"/>
      <c r="CQ44" s="125"/>
      <c r="CR44" s="125"/>
      <c r="CS44" s="125"/>
      <c r="CT44" s="66">
        <f t="shared" ref="CT44:CT52" si="26">SUM(CP44:CS44)</f>
        <v>0</v>
      </c>
      <c r="CU44" s="125"/>
      <c r="CV44" s="66">
        <f t="shared" ref="CV44:CV52" si="27">CT44+CU44</f>
        <v>0</v>
      </c>
      <c r="CW44" s="87"/>
      <c r="CX44" s="116"/>
      <c r="CY44" s="117"/>
      <c r="CZ44" s="117"/>
      <c r="DA44" s="117"/>
      <c r="DB44" s="87">
        <f t="shared" ref="DB44:DB52" si="28">SUM(CX44:DA44)</f>
        <v>0</v>
      </c>
      <c r="DC44" s="117"/>
      <c r="DD44" s="87">
        <f t="shared" ref="DD44:DD52" si="29">DB44+DC44</f>
        <v>0</v>
      </c>
      <c r="DE44" s="100"/>
      <c r="DF44" s="124"/>
      <c r="DG44" s="125"/>
      <c r="DH44" s="125"/>
      <c r="DI44" s="123"/>
      <c r="DJ44" s="100">
        <f t="shared" ref="DJ44:DJ52" si="30">SUM(DF44:DI44)</f>
        <v>0</v>
      </c>
      <c r="DK44" s="125"/>
      <c r="DL44" s="100">
        <f t="shared" ref="DL44:DL52" si="31">DJ44+DK44</f>
        <v>0</v>
      </c>
      <c r="DM44" s="48"/>
      <c r="DN44" s="116"/>
      <c r="DO44" s="117"/>
      <c r="DP44" s="117"/>
      <c r="DQ44" s="117"/>
      <c r="DR44" s="48">
        <f t="shared" ref="DR44:DR52" si="32">SUM(DN44:DQ44)</f>
        <v>0</v>
      </c>
      <c r="DS44" s="117"/>
      <c r="DT44" s="48">
        <f t="shared" ref="DT44:DT52" si="33">DR44+DS44</f>
        <v>0</v>
      </c>
      <c r="DU44" s="70"/>
      <c r="DV44" s="290"/>
      <c r="DW44" s="291"/>
      <c r="DX44" s="291"/>
      <c r="DY44" s="291"/>
      <c r="DZ44" s="292">
        <v>0</v>
      </c>
      <c r="EA44" s="291"/>
      <c r="EB44" s="292">
        <v>0</v>
      </c>
      <c r="EC44" s="100"/>
      <c r="ED44" s="295"/>
      <c r="EE44" s="296"/>
      <c r="EF44" s="296"/>
      <c r="EG44" s="296"/>
      <c r="EH44" s="297">
        <v>0</v>
      </c>
      <c r="EI44" s="296"/>
      <c r="EJ44" s="297">
        <v>0</v>
      </c>
      <c r="EK44" s="95"/>
      <c r="EL44" s="300"/>
      <c r="EM44" s="301"/>
      <c r="EN44" s="301"/>
      <c r="EO44" s="301"/>
      <c r="EP44" s="302">
        <v>0</v>
      </c>
      <c r="EQ44" s="301"/>
      <c r="ER44" s="302">
        <v>0</v>
      </c>
    </row>
    <row r="45" spans="1:148" ht="18">
      <c r="A45" s="211"/>
      <c r="B45" s="156"/>
      <c r="C45" s="116"/>
      <c r="D45" s="117"/>
      <c r="E45" s="117"/>
      <c r="F45" s="117"/>
      <c r="G45" s="48">
        <f t="shared" si="14"/>
        <v>0</v>
      </c>
      <c r="H45" s="117"/>
      <c r="I45" s="48">
        <f t="shared" si="15"/>
        <v>0</v>
      </c>
      <c r="J45" s="52"/>
      <c r="K45" s="116"/>
      <c r="L45" s="117"/>
      <c r="M45" s="117"/>
      <c r="N45" s="117"/>
      <c r="O45" s="52">
        <f t="shared" si="13"/>
        <v>0</v>
      </c>
      <c r="P45" s="117"/>
      <c r="Q45" s="52">
        <f t="shared" si="4"/>
        <v>0</v>
      </c>
      <c r="R45" s="70"/>
      <c r="S45" s="124"/>
      <c r="T45" s="125"/>
      <c r="U45" s="125"/>
      <c r="V45" s="125"/>
      <c r="W45" s="70">
        <f t="shared" si="0"/>
        <v>0</v>
      </c>
      <c r="X45" s="125"/>
      <c r="Y45" s="70">
        <f t="shared" si="5"/>
        <v>0</v>
      </c>
      <c r="Z45" s="70" t="str">
        <f t="shared" si="6"/>
        <v/>
      </c>
      <c r="AA45" s="70" t="str">
        <f t="shared" si="7"/>
        <v/>
      </c>
      <c r="AB45" s="70" t="str">
        <f t="shared" si="8"/>
        <v/>
      </c>
      <c r="AC45" s="44"/>
      <c r="AD45" s="44"/>
      <c r="AE45" s="44"/>
      <c r="AF45" s="44"/>
      <c r="AG45" s="44"/>
      <c r="AH45" s="44">
        <f t="shared" si="9"/>
        <v>0</v>
      </c>
      <c r="AI45" s="44"/>
      <c r="AJ45" s="44">
        <f t="shared" si="10"/>
        <v>0</v>
      </c>
      <c r="AK45" s="3"/>
      <c r="AL45" s="236"/>
      <c r="AM45" s="237"/>
      <c r="AN45" s="237"/>
      <c r="AO45" s="237"/>
      <c r="AP45" s="75">
        <f t="shared" si="11"/>
        <v>0</v>
      </c>
      <c r="AQ45" s="117"/>
      <c r="AR45" s="75">
        <f t="shared" si="12"/>
        <v>0</v>
      </c>
      <c r="AS45" s="79"/>
      <c r="AT45" s="116"/>
      <c r="AU45" s="117"/>
      <c r="AV45" s="117"/>
      <c r="AW45" s="117"/>
      <c r="AX45" s="79">
        <f t="shared" si="18"/>
        <v>0</v>
      </c>
      <c r="AY45" s="117"/>
      <c r="AZ45" s="79">
        <f t="shared" si="19"/>
        <v>0</v>
      </c>
      <c r="BA45" s="83"/>
      <c r="BB45" s="114"/>
      <c r="BC45" s="115"/>
      <c r="BD45" s="115"/>
      <c r="BE45" s="115"/>
      <c r="BF45" s="83">
        <f t="shared" si="20"/>
        <v>0</v>
      </c>
      <c r="BG45" s="115"/>
      <c r="BH45" s="83">
        <f t="shared" si="21"/>
        <v>0</v>
      </c>
      <c r="BI45" s="58"/>
      <c r="BJ45" s="116"/>
      <c r="BK45" s="117"/>
      <c r="BL45" s="117"/>
      <c r="BM45" s="117"/>
      <c r="BN45" s="58">
        <f t="shared" si="22"/>
        <v>0</v>
      </c>
      <c r="BO45" s="117"/>
      <c r="BP45" s="58">
        <f t="shared" si="23"/>
        <v>0</v>
      </c>
      <c r="BQ45" s="62"/>
      <c r="BR45" s="121"/>
      <c r="BS45" s="122"/>
      <c r="BT45" s="122"/>
      <c r="BU45" s="122"/>
      <c r="BV45" s="62">
        <f t="shared" si="24"/>
        <v>0</v>
      </c>
      <c r="BW45" s="122"/>
      <c r="BX45" s="62">
        <f t="shared" si="25"/>
        <v>0</v>
      </c>
      <c r="BY45" s="52"/>
      <c r="BZ45" s="116"/>
      <c r="CA45" s="117"/>
      <c r="CB45" s="117"/>
      <c r="CC45" s="117"/>
      <c r="CD45" s="52">
        <f t="shared" si="16"/>
        <v>0</v>
      </c>
      <c r="CE45" s="117"/>
      <c r="CF45" s="52">
        <f t="shared" si="17"/>
        <v>0</v>
      </c>
      <c r="CG45" s="91"/>
      <c r="CH45" s="258"/>
      <c r="CI45" s="259"/>
      <c r="CJ45" s="259"/>
      <c r="CK45" s="259"/>
      <c r="CL45" s="260">
        <v>0</v>
      </c>
      <c r="CM45" s="259"/>
      <c r="CN45" s="260">
        <v>0</v>
      </c>
      <c r="CO45" s="66"/>
      <c r="CP45" s="125"/>
      <c r="CQ45" s="125"/>
      <c r="CR45" s="125"/>
      <c r="CS45" s="125"/>
      <c r="CT45" s="66">
        <f t="shared" si="26"/>
        <v>0</v>
      </c>
      <c r="CU45" s="125"/>
      <c r="CV45" s="66">
        <f t="shared" si="27"/>
        <v>0</v>
      </c>
      <c r="CW45" s="87"/>
      <c r="CX45" s="116"/>
      <c r="CY45" s="117"/>
      <c r="CZ45" s="117"/>
      <c r="DA45" s="117"/>
      <c r="DB45" s="87">
        <f t="shared" si="28"/>
        <v>0</v>
      </c>
      <c r="DC45" s="117"/>
      <c r="DD45" s="87">
        <f t="shared" si="29"/>
        <v>0</v>
      </c>
      <c r="DE45" s="100"/>
      <c r="DF45" s="124"/>
      <c r="DG45" s="125"/>
      <c r="DH45" s="125"/>
      <c r="DI45" s="123"/>
      <c r="DJ45" s="100">
        <f t="shared" si="30"/>
        <v>0</v>
      </c>
      <c r="DK45" s="125"/>
      <c r="DL45" s="100">
        <f t="shared" si="31"/>
        <v>0</v>
      </c>
      <c r="DM45" s="48"/>
      <c r="DN45" s="116"/>
      <c r="DO45" s="117"/>
      <c r="DP45" s="117"/>
      <c r="DQ45" s="117"/>
      <c r="DR45" s="48">
        <f t="shared" si="32"/>
        <v>0</v>
      </c>
      <c r="DS45" s="117"/>
      <c r="DT45" s="48">
        <f t="shared" si="33"/>
        <v>0</v>
      </c>
      <c r="DU45" s="70"/>
      <c r="DV45" s="116"/>
      <c r="DW45" s="117"/>
      <c r="DX45" s="117"/>
      <c r="DY45" s="117"/>
      <c r="DZ45" s="70">
        <f t="shared" ref="DZ45:DZ52" si="34">SUM(DV45:DY45)</f>
        <v>0</v>
      </c>
      <c r="EA45" s="117"/>
      <c r="EB45" s="70">
        <f t="shared" ref="EB45:EB52" si="35">DZ45+EA45</f>
        <v>0</v>
      </c>
      <c r="EC45" s="100"/>
      <c r="ED45" s="124"/>
      <c r="EE45" s="125"/>
      <c r="EF45" s="125"/>
      <c r="EG45" s="125"/>
      <c r="EH45" s="100">
        <f t="shared" ref="EH45:EH52" si="36">SUM(ED45:EG45)</f>
        <v>0</v>
      </c>
      <c r="EI45" s="125"/>
      <c r="EJ45" s="100">
        <f t="shared" ref="EJ45:EJ52" si="37">EH45+EI45</f>
        <v>0</v>
      </c>
      <c r="EK45" s="95"/>
      <c r="EL45" s="117"/>
      <c r="EM45" s="117"/>
      <c r="EN45" s="117"/>
      <c r="EO45" s="117"/>
      <c r="EP45" s="95">
        <f t="shared" ref="EP45:EP52" si="38">SUM(EL45:EO45)</f>
        <v>0</v>
      </c>
      <c r="EQ45" s="117"/>
      <c r="ER45" s="95">
        <f t="shared" ref="ER45:ER52" si="39">EP45+EQ45</f>
        <v>0</v>
      </c>
    </row>
    <row r="46" spans="1:148" ht="18">
      <c r="A46" s="212"/>
      <c r="B46" s="157"/>
      <c r="C46" s="16"/>
      <c r="D46" s="16"/>
      <c r="E46" s="16"/>
      <c r="F46" s="16"/>
      <c r="G46" s="48">
        <f t="shared" si="14"/>
        <v>0</v>
      </c>
      <c r="H46" s="16"/>
      <c r="I46" s="48">
        <f t="shared" si="15"/>
        <v>0</v>
      </c>
      <c r="J46" s="52"/>
      <c r="K46" s="16"/>
      <c r="L46" s="16"/>
      <c r="M46" s="16"/>
      <c r="N46" s="16"/>
      <c r="O46" s="52">
        <f t="shared" si="13"/>
        <v>0</v>
      </c>
      <c r="P46" s="16"/>
      <c r="Q46" s="52">
        <f t="shared" si="4"/>
        <v>0</v>
      </c>
      <c r="R46" s="70"/>
      <c r="S46" s="126"/>
      <c r="T46" s="126"/>
      <c r="U46" s="126"/>
      <c r="V46" s="126"/>
      <c r="W46" s="70">
        <f t="shared" si="0"/>
        <v>0</v>
      </c>
      <c r="X46" s="126"/>
      <c r="Y46" s="70">
        <f t="shared" si="5"/>
        <v>0</v>
      </c>
      <c r="Z46" s="70" t="str">
        <f t="shared" si="6"/>
        <v/>
      </c>
      <c r="AA46" s="70" t="str">
        <f t="shared" si="7"/>
        <v/>
      </c>
      <c r="AB46" s="70" t="str">
        <f t="shared" si="8"/>
        <v/>
      </c>
      <c r="AC46" s="44"/>
      <c r="AD46" s="44"/>
      <c r="AE46" s="44"/>
      <c r="AF46" s="44"/>
      <c r="AG46" s="44"/>
      <c r="AH46" s="44">
        <f t="shared" si="9"/>
        <v>0</v>
      </c>
      <c r="AI46" s="44"/>
      <c r="AJ46" s="44">
        <f t="shared" si="10"/>
        <v>0</v>
      </c>
      <c r="AK46" s="3"/>
      <c r="AL46" s="240"/>
      <c r="AM46" s="240"/>
      <c r="AN46" s="240"/>
      <c r="AO46" s="240"/>
      <c r="AP46" s="75">
        <f t="shared" si="11"/>
        <v>0</v>
      </c>
      <c r="AQ46" s="118"/>
      <c r="AR46" s="75">
        <f t="shared" si="12"/>
        <v>0</v>
      </c>
      <c r="AS46" s="79"/>
      <c r="AT46" s="16"/>
      <c r="AU46" s="16"/>
      <c r="AV46" s="16"/>
      <c r="AW46" s="16"/>
      <c r="AX46" s="79">
        <f t="shared" si="18"/>
        <v>0</v>
      </c>
      <c r="AY46" s="16"/>
      <c r="AZ46" s="79">
        <f t="shared" si="19"/>
        <v>0</v>
      </c>
      <c r="BA46" s="83"/>
      <c r="BB46" s="114"/>
      <c r="BC46" s="115"/>
      <c r="BD46" s="115"/>
      <c r="BE46" s="115"/>
      <c r="BF46" s="83">
        <f t="shared" si="20"/>
        <v>0</v>
      </c>
      <c r="BG46" s="115"/>
      <c r="BH46" s="83">
        <f t="shared" si="21"/>
        <v>0</v>
      </c>
      <c r="BI46" s="58"/>
      <c r="BJ46" s="16"/>
      <c r="BK46" s="16"/>
      <c r="BL46" s="16"/>
      <c r="BM46" s="16"/>
      <c r="BN46" s="58">
        <f t="shared" si="22"/>
        <v>0</v>
      </c>
      <c r="BO46" s="16"/>
      <c r="BP46" s="58">
        <f t="shared" si="23"/>
        <v>0</v>
      </c>
      <c r="BQ46" s="62"/>
      <c r="BR46" s="120"/>
      <c r="BS46" s="120"/>
      <c r="BT46" s="120"/>
      <c r="BU46" s="120"/>
      <c r="BV46" s="62">
        <f t="shared" si="24"/>
        <v>0</v>
      </c>
      <c r="BW46" s="120"/>
      <c r="BX46" s="62">
        <f t="shared" si="25"/>
        <v>0</v>
      </c>
      <c r="BY46" s="52"/>
      <c r="BZ46" s="16"/>
      <c r="CA46" s="16"/>
      <c r="CB46" s="16"/>
      <c r="CC46" s="16"/>
      <c r="CD46" s="52">
        <f t="shared" si="16"/>
        <v>0</v>
      </c>
      <c r="CE46" s="16"/>
      <c r="CF46" s="52">
        <f t="shared" si="17"/>
        <v>0</v>
      </c>
      <c r="CG46" s="91"/>
      <c r="CH46" s="258"/>
      <c r="CI46" s="259"/>
      <c r="CJ46" s="259"/>
      <c r="CK46" s="259"/>
      <c r="CL46" s="260">
        <v>0</v>
      </c>
      <c r="CM46" s="259"/>
      <c r="CN46" s="260">
        <v>0</v>
      </c>
      <c r="CO46" s="66"/>
      <c r="CP46" s="127"/>
      <c r="CQ46" s="127"/>
      <c r="CR46" s="127"/>
      <c r="CS46" s="127"/>
      <c r="CT46" s="66">
        <f t="shared" si="26"/>
        <v>0</v>
      </c>
      <c r="CU46" s="127"/>
      <c r="CV46" s="66">
        <f t="shared" si="27"/>
        <v>0</v>
      </c>
      <c r="CW46" s="87"/>
      <c r="CX46" s="16"/>
      <c r="CY46" s="16"/>
      <c r="CZ46" s="16"/>
      <c r="DA46" s="16"/>
      <c r="DB46" s="87">
        <f t="shared" si="28"/>
        <v>0</v>
      </c>
      <c r="DC46" s="16"/>
      <c r="DD46" s="87">
        <f t="shared" si="29"/>
        <v>0</v>
      </c>
      <c r="DE46" s="100"/>
      <c r="DF46" s="128"/>
      <c r="DG46" s="128"/>
      <c r="DH46" s="128"/>
      <c r="DI46" s="123"/>
      <c r="DJ46" s="100">
        <f t="shared" si="30"/>
        <v>0</v>
      </c>
      <c r="DK46" s="128"/>
      <c r="DL46" s="100">
        <f t="shared" si="31"/>
        <v>0</v>
      </c>
      <c r="DM46" s="48"/>
      <c r="DN46" s="16"/>
      <c r="DO46" s="16"/>
      <c r="DP46" s="16"/>
      <c r="DQ46" s="16"/>
      <c r="DR46" s="48">
        <f t="shared" si="32"/>
        <v>0</v>
      </c>
      <c r="DS46" s="16"/>
      <c r="DT46" s="48">
        <f t="shared" si="33"/>
        <v>0</v>
      </c>
      <c r="DU46" s="70"/>
      <c r="DV46" s="129"/>
      <c r="DW46" s="130"/>
      <c r="DX46" s="130"/>
      <c r="DY46" s="130"/>
      <c r="DZ46" s="70">
        <f t="shared" si="34"/>
        <v>0</v>
      </c>
      <c r="EA46" s="130"/>
      <c r="EB46" s="70">
        <f t="shared" si="35"/>
        <v>0</v>
      </c>
      <c r="EC46" s="100"/>
      <c r="ED46" s="128"/>
      <c r="EE46" s="128"/>
      <c r="EF46" s="128"/>
      <c r="EG46" s="128"/>
      <c r="EH46" s="100">
        <f t="shared" si="36"/>
        <v>0</v>
      </c>
      <c r="EI46" s="128"/>
      <c r="EJ46" s="100">
        <f t="shared" si="37"/>
        <v>0</v>
      </c>
      <c r="EK46" s="95"/>
      <c r="EL46" s="131"/>
      <c r="EM46" s="131"/>
      <c r="EN46" s="41"/>
      <c r="EO46" s="41"/>
      <c r="EP46" s="95">
        <f t="shared" si="38"/>
        <v>0</v>
      </c>
      <c r="EQ46" s="131"/>
      <c r="ER46" s="95">
        <f t="shared" si="39"/>
        <v>0</v>
      </c>
    </row>
    <row r="47" spans="1:148" ht="18.75">
      <c r="A47" s="211"/>
      <c r="B47" s="156"/>
      <c r="C47" s="48"/>
      <c r="D47" s="48"/>
      <c r="E47" s="48"/>
      <c r="F47" s="48"/>
      <c r="G47" s="48">
        <f t="shared" si="14"/>
        <v>0</v>
      </c>
      <c r="H47" s="48"/>
      <c r="I47" s="48">
        <f t="shared" si="15"/>
        <v>0</v>
      </c>
      <c r="J47" s="52"/>
      <c r="K47" s="55"/>
      <c r="L47" s="55"/>
      <c r="M47" s="55"/>
      <c r="N47" s="55"/>
      <c r="O47" s="52">
        <f t="shared" si="13"/>
        <v>0</v>
      </c>
      <c r="P47" s="55"/>
      <c r="Q47" s="52">
        <f t="shared" si="4"/>
        <v>0</v>
      </c>
      <c r="R47" s="70"/>
      <c r="S47" s="70"/>
      <c r="T47" s="70"/>
      <c r="U47" s="70"/>
      <c r="V47" s="70"/>
      <c r="W47" s="70">
        <f t="shared" ref="W47:W52" si="40">SUM(S47:V47)</f>
        <v>0</v>
      </c>
      <c r="X47" s="70"/>
      <c r="Y47" s="70">
        <f t="shared" si="5"/>
        <v>0</v>
      </c>
      <c r="Z47" s="70" t="str">
        <f t="shared" si="6"/>
        <v/>
      </c>
      <c r="AA47" s="70" t="str">
        <f t="shared" si="7"/>
        <v/>
      </c>
      <c r="AB47" s="70" t="str">
        <f t="shared" si="8"/>
        <v/>
      </c>
      <c r="AC47" s="44"/>
      <c r="AD47" s="44"/>
      <c r="AE47" s="44"/>
      <c r="AF47" s="44"/>
      <c r="AG47" s="44"/>
      <c r="AH47" s="44">
        <f t="shared" si="9"/>
        <v>0</v>
      </c>
      <c r="AI47" s="44"/>
      <c r="AJ47" s="44">
        <f t="shared" si="10"/>
        <v>0</v>
      </c>
      <c r="AK47" s="3"/>
      <c r="AL47" s="239"/>
      <c r="AM47" s="239"/>
      <c r="AN47" s="239"/>
      <c r="AO47" s="239"/>
      <c r="AP47" s="75">
        <f t="shared" si="11"/>
        <v>0</v>
      </c>
      <c r="AQ47" s="75"/>
      <c r="AR47" s="75">
        <f t="shared" si="12"/>
        <v>0</v>
      </c>
      <c r="AS47" s="79"/>
      <c r="AT47" s="79"/>
      <c r="AU47" s="79"/>
      <c r="AV47" s="79"/>
      <c r="AW47" s="79"/>
      <c r="AX47" s="79">
        <f t="shared" si="18"/>
        <v>0</v>
      </c>
      <c r="AY47" s="79"/>
      <c r="AZ47" s="79">
        <f t="shared" si="19"/>
        <v>0</v>
      </c>
      <c r="BA47" s="83"/>
      <c r="BB47" s="83"/>
      <c r="BC47" s="83"/>
      <c r="BD47" s="83"/>
      <c r="BE47" s="83"/>
      <c r="BF47" s="83">
        <f t="shared" ref="BF47:BF52" si="41">SUM(BB47:BE47)</f>
        <v>0</v>
      </c>
      <c r="BG47" s="83"/>
      <c r="BH47" s="83">
        <f t="shared" si="21"/>
        <v>0</v>
      </c>
      <c r="BI47" s="58"/>
      <c r="BJ47" s="58"/>
      <c r="BK47" s="58"/>
      <c r="BL47" s="58"/>
      <c r="BM47" s="58"/>
      <c r="BN47" s="58">
        <f t="shared" si="22"/>
        <v>0</v>
      </c>
      <c r="BO47" s="58"/>
      <c r="BP47" s="58">
        <f t="shared" si="23"/>
        <v>0</v>
      </c>
      <c r="BQ47" s="62"/>
      <c r="BR47" s="62"/>
      <c r="BS47" s="62"/>
      <c r="BT47" s="62"/>
      <c r="BU47" s="62"/>
      <c r="BV47" s="62">
        <f t="shared" si="24"/>
        <v>0</v>
      </c>
      <c r="BW47" s="62"/>
      <c r="BX47" s="62">
        <f t="shared" si="25"/>
        <v>0</v>
      </c>
      <c r="BY47" s="52"/>
      <c r="BZ47" s="52"/>
      <c r="CA47" s="52"/>
      <c r="CB47" s="52"/>
      <c r="CC47" s="52"/>
      <c r="CD47" s="52">
        <f t="shared" si="16"/>
        <v>0</v>
      </c>
      <c r="CE47" s="52"/>
      <c r="CF47" s="52">
        <f t="shared" si="17"/>
        <v>0</v>
      </c>
      <c r="CG47" s="91"/>
      <c r="CH47" s="91"/>
      <c r="CI47" s="91"/>
      <c r="CJ47" s="91"/>
      <c r="CK47" s="91"/>
      <c r="CL47" s="91">
        <f t="shared" ref="CL47:CL52" si="42">SUM(CH47:CK47)</f>
        <v>0</v>
      </c>
      <c r="CM47" s="91"/>
      <c r="CN47" s="91">
        <f t="shared" ref="CN47:CN52" si="43">CL47+CM47</f>
        <v>0</v>
      </c>
      <c r="CO47" s="66"/>
      <c r="CP47" s="66"/>
      <c r="CQ47" s="66"/>
      <c r="CR47" s="66"/>
      <c r="CS47" s="66"/>
      <c r="CT47" s="66">
        <f t="shared" si="26"/>
        <v>0</v>
      </c>
      <c r="CU47" s="66"/>
      <c r="CV47" s="66">
        <f t="shared" si="27"/>
        <v>0</v>
      </c>
      <c r="CW47" s="87"/>
      <c r="CX47" s="87"/>
      <c r="CY47" s="87"/>
      <c r="CZ47" s="87"/>
      <c r="DA47" s="87"/>
      <c r="DB47" s="87">
        <f t="shared" si="28"/>
        <v>0</v>
      </c>
      <c r="DC47" s="87"/>
      <c r="DD47" s="87">
        <f t="shared" si="29"/>
        <v>0</v>
      </c>
      <c r="DE47" s="100"/>
      <c r="DF47" s="100"/>
      <c r="DG47" s="100"/>
      <c r="DH47" s="100"/>
      <c r="DI47" s="100"/>
      <c r="DJ47" s="100">
        <f t="shared" si="30"/>
        <v>0</v>
      </c>
      <c r="DK47" s="100"/>
      <c r="DL47" s="100">
        <f t="shared" si="31"/>
        <v>0</v>
      </c>
      <c r="DM47" s="48"/>
      <c r="DN47" s="48"/>
      <c r="DO47" s="48"/>
      <c r="DP47" s="48"/>
      <c r="DQ47" s="48"/>
      <c r="DR47" s="48">
        <f t="shared" si="32"/>
        <v>0</v>
      </c>
      <c r="DS47" s="48"/>
      <c r="DT47" s="48">
        <f t="shared" si="33"/>
        <v>0</v>
      </c>
      <c r="DU47" s="70"/>
      <c r="DV47" s="70"/>
      <c r="DW47" s="70"/>
      <c r="DX47" s="70"/>
      <c r="DY47" s="70"/>
      <c r="DZ47" s="70">
        <f t="shared" si="34"/>
        <v>0</v>
      </c>
      <c r="EA47" s="70"/>
      <c r="EB47" s="70">
        <f t="shared" si="35"/>
        <v>0</v>
      </c>
      <c r="EC47" s="100"/>
      <c r="ED47" s="100"/>
      <c r="EE47" s="100"/>
      <c r="EF47" s="100"/>
      <c r="EG47" s="100"/>
      <c r="EH47" s="100">
        <f t="shared" si="36"/>
        <v>0</v>
      </c>
      <c r="EI47" s="100"/>
      <c r="EJ47" s="100">
        <f t="shared" si="37"/>
        <v>0</v>
      </c>
      <c r="EK47" s="95"/>
      <c r="EL47" s="95"/>
      <c r="EM47" s="95"/>
      <c r="EN47" s="95"/>
      <c r="EO47" s="95"/>
      <c r="EP47" s="95">
        <f t="shared" si="38"/>
        <v>0</v>
      </c>
      <c r="EQ47" s="95"/>
      <c r="ER47" s="95">
        <f t="shared" si="39"/>
        <v>0</v>
      </c>
    </row>
    <row r="48" spans="1:148" ht="18.75">
      <c r="A48" s="212"/>
      <c r="B48" s="157"/>
      <c r="C48" s="48"/>
      <c r="D48" s="48"/>
      <c r="E48" s="48"/>
      <c r="F48" s="48"/>
      <c r="G48" s="48">
        <f t="shared" si="14"/>
        <v>0</v>
      </c>
      <c r="H48" s="48"/>
      <c r="I48" s="48">
        <f t="shared" si="15"/>
        <v>0</v>
      </c>
      <c r="J48" s="52"/>
      <c r="K48" s="55"/>
      <c r="L48" s="55"/>
      <c r="M48" s="55"/>
      <c r="N48" s="55"/>
      <c r="O48" s="52">
        <f t="shared" si="13"/>
        <v>0</v>
      </c>
      <c r="P48" s="55"/>
      <c r="Q48" s="52">
        <f t="shared" si="4"/>
        <v>0</v>
      </c>
      <c r="R48" s="70"/>
      <c r="S48" s="70"/>
      <c r="T48" s="70"/>
      <c r="U48" s="70"/>
      <c r="V48" s="70"/>
      <c r="W48" s="70">
        <f>SUM(S48:V48)</f>
        <v>0</v>
      </c>
      <c r="X48" s="70"/>
      <c r="Y48" s="70">
        <f t="shared" si="5"/>
        <v>0</v>
      </c>
      <c r="Z48" s="70" t="str">
        <f t="shared" si="6"/>
        <v/>
      </c>
      <c r="AA48" s="70" t="str">
        <f t="shared" si="7"/>
        <v/>
      </c>
      <c r="AB48" s="70" t="str">
        <f t="shared" si="8"/>
        <v/>
      </c>
      <c r="AC48" s="44"/>
      <c r="AD48" s="44"/>
      <c r="AE48" s="44"/>
      <c r="AF48" s="44"/>
      <c r="AG48" s="44"/>
      <c r="AH48" s="44">
        <f t="shared" si="9"/>
        <v>0</v>
      </c>
      <c r="AI48" s="44"/>
      <c r="AJ48" s="44">
        <f t="shared" si="10"/>
        <v>0</v>
      </c>
      <c r="AK48" s="3"/>
      <c r="AL48" s="239"/>
      <c r="AM48" s="239"/>
      <c r="AN48" s="239"/>
      <c r="AO48" s="239"/>
      <c r="AP48" s="75">
        <f t="shared" si="11"/>
        <v>0</v>
      </c>
      <c r="AQ48" s="75"/>
      <c r="AR48" s="75">
        <f t="shared" si="12"/>
        <v>0</v>
      </c>
      <c r="AS48" s="79"/>
      <c r="AT48" s="79"/>
      <c r="AU48" s="79"/>
      <c r="AV48" s="79"/>
      <c r="AW48" s="79"/>
      <c r="AX48" s="79">
        <f t="shared" si="18"/>
        <v>0</v>
      </c>
      <c r="AY48" s="79"/>
      <c r="AZ48" s="79">
        <f t="shared" si="19"/>
        <v>0</v>
      </c>
      <c r="BA48" s="83"/>
      <c r="BB48" s="83"/>
      <c r="BC48" s="83"/>
      <c r="BD48" s="83"/>
      <c r="BE48" s="83"/>
      <c r="BF48" s="83">
        <f t="shared" si="41"/>
        <v>0</v>
      </c>
      <c r="BG48" s="83"/>
      <c r="BH48" s="83">
        <f t="shared" si="21"/>
        <v>0</v>
      </c>
      <c r="BI48" s="58"/>
      <c r="BJ48" s="58"/>
      <c r="BK48" s="58"/>
      <c r="BL48" s="58"/>
      <c r="BM48" s="58"/>
      <c r="BN48" s="58">
        <f t="shared" si="22"/>
        <v>0</v>
      </c>
      <c r="BO48" s="58"/>
      <c r="BP48" s="58">
        <f t="shared" si="23"/>
        <v>0</v>
      </c>
      <c r="BQ48" s="62"/>
      <c r="BR48" s="62"/>
      <c r="BS48" s="62"/>
      <c r="BT48" s="62"/>
      <c r="BU48" s="62"/>
      <c r="BV48" s="62">
        <f t="shared" si="24"/>
        <v>0</v>
      </c>
      <c r="BW48" s="62"/>
      <c r="BX48" s="62">
        <f t="shared" si="25"/>
        <v>0</v>
      </c>
      <c r="BY48" s="52"/>
      <c r="BZ48" s="52"/>
      <c r="CA48" s="52"/>
      <c r="CB48" s="52"/>
      <c r="CC48" s="52"/>
      <c r="CD48" s="52">
        <f t="shared" si="16"/>
        <v>0</v>
      </c>
      <c r="CE48" s="52"/>
      <c r="CF48" s="52">
        <f t="shared" si="17"/>
        <v>0</v>
      </c>
      <c r="CG48" s="91"/>
      <c r="CH48" s="91"/>
      <c r="CI48" s="91"/>
      <c r="CJ48" s="91"/>
      <c r="CK48" s="91"/>
      <c r="CL48" s="91">
        <f t="shared" si="42"/>
        <v>0</v>
      </c>
      <c r="CM48" s="91"/>
      <c r="CN48" s="91">
        <f t="shared" si="43"/>
        <v>0</v>
      </c>
      <c r="CO48" s="66"/>
      <c r="CP48" s="66"/>
      <c r="CQ48" s="66"/>
      <c r="CR48" s="66"/>
      <c r="CS48" s="66"/>
      <c r="CT48" s="66">
        <f t="shared" si="26"/>
        <v>0</v>
      </c>
      <c r="CU48" s="66"/>
      <c r="CV48" s="66">
        <f t="shared" si="27"/>
        <v>0</v>
      </c>
      <c r="CW48" s="87"/>
      <c r="CX48" s="87"/>
      <c r="CY48" s="87"/>
      <c r="CZ48" s="87"/>
      <c r="DA48" s="87"/>
      <c r="DB48" s="87">
        <f t="shared" si="28"/>
        <v>0</v>
      </c>
      <c r="DC48" s="87"/>
      <c r="DD48" s="87">
        <f t="shared" si="29"/>
        <v>0</v>
      </c>
      <c r="DE48" s="100"/>
      <c r="DF48" s="100"/>
      <c r="DG48" s="100"/>
      <c r="DH48" s="100"/>
      <c r="DI48" s="100"/>
      <c r="DJ48" s="100">
        <f t="shared" si="30"/>
        <v>0</v>
      </c>
      <c r="DK48" s="100"/>
      <c r="DL48" s="100">
        <f t="shared" si="31"/>
        <v>0</v>
      </c>
      <c r="DM48" s="48"/>
      <c r="DN48" s="48"/>
      <c r="DO48" s="48"/>
      <c r="DP48" s="48"/>
      <c r="DQ48" s="48"/>
      <c r="DR48" s="48">
        <f t="shared" si="32"/>
        <v>0</v>
      </c>
      <c r="DS48" s="48"/>
      <c r="DT48" s="48">
        <f t="shared" si="33"/>
        <v>0</v>
      </c>
      <c r="DU48" s="70"/>
      <c r="DV48" s="70"/>
      <c r="DW48" s="70"/>
      <c r="DX48" s="70"/>
      <c r="DY48" s="70"/>
      <c r="DZ48" s="70">
        <f t="shared" si="34"/>
        <v>0</v>
      </c>
      <c r="EA48" s="70"/>
      <c r="EB48" s="70">
        <f t="shared" si="35"/>
        <v>0</v>
      </c>
      <c r="EC48" s="100"/>
      <c r="ED48" s="100"/>
      <c r="EE48" s="100"/>
      <c r="EF48" s="100"/>
      <c r="EG48" s="100"/>
      <c r="EH48" s="100">
        <f t="shared" si="36"/>
        <v>0</v>
      </c>
      <c r="EI48" s="100"/>
      <c r="EJ48" s="100">
        <f t="shared" si="37"/>
        <v>0</v>
      </c>
      <c r="EK48" s="95"/>
      <c r="EL48" s="95"/>
      <c r="EM48" s="95"/>
      <c r="EN48" s="95"/>
      <c r="EO48" s="95"/>
      <c r="EP48" s="95">
        <f t="shared" si="38"/>
        <v>0</v>
      </c>
      <c r="EQ48" s="95"/>
      <c r="ER48" s="95">
        <f t="shared" si="39"/>
        <v>0</v>
      </c>
    </row>
    <row r="49" spans="1:148" ht="18.75">
      <c r="A49" s="211"/>
      <c r="B49" s="156"/>
      <c r="C49" s="48"/>
      <c r="D49" s="48"/>
      <c r="E49" s="48"/>
      <c r="F49" s="48"/>
      <c r="G49" s="48">
        <f t="shared" si="14"/>
        <v>0</v>
      </c>
      <c r="H49" s="48"/>
      <c r="I49" s="48">
        <f t="shared" si="15"/>
        <v>0</v>
      </c>
      <c r="J49" s="52"/>
      <c r="K49" s="55"/>
      <c r="L49" s="55"/>
      <c r="M49" s="55"/>
      <c r="N49" s="55"/>
      <c r="O49" s="52">
        <f t="shared" si="13"/>
        <v>0</v>
      </c>
      <c r="P49" s="55"/>
      <c r="Q49" s="52">
        <f t="shared" si="4"/>
        <v>0</v>
      </c>
      <c r="R49" s="70"/>
      <c r="S49" s="70"/>
      <c r="T49" s="70"/>
      <c r="U49" s="70"/>
      <c r="V49" s="70"/>
      <c r="W49" s="70">
        <f t="shared" si="40"/>
        <v>0</v>
      </c>
      <c r="X49" s="70"/>
      <c r="Y49" s="70">
        <f t="shared" si="5"/>
        <v>0</v>
      </c>
      <c r="Z49" s="70" t="str">
        <f t="shared" si="6"/>
        <v/>
      </c>
      <c r="AA49" s="70" t="str">
        <f t="shared" si="7"/>
        <v/>
      </c>
      <c r="AB49" s="70" t="str">
        <f t="shared" si="8"/>
        <v/>
      </c>
      <c r="AC49" s="44"/>
      <c r="AD49" s="44"/>
      <c r="AE49" s="44"/>
      <c r="AF49" s="44"/>
      <c r="AG49" s="44"/>
      <c r="AH49" s="44">
        <f t="shared" si="9"/>
        <v>0</v>
      </c>
      <c r="AI49" s="44"/>
      <c r="AJ49" s="44">
        <f t="shared" si="10"/>
        <v>0</v>
      </c>
      <c r="AK49" s="3"/>
      <c r="AL49" s="239"/>
      <c r="AM49" s="239"/>
      <c r="AN49" s="239"/>
      <c r="AO49" s="239"/>
      <c r="AP49" s="75">
        <f t="shared" si="11"/>
        <v>0</v>
      </c>
      <c r="AQ49" s="75"/>
      <c r="AR49" s="75">
        <f t="shared" si="12"/>
        <v>0</v>
      </c>
      <c r="AS49" s="78"/>
      <c r="AT49" s="79"/>
      <c r="AU49" s="79"/>
      <c r="AV49" s="79"/>
      <c r="AW49" s="79"/>
      <c r="AX49" s="79">
        <f t="shared" si="18"/>
        <v>0</v>
      </c>
      <c r="AY49" s="79"/>
      <c r="AZ49" s="79">
        <f t="shared" si="19"/>
        <v>0</v>
      </c>
      <c r="BA49" s="82"/>
      <c r="BB49" s="83"/>
      <c r="BC49" s="83"/>
      <c r="BD49" s="83"/>
      <c r="BE49" s="83"/>
      <c r="BF49" s="83">
        <f t="shared" si="41"/>
        <v>0</v>
      </c>
      <c r="BG49" s="83"/>
      <c r="BH49" s="83">
        <f t="shared" si="21"/>
        <v>0</v>
      </c>
      <c r="BI49" s="57"/>
      <c r="BJ49" s="58"/>
      <c r="BK49" s="58"/>
      <c r="BL49" s="58"/>
      <c r="BM49" s="58"/>
      <c r="BN49" s="58">
        <f t="shared" si="22"/>
        <v>0</v>
      </c>
      <c r="BO49" s="58"/>
      <c r="BP49" s="58">
        <f t="shared" si="23"/>
        <v>0</v>
      </c>
      <c r="BQ49" s="61"/>
      <c r="BR49" s="62"/>
      <c r="BS49" s="62"/>
      <c r="BT49" s="62"/>
      <c r="BU49" s="62"/>
      <c r="BV49" s="62">
        <f t="shared" si="24"/>
        <v>0</v>
      </c>
      <c r="BW49" s="62"/>
      <c r="BX49" s="62">
        <f t="shared" si="25"/>
        <v>0</v>
      </c>
      <c r="BY49" s="51"/>
      <c r="BZ49" s="52"/>
      <c r="CA49" s="52"/>
      <c r="CB49" s="52"/>
      <c r="CC49" s="52"/>
      <c r="CD49" s="52">
        <f t="shared" si="16"/>
        <v>0</v>
      </c>
      <c r="CE49" s="52"/>
      <c r="CF49" s="52">
        <f t="shared" si="17"/>
        <v>0</v>
      </c>
      <c r="CG49" s="90"/>
      <c r="CH49" s="91"/>
      <c r="CI49" s="91"/>
      <c r="CJ49" s="91"/>
      <c r="CK49" s="91"/>
      <c r="CL49" s="91">
        <f t="shared" si="42"/>
        <v>0</v>
      </c>
      <c r="CM49" s="91"/>
      <c r="CN49" s="91">
        <f t="shared" si="43"/>
        <v>0</v>
      </c>
      <c r="CO49" s="65"/>
      <c r="CP49" s="66"/>
      <c r="CQ49" s="66"/>
      <c r="CR49" s="66"/>
      <c r="CS49" s="66"/>
      <c r="CT49" s="66">
        <f t="shared" si="26"/>
        <v>0</v>
      </c>
      <c r="CU49" s="66"/>
      <c r="CV49" s="66">
        <f t="shared" si="27"/>
        <v>0</v>
      </c>
      <c r="CW49" s="86"/>
      <c r="CX49" s="87"/>
      <c r="CY49" s="87"/>
      <c r="CZ49" s="87"/>
      <c r="DA49" s="87"/>
      <c r="DB49" s="87">
        <f t="shared" si="28"/>
        <v>0</v>
      </c>
      <c r="DC49" s="87"/>
      <c r="DD49" s="87">
        <f t="shared" si="29"/>
        <v>0</v>
      </c>
      <c r="DE49" s="99"/>
      <c r="DF49" s="100"/>
      <c r="DG49" s="100"/>
      <c r="DH49" s="100"/>
      <c r="DI49" s="100"/>
      <c r="DJ49" s="100">
        <f t="shared" si="30"/>
        <v>0</v>
      </c>
      <c r="DK49" s="100"/>
      <c r="DL49" s="100">
        <f t="shared" si="31"/>
        <v>0</v>
      </c>
      <c r="DM49" s="47"/>
      <c r="DN49" s="48"/>
      <c r="DO49" s="48"/>
      <c r="DP49" s="48"/>
      <c r="DQ49" s="48"/>
      <c r="DR49" s="48">
        <f t="shared" si="32"/>
        <v>0</v>
      </c>
      <c r="DS49" s="48"/>
      <c r="DT49" s="48">
        <f t="shared" si="33"/>
        <v>0</v>
      </c>
      <c r="DU49" s="69"/>
      <c r="DV49" s="70"/>
      <c r="DW49" s="70"/>
      <c r="DX49" s="70"/>
      <c r="DY49" s="70"/>
      <c r="DZ49" s="70">
        <f t="shared" si="34"/>
        <v>0</v>
      </c>
      <c r="EA49" s="70"/>
      <c r="EB49" s="70">
        <f t="shared" si="35"/>
        <v>0</v>
      </c>
      <c r="EC49" s="99"/>
      <c r="ED49" s="100"/>
      <c r="EE49" s="100"/>
      <c r="EF49" s="100"/>
      <c r="EG49" s="100"/>
      <c r="EH49" s="100">
        <f t="shared" si="36"/>
        <v>0</v>
      </c>
      <c r="EI49" s="100"/>
      <c r="EJ49" s="100">
        <f t="shared" si="37"/>
        <v>0</v>
      </c>
      <c r="EK49" s="94"/>
      <c r="EL49" s="95"/>
      <c r="EM49" s="95"/>
      <c r="EN49" s="95"/>
      <c r="EO49" s="95"/>
      <c r="EP49" s="95">
        <f t="shared" si="38"/>
        <v>0</v>
      </c>
      <c r="EQ49" s="95"/>
      <c r="ER49" s="95">
        <f t="shared" si="39"/>
        <v>0</v>
      </c>
    </row>
    <row r="50" spans="1:148" ht="18.75">
      <c r="A50" s="212"/>
      <c r="B50" s="157"/>
      <c r="C50" s="48"/>
      <c r="D50" s="48"/>
      <c r="E50" s="48"/>
      <c r="F50" s="48"/>
      <c r="G50" s="48">
        <f t="shared" si="14"/>
        <v>0</v>
      </c>
      <c r="H50" s="48"/>
      <c r="I50" s="48">
        <f t="shared" si="15"/>
        <v>0</v>
      </c>
      <c r="J50" s="52"/>
      <c r="K50" s="55"/>
      <c r="L50" s="55"/>
      <c r="M50" s="55"/>
      <c r="N50" s="55"/>
      <c r="O50" s="52">
        <f t="shared" si="13"/>
        <v>0</v>
      </c>
      <c r="P50" s="55"/>
      <c r="Q50" s="52">
        <f t="shared" si="4"/>
        <v>0</v>
      </c>
      <c r="R50" s="70"/>
      <c r="S50" s="70"/>
      <c r="T50" s="70"/>
      <c r="U50" s="70"/>
      <c r="V50" s="70"/>
      <c r="W50" s="70">
        <f t="shared" si="40"/>
        <v>0</v>
      </c>
      <c r="X50" s="70"/>
      <c r="Y50" s="70">
        <f t="shared" si="5"/>
        <v>0</v>
      </c>
      <c r="Z50" s="70" t="str">
        <f t="shared" si="6"/>
        <v/>
      </c>
      <c r="AA50" s="70" t="str">
        <f t="shared" si="7"/>
        <v/>
      </c>
      <c r="AB50" s="70" t="str">
        <f t="shared" si="8"/>
        <v/>
      </c>
      <c r="AC50" s="44"/>
      <c r="AD50" s="44"/>
      <c r="AE50" s="44"/>
      <c r="AF50" s="44"/>
      <c r="AG50" s="44"/>
      <c r="AH50" s="44">
        <f t="shared" si="9"/>
        <v>0</v>
      </c>
      <c r="AI50" s="44"/>
      <c r="AJ50" s="44">
        <f t="shared" si="10"/>
        <v>0</v>
      </c>
      <c r="AK50" s="3"/>
      <c r="AL50" s="75"/>
      <c r="AM50" s="75"/>
      <c r="AN50" s="75"/>
      <c r="AO50" s="75"/>
      <c r="AP50" s="75">
        <f t="shared" si="11"/>
        <v>0</v>
      </c>
      <c r="AQ50" s="75"/>
      <c r="AR50" s="75">
        <f t="shared" si="12"/>
        <v>0</v>
      </c>
      <c r="AS50" s="79"/>
      <c r="AT50" s="79"/>
      <c r="AU50" s="79"/>
      <c r="AV50" s="79"/>
      <c r="AW50" s="79"/>
      <c r="AX50" s="79">
        <f t="shared" si="18"/>
        <v>0</v>
      </c>
      <c r="AY50" s="79"/>
      <c r="AZ50" s="79">
        <f t="shared" si="19"/>
        <v>0</v>
      </c>
      <c r="BA50" s="83"/>
      <c r="BB50" s="83"/>
      <c r="BC50" s="83"/>
      <c r="BD50" s="83"/>
      <c r="BE50" s="83"/>
      <c r="BF50" s="83">
        <f t="shared" si="41"/>
        <v>0</v>
      </c>
      <c r="BG50" s="83"/>
      <c r="BH50" s="83">
        <f t="shared" si="21"/>
        <v>0</v>
      </c>
      <c r="BI50" s="58"/>
      <c r="BJ50" s="58"/>
      <c r="BK50" s="58"/>
      <c r="BL50" s="58"/>
      <c r="BM50" s="58"/>
      <c r="BN50" s="58">
        <f t="shared" si="22"/>
        <v>0</v>
      </c>
      <c r="BO50" s="58"/>
      <c r="BP50" s="58">
        <f t="shared" si="23"/>
        <v>0</v>
      </c>
      <c r="BQ50" s="62"/>
      <c r="BR50" s="62"/>
      <c r="BS50" s="62"/>
      <c r="BT50" s="62"/>
      <c r="BU50" s="62"/>
      <c r="BV50" s="62">
        <f t="shared" si="24"/>
        <v>0</v>
      </c>
      <c r="BW50" s="62"/>
      <c r="BX50" s="62">
        <f t="shared" si="25"/>
        <v>0</v>
      </c>
      <c r="BY50" s="52"/>
      <c r="BZ50" s="52"/>
      <c r="CA50" s="52"/>
      <c r="CB50" s="52"/>
      <c r="CC50" s="52"/>
      <c r="CD50" s="52">
        <f t="shared" si="16"/>
        <v>0</v>
      </c>
      <c r="CE50" s="52"/>
      <c r="CF50" s="52">
        <f t="shared" si="17"/>
        <v>0</v>
      </c>
      <c r="CG50" s="91"/>
      <c r="CH50" s="91"/>
      <c r="CI50" s="91"/>
      <c r="CJ50" s="91"/>
      <c r="CK50" s="91"/>
      <c r="CL50" s="91">
        <f t="shared" si="42"/>
        <v>0</v>
      </c>
      <c r="CM50" s="91"/>
      <c r="CN50" s="91">
        <f t="shared" si="43"/>
        <v>0</v>
      </c>
      <c r="CO50" s="66"/>
      <c r="CP50" s="66"/>
      <c r="CQ50" s="66"/>
      <c r="CR50" s="66"/>
      <c r="CS50" s="66"/>
      <c r="CT50" s="66">
        <f t="shared" si="26"/>
        <v>0</v>
      </c>
      <c r="CU50" s="66"/>
      <c r="CV50" s="66">
        <f t="shared" si="27"/>
        <v>0</v>
      </c>
      <c r="CW50" s="87"/>
      <c r="CX50" s="87"/>
      <c r="CY50" s="87"/>
      <c r="CZ50" s="87"/>
      <c r="DA50" s="87"/>
      <c r="DB50" s="87">
        <f t="shared" si="28"/>
        <v>0</v>
      </c>
      <c r="DC50" s="87"/>
      <c r="DD50" s="87">
        <f t="shared" si="29"/>
        <v>0</v>
      </c>
      <c r="DE50" s="100"/>
      <c r="DF50" s="100"/>
      <c r="DG50" s="100"/>
      <c r="DH50" s="100"/>
      <c r="DI50" s="100"/>
      <c r="DJ50" s="100">
        <f t="shared" si="30"/>
        <v>0</v>
      </c>
      <c r="DK50" s="100"/>
      <c r="DL50" s="100">
        <f t="shared" si="31"/>
        <v>0</v>
      </c>
      <c r="DM50" s="48"/>
      <c r="DN50" s="48"/>
      <c r="DO50" s="48"/>
      <c r="DP50" s="48"/>
      <c r="DQ50" s="48"/>
      <c r="DR50" s="48">
        <f t="shared" si="32"/>
        <v>0</v>
      </c>
      <c r="DS50" s="48"/>
      <c r="DT50" s="48">
        <f t="shared" si="33"/>
        <v>0</v>
      </c>
      <c r="DU50" s="70"/>
      <c r="DV50" s="70"/>
      <c r="DW50" s="70"/>
      <c r="DX50" s="70"/>
      <c r="DY50" s="70"/>
      <c r="DZ50" s="70">
        <f t="shared" si="34"/>
        <v>0</v>
      </c>
      <c r="EA50" s="70"/>
      <c r="EB50" s="70">
        <f t="shared" si="35"/>
        <v>0</v>
      </c>
      <c r="EC50" s="100"/>
      <c r="ED50" s="100"/>
      <c r="EE50" s="100"/>
      <c r="EF50" s="100"/>
      <c r="EG50" s="100"/>
      <c r="EH50" s="100">
        <f t="shared" si="36"/>
        <v>0</v>
      </c>
      <c r="EI50" s="100"/>
      <c r="EJ50" s="100">
        <f t="shared" si="37"/>
        <v>0</v>
      </c>
      <c r="EK50" s="95"/>
      <c r="EL50" s="95"/>
      <c r="EM50" s="95"/>
      <c r="EN50" s="95"/>
      <c r="EO50" s="95"/>
      <c r="EP50" s="95">
        <f t="shared" si="38"/>
        <v>0</v>
      </c>
      <c r="EQ50" s="95"/>
      <c r="ER50" s="95">
        <f t="shared" si="39"/>
        <v>0</v>
      </c>
    </row>
    <row r="51" spans="1:148" ht="18.75">
      <c r="A51" s="211"/>
      <c r="B51" s="157"/>
      <c r="C51" s="48"/>
      <c r="D51" s="48"/>
      <c r="E51" s="48"/>
      <c r="F51" s="48"/>
      <c r="G51" s="48">
        <f t="shared" si="14"/>
        <v>0</v>
      </c>
      <c r="H51" s="48"/>
      <c r="I51" s="48">
        <f t="shared" si="15"/>
        <v>0</v>
      </c>
      <c r="J51" s="52"/>
      <c r="K51" s="55"/>
      <c r="L51" s="55"/>
      <c r="M51" s="55"/>
      <c r="N51" s="55"/>
      <c r="O51" s="52">
        <f t="shared" si="13"/>
        <v>0</v>
      </c>
      <c r="P51" s="55"/>
      <c r="Q51" s="52">
        <f t="shared" si="4"/>
        <v>0</v>
      </c>
      <c r="R51" s="70"/>
      <c r="S51" s="70"/>
      <c r="T51" s="70"/>
      <c r="U51" s="70"/>
      <c r="V51" s="70"/>
      <c r="W51" s="70">
        <f t="shared" si="40"/>
        <v>0</v>
      </c>
      <c r="X51" s="70"/>
      <c r="Y51" s="70">
        <f t="shared" si="5"/>
        <v>0</v>
      </c>
      <c r="Z51" s="70" t="str">
        <f t="shared" si="6"/>
        <v/>
      </c>
      <c r="AA51" s="70" t="str">
        <f t="shared" si="7"/>
        <v/>
      </c>
      <c r="AB51" s="70" t="str">
        <f t="shared" si="8"/>
        <v/>
      </c>
      <c r="AC51" s="44"/>
      <c r="AD51" s="44"/>
      <c r="AE51" s="44"/>
      <c r="AF51" s="44"/>
      <c r="AG51" s="44"/>
      <c r="AH51" s="44">
        <f t="shared" si="9"/>
        <v>0</v>
      </c>
      <c r="AI51" s="44"/>
      <c r="AJ51" s="44">
        <f t="shared" si="10"/>
        <v>0</v>
      </c>
      <c r="AK51" s="3"/>
      <c r="AL51" s="75"/>
      <c r="AM51" s="75"/>
      <c r="AN51" s="75"/>
      <c r="AO51" s="75"/>
      <c r="AP51" s="75">
        <f t="shared" si="11"/>
        <v>0</v>
      </c>
      <c r="AQ51" s="75"/>
      <c r="AR51" s="75">
        <f t="shared" si="12"/>
        <v>0</v>
      </c>
      <c r="AS51" s="79"/>
      <c r="AT51" s="79"/>
      <c r="AU51" s="79"/>
      <c r="AV51" s="79"/>
      <c r="AW51" s="79"/>
      <c r="AX51" s="79">
        <f t="shared" si="18"/>
        <v>0</v>
      </c>
      <c r="AY51" s="79"/>
      <c r="AZ51" s="79">
        <f t="shared" si="19"/>
        <v>0</v>
      </c>
      <c r="BA51" s="83"/>
      <c r="BB51" s="83"/>
      <c r="BC51" s="83"/>
      <c r="BD51" s="83"/>
      <c r="BE51" s="83"/>
      <c r="BF51" s="83">
        <f t="shared" si="41"/>
        <v>0</v>
      </c>
      <c r="BG51" s="83"/>
      <c r="BH51" s="83">
        <f t="shared" si="21"/>
        <v>0</v>
      </c>
      <c r="BI51" s="58"/>
      <c r="BJ51" s="58"/>
      <c r="BK51" s="58"/>
      <c r="BL51" s="58"/>
      <c r="BM51" s="58"/>
      <c r="BN51" s="58">
        <f t="shared" si="22"/>
        <v>0</v>
      </c>
      <c r="BO51" s="58"/>
      <c r="BP51" s="58">
        <f t="shared" si="23"/>
        <v>0</v>
      </c>
      <c r="BQ51" s="62"/>
      <c r="BR51" s="62"/>
      <c r="BS51" s="62"/>
      <c r="BT51" s="62"/>
      <c r="BU51" s="62"/>
      <c r="BV51" s="62">
        <f t="shared" si="24"/>
        <v>0</v>
      </c>
      <c r="BW51" s="62"/>
      <c r="BX51" s="62">
        <f t="shared" si="25"/>
        <v>0</v>
      </c>
      <c r="BY51" s="52"/>
      <c r="BZ51" s="52"/>
      <c r="CA51" s="52"/>
      <c r="CB51" s="52"/>
      <c r="CC51" s="52"/>
      <c r="CD51" s="52">
        <f t="shared" si="16"/>
        <v>0</v>
      </c>
      <c r="CE51" s="52"/>
      <c r="CF51" s="52">
        <f t="shared" si="17"/>
        <v>0</v>
      </c>
      <c r="CG51" s="91"/>
      <c r="CH51" s="91"/>
      <c r="CI51" s="91"/>
      <c r="CJ51" s="91"/>
      <c r="CK51" s="91"/>
      <c r="CL51" s="91">
        <f t="shared" si="42"/>
        <v>0</v>
      </c>
      <c r="CM51" s="91"/>
      <c r="CN51" s="91">
        <f t="shared" si="43"/>
        <v>0</v>
      </c>
      <c r="CO51" s="66"/>
      <c r="CP51" s="66"/>
      <c r="CQ51" s="66"/>
      <c r="CR51" s="66"/>
      <c r="CS51" s="66"/>
      <c r="CT51" s="66">
        <f t="shared" si="26"/>
        <v>0</v>
      </c>
      <c r="CU51" s="66"/>
      <c r="CV51" s="66">
        <f t="shared" si="27"/>
        <v>0</v>
      </c>
      <c r="CW51" s="87"/>
      <c r="CX51" s="87"/>
      <c r="CY51" s="87"/>
      <c r="CZ51" s="87"/>
      <c r="DA51" s="87"/>
      <c r="DB51" s="87">
        <f t="shared" si="28"/>
        <v>0</v>
      </c>
      <c r="DC51" s="87"/>
      <c r="DD51" s="87">
        <f t="shared" si="29"/>
        <v>0</v>
      </c>
      <c r="DE51" s="100"/>
      <c r="DF51" s="100"/>
      <c r="DG51" s="100"/>
      <c r="DH51" s="100"/>
      <c r="DI51" s="100"/>
      <c r="DJ51" s="100">
        <f t="shared" si="30"/>
        <v>0</v>
      </c>
      <c r="DK51" s="100"/>
      <c r="DL51" s="100">
        <f t="shared" si="31"/>
        <v>0</v>
      </c>
      <c r="DM51" s="48"/>
      <c r="DN51" s="48"/>
      <c r="DO51" s="48"/>
      <c r="DP51" s="48"/>
      <c r="DQ51" s="48"/>
      <c r="DR51" s="48">
        <f t="shared" si="32"/>
        <v>0</v>
      </c>
      <c r="DS51" s="48"/>
      <c r="DT51" s="48">
        <f t="shared" si="33"/>
        <v>0</v>
      </c>
      <c r="DU51" s="70"/>
      <c r="DV51" s="70"/>
      <c r="DW51" s="70"/>
      <c r="DX51" s="70"/>
      <c r="DY51" s="70"/>
      <c r="DZ51" s="70">
        <f t="shared" si="34"/>
        <v>0</v>
      </c>
      <c r="EA51" s="70"/>
      <c r="EB51" s="70">
        <f t="shared" si="35"/>
        <v>0</v>
      </c>
      <c r="EC51" s="100"/>
      <c r="ED51" s="100"/>
      <c r="EE51" s="100"/>
      <c r="EF51" s="100"/>
      <c r="EG51" s="100"/>
      <c r="EH51" s="100">
        <f t="shared" si="36"/>
        <v>0</v>
      </c>
      <c r="EI51" s="100"/>
      <c r="EJ51" s="100">
        <f t="shared" si="37"/>
        <v>0</v>
      </c>
      <c r="EK51" s="95"/>
      <c r="EL51" s="95"/>
      <c r="EM51" s="95"/>
      <c r="EN51" s="95"/>
      <c r="EO51" s="95"/>
      <c r="EP51" s="95">
        <f t="shared" si="38"/>
        <v>0</v>
      </c>
      <c r="EQ51" s="95"/>
      <c r="ER51" s="95">
        <f t="shared" si="39"/>
        <v>0</v>
      </c>
    </row>
    <row r="52" spans="1:148" ht="18.75">
      <c r="A52" s="212"/>
      <c r="B52" s="157"/>
      <c r="C52" s="48"/>
      <c r="D52" s="48"/>
      <c r="E52" s="48"/>
      <c r="F52" s="48"/>
      <c r="G52" s="48">
        <f t="shared" si="14"/>
        <v>0</v>
      </c>
      <c r="H52" s="48"/>
      <c r="I52" s="48">
        <f t="shared" si="15"/>
        <v>0</v>
      </c>
      <c r="J52" s="52"/>
      <c r="K52" s="55"/>
      <c r="L52" s="55"/>
      <c r="M52" s="55"/>
      <c r="N52" s="55"/>
      <c r="O52" s="52">
        <f t="shared" si="13"/>
        <v>0</v>
      </c>
      <c r="P52" s="55"/>
      <c r="Q52" s="52">
        <f t="shared" si="4"/>
        <v>0</v>
      </c>
      <c r="R52" s="70"/>
      <c r="S52" s="70"/>
      <c r="T52" s="70"/>
      <c r="U52" s="70"/>
      <c r="V52" s="70"/>
      <c r="W52" s="70">
        <f t="shared" si="40"/>
        <v>0</v>
      </c>
      <c r="X52" s="70"/>
      <c r="Y52" s="70">
        <f t="shared" si="5"/>
        <v>0</v>
      </c>
      <c r="Z52" s="70" t="str">
        <f t="shared" si="6"/>
        <v/>
      </c>
      <c r="AA52" s="70" t="str">
        <f t="shared" si="7"/>
        <v/>
      </c>
      <c r="AB52" s="70" t="str">
        <f t="shared" si="8"/>
        <v/>
      </c>
      <c r="AC52" s="44"/>
      <c r="AD52" s="44"/>
      <c r="AE52" s="44"/>
      <c r="AF52" s="44"/>
      <c r="AG52" s="44"/>
      <c r="AH52" s="44">
        <f t="shared" si="9"/>
        <v>0</v>
      </c>
      <c r="AI52" s="44"/>
      <c r="AJ52" s="44">
        <f t="shared" si="10"/>
        <v>0</v>
      </c>
      <c r="AK52" s="3"/>
      <c r="AL52" s="75"/>
      <c r="AM52" s="75"/>
      <c r="AN52" s="75"/>
      <c r="AO52" s="75"/>
      <c r="AP52" s="75">
        <f t="shared" si="11"/>
        <v>0</v>
      </c>
      <c r="AQ52" s="75"/>
      <c r="AR52" s="75">
        <f t="shared" si="12"/>
        <v>0</v>
      </c>
      <c r="AS52" s="79"/>
      <c r="AT52" s="79"/>
      <c r="AU52" s="79"/>
      <c r="AV52" s="79"/>
      <c r="AW52" s="79"/>
      <c r="AX52" s="79">
        <f t="shared" si="18"/>
        <v>0</v>
      </c>
      <c r="AY52" s="79"/>
      <c r="AZ52" s="79">
        <f t="shared" si="19"/>
        <v>0</v>
      </c>
      <c r="BA52" s="83"/>
      <c r="BB52" s="83"/>
      <c r="BC52" s="83"/>
      <c r="BD52" s="83"/>
      <c r="BE52" s="83"/>
      <c r="BF52" s="83">
        <f t="shared" si="41"/>
        <v>0</v>
      </c>
      <c r="BG52" s="83"/>
      <c r="BH52" s="83">
        <f t="shared" si="21"/>
        <v>0</v>
      </c>
      <c r="BI52" s="58"/>
      <c r="BJ52" s="58"/>
      <c r="BK52" s="58"/>
      <c r="BL52" s="58"/>
      <c r="BM52" s="58"/>
      <c r="BN52" s="58">
        <f t="shared" si="22"/>
        <v>0</v>
      </c>
      <c r="BO52" s="58"/>
      <c r="BP52" s="58">
        <f t="shared" si="23"/>
        <v>0</v>
      </c>
      <c r="BQ52" s="62"/>
      <c r="BR52" s="62"/>
      <c r="BS52" s="62"/>
      <c r="BT52" s="62"/>
      <c r="BU52" s="62"/>
      <c r="BV52" s="62">
        <f t="shared" si="24"/>
        <v>0</v>
      </c>
      <c r="BW52" s="62"/>
      <c r="BX52" s="62">
        <f t="shared" si="25"/>
        <v>0</v>
      </c>
      <c r="BY52" s="52"/>
      <c r="BZ52" s="52"/>
      <c r="CA52" s="52"/>
      <c r="CB52" s="52"/>
      <c r="CC52" s="52"/>
      <c r="CD52" s="52">
        <f t="shared" si="16"/>
        <v>0</v>
      </c>
      <c r="CE52" s="52"/>
      <c r="CF52" s="52">
        <f t="shared" si="17"/>
        <v>0</v>
      </c>
      <c r="CG52" s="91"/>
      <c r="CH52" s="91"/>
      <c r="CI52" s="91"/>
      <c r="CJ52" s="91"/>
      <c r="CK52" s="91"/>
      <c r="CL52" s="91">
        <f t="shared" si="42"/>
        <v>0</v>
      </c>
      <c r="CM52" s="91"/>
      <c r="CN52" s="91">
        <f t="shared" si="43"/>
        <v>0</v>
      </c>
      <c r="CO52" s="66"/>
      <c r="CP52" s="66"/>
      <c r="CQ52" s="66"/>
      <c r="CR52" s="66"/>
      <c r="CS52" s="66"/>
      <c r="CT52" s="66">
        <f t="shared" si="26"/>
        <v>0</v>
      </c>
      <c r="CU52" s="66"/>
      <c r="CV52" s="66">
        <f t="shared" si="27"/>
        <v>0</v>
      </c>
      <c r="CW52" s="87"/>
      <c r="CX52" s="87"/>
      <c r="CY52" s="87"/>
      <c r="CZ52" s="87"/>
      <c r="DA52" s="87"/>
      <c r="DB52" s="87">
        <f t="shared" si="28"/>
        <v>0</v>
      </c>
      <c r="DC52" s="87"/>
      <c r="DD52" s="87">
        <f t="shared" si="29"/>
        <v>0</v>
      </c>
      <c r="DE52" s="100"/>
      <c r="DF52" s="100"/>
      <c r="DG52" s="100"/>
      <c r="DH52" s="100"/>
      <c r="DI52" s="100"/>
      <c r="DJ52" s="100">
        <f t="shared" si="30"/>
        <v>0</v>
      </c>
      <c r="DK52" s="100"/>
      <c r="DL52" s="100">
        <f t="shared" si="31"/>
        <v>0</v>
      </c>
      <c r="DM52" s="48"/>
      <c r="DN52" s="48"/>
      <c r="DO52" s="48"/>
      <c r="DP52" s="48"/>
      <c r="DQ52" s="48"/>
      <c r="DR52" s="48">
        <f t="shared" si="32"/>
        <v>0</v>
      </c>
      <c r="DS52" s="48"/>
      <c r="DT52" s="48">
        <f t="shared" si="33"/>
        <v>0</v>
      </c>
      <c r="DU52" s="70"/>
      <c r="DV52" s="70"/>
      <c r="DW52" s="70"/>
      <c r="DX52" s="70"/>
      <c r="DY52" s="70"/>
      <c r="DZ52" s="70">
        <f t="shared" si="34"/>
        <v>0</v>
      </c>
      <c r="EA52" s="70"/>
      <c r="EB52" s="70">
        <f t="shared" si="35"/>
        <v>0</v>
      </c>
      <c r="EC52" s="100"/>
      <c r="ED52" s="100"/>
      <c r="EE52" s="100"/>
      <c r="EF52" s="100"/>
      <c r="EG52" s="100"/>
      <c r="EH52" s="100">
        <f t="shared" si="36"/>
        <v>0</v>
      </c>
      <c r="EI52" s="100"/>
      <c r="EJ52" s="100">
        <f t="shared" si="37"/>
        <v>0</v>
      </c>
      <c r="EK52" s="95"/>
      <c r="EL52" s="95"/>
      <c r="EM52" s="95"/>
      <c r="EN52" s="95"/>
      <c r="EO52" s="95"/>
      <c r="EP52" s="95">
        <f t="shared" si="38"/>
        <v>0</v>
      </c>
      <c r="EQ52" s="95"/>
      <c r="ER52" s="95">
        <f t="shared" si="39"/>
        <v>0</v>
      </c>
    </row>
    <row r="53" spans="1:148">
      <c r="S53" s="74"/>
      <c r="T53" s="74"/>
      <c r="U53" s="74"/>
      <c r="V53" s="74"/>
      <c r="X53" s="74"/>
    </row>
    <row r="54" spans="1:148">
      <c r="S54" s="74"/>
      <c r="T54" s="74"/>
      <c r="U54" s="74"/>
      <c r="V54" s="74"/>
      <c r="X54" s="74"/>
    </row>
    <row r="55" spans="1:148">
      <c r="S55" s="74"/>
      <c r="T55" s="74"/>
      <c r="U55" s="74"/>
      <c r="V55" s="74"/>
      <c r="X55" s="74"/>
    </row>
    <row r="56" spans="1:148">
      <c r="S56" s="74"/>
      <c r="T56" s="74"/>
      <c r="U56" s="74"/>
      <c r="V56" s="74"/>
      <c r="X56" s="74"/>
    </row>
    <row r="57" spans="1:148">
      <c r="S57" s="74"/>
      <c r="T57" s="74"/>
      <c r="U57" s="74"/>
      <c r="V57" s="74"/>
      <c r="X57" s="74"/>
    </row>
    <row r="58" spans="1:148">
      <c r="S58" s="74"/>
      <c r="T58" s="74"/>
      <c r="U58" s="74"/>
      <c r="V58" s="74"/>
      <c r="X58" s="74"/>
    </row>
    <row r="59" spans="1:148">
      <c r="S59" s="74"/>
      <c r="T59" s="74"/>
      <c r="U59" s="74"/>
      <c r="V59" s="74"/>
      <c r="X59" s="74"/>
    </row>
    <row r="60" spans="1:148">
      <c r="S60" s="74"/>
      <c r="T60" s="74"/>
      <c r="U60" s="74"/>
      <c r="V60" s="74"/>
      <c r="X60" s="74"/>
    </row>
    <row r="61" spans="1:148">
      <c r="S61" s="74"/>
      <c r="T61" s="74"/>
      <c r="U61" s="74"/>
      <c r="V61" s="74"/>
      <c r="X61" s="7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9"/>
  <sheetViews>
    <sheetView showZeros="0" view="pageBreakPreview" topLeftCell="A10" zoomScale="85" zoomScaleNormal="80" zoomScaleSheetLayoutView="85" workbookViewId="0">
      <selection activeCell="B25" sqref="B25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s="160" customFormat="1" ht="18" customHeight="1">
      <c r="A9" s="7"/>
      <c r="B9" s="17"/>
      <c r="C9" s="17"/>
      <c r="D9" s="17"/>
      <c r="E9" s="17"/>
      <c r="F9" s="17"/>
      <c r="G9" s="17"/>
      <c r="H9" s="20"/>
      <c r="I9" s="17"/>
      <c r="J9" s="17"/>
      <c r="K9" s="17"/>
      <c r="L9" s="17"/>
      <c r="M9" s="17"/>
      <c r="N9" s="15"/>
    </row>
    <row r="10" spans="1:14" ht="18" customHeight="1">
      <c r="A10" s="35" t="s">
        <v>223</v>
      </c>
      <c r="B10" s="337" t="e">
        <f>VLOOKUP(B15,Data!A1:K51,2,0)</f>
        <v>#N/A</v>
      </c>
      <c r="C10" s="337"/>
      <c r="D10" s="337"/>
      <c r="E10" s="337"/>
      <c r="F10" s="337"/>
      <c r="G10" s="337"/>
      <c r="H10" s="17"/>
      <c r="I10" s="17"/>
      <c r="J10" s="17"/>
      <c r="K10" s="17"/>
      <c r="L10" s="17"/>
      <c r="M10" s="17"/>
      <c r="N10" s="15"/>
    </row>
    <row r="11" spans="1:14" ht="18" customHeight="1">
      <c r="A11" s="35" t="s">
        <v>38</v>
      </c>
      <c r="H11" s="30"/>
      <c r="I11" s="30"/>
      <c r="J11" s="30"/>
      <c r="K11" s="335" t="s">
        <v>39</v>
      </c>
      <c r="L11" s="335"/>
      <c r="M11" s="337" t="e">
        <f>VLOOKUP(B15,Data!A2:K51,7,0)</f>
        <v>#N/A</v>
      </c>
      <c r="N11" s="338"/>
    </row>
    <row r="12" spans="1:14" ht="18" customHeight="1">
      <c r="A12" s="35" t="s">
        <v>40</v>
      </c>
      <c r="B12" s="335" t="e">
        <f>VLOOKUP(B15,Data!A2:K51,4,0)</f>
        <v>#N/A</v>
      </c>
      <c r="C12" s="335"/>
      <c r="D12" s="335"/>
      <c r="E12" s="335"/>
      <c r="F12" s="335"/>
      <c r="G12" s="335"/>
      <c r="H12" s="30"/>
      <c r="I12" s="30"/>
      <c r="J12" s="30"/>
      <c r="K12" s="335" t="s">
        <v>41</v>
      </c>
      <c r="L12" s="335"/>
      <c r="M12" s="337" t="e">
        <f>VLOOKUP(B15,Data!A2:K51,3,0)</f>
        <v>#N/A</v>
      </c>
      <c r="N12" s="338"/>
    </row>
    <row r="13" spans="1:14" ht="18" customHeight="1">
      <c r="A13" s="35" t="s">
        <v>42</v>
      </c>
      <c r="B13" s="337" t="e">
        <f>VLOOKUP(B15,Data!A2:K51,5,0)</f>
        <v>#N/A</v>
      </c>
      <c r="C13" s="337"/>
      <c r="D13" s="337"/>
      <c r="E13" s="337"/>
      <c r="F13" s="337"/>
      <c r="G13" s="337"/>
      <c r="H13" s="30"/>
      <c r="I13" s="30"/>
      <c r="J13" s="30"/>
      <c r="K13" s="335" t="s">
        <v>43</v>
      </c>
      <c r="L13" s="335"/>
      <c r="M13" s="337" t="e">
        <f>VLOOKUP(B15,Data!A2:K51,8,0)</f>
        <v>#N/A</v>
      </c>
      <c r="N13" s="338"/>
    </row>
    <row r="14" spans="1:14" ht="18" customHeight="1">
      <c r="A14" s="35" t="s">
        <v>44</v>
      </c>
      <c r="B14" s="337" t="e">
        <f>VLOOKUP(B15,Data!A2:K51,6,0)</f>
        <v>#N/A</v>
      </c>
      <c r="C14" s="337"/>
      <c r="D14" s="337"/>
      <c r="E14" s="337"/>
      <c r="F14" s="337"/>
      <c r="G14" s="337"/>
      <c r="H14" s="30"/>
      <c r="I14" s="30"/>
      <c r="J14" s="30"/>
      <c r="K14" s="335" t="s">
        <v>45</v>
      </c>
      <c r="L14" s="335"/>
      <c r="M14" s="337" t="e">
        <f>IF(M21&gt;=40,"Passed","Failed")</f>
        <v>#N/A</v>
      </c>
      <c r="N14" s="338"/>
    </row>
    <row r="15" spans="1:14" ht="18" customHeight="1">
      <c r="A15" s="35" t="s">
        <v>46</v>
      </c>
      <c r="B15" s="335" t="s">
        <v>226</v>
      </c>
      <c r="C15" s="335"/>
      <c r="D15" s="31"/>
      <c r="E15" s="31"/>
      <c r="F15" s="31"/>
      <c r="G15" s="31"/>
      <c r="H15" s="30"/>
      <c r="I15" s="30"/>
      <c r="J15" s="30"/>
      <c r="K15" s="336"/>
      <c r="L15" s="336"/>
      <c r="M15" s="337"/>
      <c r="N15" s="338"/>
    </row>
    <row r="16" spans="1:14" ht="18" customHeight="1">
      <c r="A16" s="35" t="s">
        <v>47</v>
      </c>
      <c r="B16" s="32">
        <f>COUNTIF(H24:H41,"&gt;5")</f>
        <v>0</v>
      </c>
      <c r="C16" s="31"/>
      <c r="D16" s="31"/>
      <c r="E16" s="31"/>
      <c r="F16" s="31"/>
      <c r="G16" s="31"/>
      <c r="H16" s="30"/>
      <c r="I16" s="30"/>
      <c r="J16" s="30"/>
      <c r="K16" s="339"/>
      <c r="L16" s="339"/>
      <c r="M16" s="336"/>
      <c r="N16" s="340"/>
    </row>
    <row r="17" spans="1:14" ht="18" customHeight="1">
      <c r="A17" s="35" t="s">
        <v>48</v>
      </c>
      <c r="B17" s="32">
        <f>COUNTIF(H24:H41,"&gt;=45")</f>
        <v>0</v>
      </c>
      <c r="C17" s="31"/>
      <c r="D17" s="31"/>
      <c r="E17" s="31"/>
      <c r="F17" s="31"/>
      <c r="G17" s="31"/>
      <c r="H17" s="30"/>
      <c r="I17" s="30"/>
      <c r="J17" s="30"/>
      <c r="K17" s="33"/>
      <c r="L17" s="33"/>
      <c r="M17" s="30"/>
      <c r="N17" s="34"/>
    </row>
    <row r="18" spans="1:14" ht="18" customHeight="1">
      <c r="A18" s="21"/>
      <c r="B18" s="13"/>
      <c r="C18" s="13"/>
      <c r="D18" s="13"/>
      <c r="E18" s="13"/>
      <c r="F18" s="13"/>
      <c r="G18" s="13"/>
      <c r="H18" s="13"/>
      <c r="I18" s="13"/>
      <c r="J18" s="13"/>
      <c r="K18" s="5"/>
      <c r="L18" s="5"/>
      <c r="M18" s="13"/>
      <c r="N18" s="14"/>
    </row>
    <row r="19" spans="1:14" ht="18" customHeight="1">
      <c r="A19" s="306" t="s">
        <v>7</v>
      </c>
      <c r="B19" s="308" t="s">
        <v>49</v>
      </c>
      <c r="C19" s="308" t="s">
        <v>50</v>
      </c>
      <c r="D19" s="308" t="s">
        <v>51</v>
      </c>
      <c r="E19" s="308" t="s">
        <v>52</v>
      </c>
      <c r="F19" s="310" t="s">
        <v>53</v>
      </c>
      <c r="G19" s="308" t="s">
        <v>54</v>
      </c>
      <c r="H19" s="308" t="s">
        <v>15</v>
      </c>
      <c r="I19" s="310" t="s">
        <v>16</v>
      </c>
      <c r="J19" s="312" t="s">
        <v>17</v>
      </c>
      <c r="K19" s="327" t="s">
        <v>55</v>
      </c>
      <c r="L19" s="328"/>
      <c r="M19" s="329">
        <f>100*(COUNTIF(H24:H41,"&gt;5"))</f>
        <v>0</v>
      </c>
      <c r="N19" s="330"/>
    </row>
    <row r="20" spans="1:14" ht="18" customHeight="1">
      <c r="A20" s="307"/>
      <c r="B20" s="309"/>
      <c r="C20" s="309"/>
      <c r="D20" s="309"/>
      <c r="E20" s="309"/>
      <c r="F20" s="311"/>
      <c r="G20" s="309"/>
      <c r="H20" s="309"/>
      <c r="I20" s="311"/>
      <c r="J20" s="313"/>
      <c r="K20" s="331" t="s">
        <v>56</v>
      </c>
      <c r="L20" s="332"/>
      <c r="M20" s="319" t="e">
        <f>SUM(H24:H41)</f>
        <v>#N/A</v>
      </c>
      <c r="N20" s="320"/>
    </row>
    <row r="21" spans="1:14" ht="18" customHeight="1">
      <c r="A21" s="307"/>
      <c r="B21" s="309"/>
      <c r="C21" s="309"/>
      <c r="D21" s="309"/>
      <c r="E21" s="309"/>
      <c r="F21" s="311"/>
      <c r="G21" s="309"/>
      <c r="H21" s="309"/>
      <c r="I21" s="311"/>
      <c r="J21" s="313"/>
      <c r="K21" s="331" t="s">
        <v>57</v>
      </c>
      <c r="L21" s="332"/>
      <c r="M21" s="333" t="e">
        <f>VLOOKUP(B15,Bsheet!A2:V51,21,0)</f>
        <v>#N/A</v>
      </c>
      <c r="N21" s="334"/>
    </row>
    <row r="22" spans="1:14" ht="18" customHeight="1">
      <c r="A22" s="307"/>
      <c r="B22" s="309"/>
      <c r="C22" s="309"/>
      <c r="D22" s="309"/>
      <c r="E22" s="309"/>
      <c r="F22" s="311"/>
      <c r="G22" s="309"/>
      <c r="H22" s="309"/>
      <c r="I22" s="311"/>
      <c r="J22" s="314"/>
      <c r="K22" s="321" t="s">
        <v>58</v>
      </c>
      <c r="L22" s="322"/>
      <c r="M22" s="323" t="e">
        <f>VLOOKUP(B15,Bsheet!A2:V51,22,0)</f>
        <v>#N/A</v>
      </c>
      <c r="N22" s="324"/>
    </row>
    <row r="23" spans="1:14" ht="18" customHeight="1">
      <c r="A23" s="307"/>
      <c r="B23" s="28" t="s">
        <v>59</v>
      </c>
      <c r="C23" s="28" t="s">
        <v>59</v>
      </c>
      <c r="D23" s="28" t="s">
        <v>59</v>
      </c>
      <c r="E23" s="28" t="s">
        <v>59</v>
      </c>
      <c r="F23" s="28" t="s">
        <v>60</v>
      </c>
      <c r="G23" s="28" t="s">
        <v>61</v>
      </c>
      <c r="H23" s="28" t="s">
        <v>62</v>
      </c>
      <c r="I23" s="107"/>
      <c r="J23" s="108"/>
      <c r="K23" s="325" t="s">
        <v>18</v>
      </c>
      <c r="L23" s="325"/>
      <c r="M23" s="325"/>
      <c r="N23" s="326"/>
    </row>
    <row r="24" spans="1:14" ht="18" customHeight="1">
      <c r="A24" s="29" t="s">
        <v>36</v>
      </c>
      <c r="B24" s="27" t="e">
        <f>VLOOKUP(B15,Scoresheet!A3:Q52,3,0)</f>
        <v>#N/A</v>
      </c>
      <c r="C24" s="27" t="e">
        <f>VLOOKUP(B15,Scoresheet!A3:I52,4,0)</f>
        <v>#N/A</v>
      </c>
      <c r="D24" s="27" t="e">
        <f>VLOOKUP(B15,Scoresheet!A3:I52,5,0)</f>
        <v>#N/A</v>
      </c>
      <c r="E24" s="27" t="e">
        <f>VLOOKUP(B15,Scoresheet!A3:I52,6,0)</f>
        <v>#N/A</v>
      </c>
      <c r="F24" s="27" t="e">
        <f>VLOOKUP(B15,Scoresheet!A3:I52,7,0)</f>
        <v>#N/A</v>
      </c>
      <c r="G24" s="27" t="e">
        <f>VLOOKUP(B15,Scoresheet!A3:I52,8,0)</f>
        <v>#N/A</v>
      </c>
      <c r="H24" s="27" t="e">
        <f>VLOOKUP(B15,Scoresheet!A3:I52,9,0)</f>
        <v>#N/A</v>
      </c>
      <c r="I24" s="27" t="e">
        <f>VLOOKUP(B15,Scoresheet!A3:I52,10,0)</f>
        <v>#N/A</v>
      </c>
      <c r="J24" s="27" t="e">
        <f>VLOOKUP(B15,Scoresheet!A3:I52,11,0)</f>
        <v>#N/A</v>
      </c>
      <c r="K24" s="318" t="e">
        <f>VLOOKUP(B15,Scoresheet!A3:I52,12,0)</f>
        <v>#N/A</v>
      </c>
      <c r="L24" s="319"/>
      <c r="M24" s="319"/>
      <c r="N24" s="320"/>
    </row>
    <row r="25" spans="1:14" ht="18" customHeight="1">
      <c r="A25" s="29" t="s">
        <v>63</v>
      </c>
      <c r="B25" s="27" t="e">
        <f>VLOOKUP(RSC/2026/JSS1A/1,Scoresheet!J3:Q52,3,0)</f>
        <v>#NAME?</v>
      </c>
      <c r="C25" s="27" t="e">
        <f>VLOOKUP(B15,Scoresheet!J3:Q52,4,0)</f>
        <v>#N/A</v>
      </c>
      <c r="D25" s="27" t="e">
        <f>VLOOKUP(B15,Scoresheet!J3:Q52,5,0)</f>
        <v>#N/A</v>
      </c>
      <c r="E25" s="27" t="e">
        <f>VLOOKUP(B15,Scoresheet!J3:Q52,6,0)</f>
        <v>#N/A</v>
      </c>
      <c r="F25" s="27" t="e">
        <f>VLOOKUP(B15,Scoresheet!J3:Q52,7,0)</f>
        <v>#N/A</v>
      </c>
      <c r="G25" s="27" t="e">
        <f>VLOOKUP(B15,Scoresheet!J3:Q52,8,0)</f>
        <v>#N/A</v>
      </c>
      <c r="H25" s="27" t="e">
        <f>VLOOKUP(B15,Scoresheet!J3:Q52,9,0)</f>
        <v>#N/A</v>
      </c>
      <c r="I25" s="27" t="e">
        <f>VLOOKUP(B15,Scoresheet!J3:Q52,10,0)</f>
        <v>#N/A</v>
      </c>
      <c r="J25" s="27" t="e">
        <f>VLOOKUP(B15,Scoresheet!J3:Q52,11,0)</f>
        <v>#N/A</v>
      </c>
      <c r="K25" s="318" t="e">
        <f>VLOOKUP(B15,Scoresheet!J3:Q52,12,0)</f>
        <v>#N/A</v>
      </c>
      <c r="L25" s="319"/>
      <c r="M25" s="319"/>
      <c r="N25" s="320"/>
    </row>
    <row r="26" spans="1:14" ht="18" customHeight="1">
      <c r="A26" s="29" t="s">
        <v>86</v>
      </c>
      <c r="B26" s="27" t="e">
        <f>VLOOKUP(B15,Scoresheet!R3:AA52,3,0)</f>
        <v>#N/A</v>
      </c>
      <c r="C26" s="27" t="e">
        <f>VLOOKUP(B15,Scoresheet!R3:AA52,4,0)</f>
        <v>#N/A</v>
      </c>
      <c r="D26" s="27" t="e">
        <f>VLOOKUP(B15,Scoresheet!R3:AA52,5,0)</f>
        <v>#N/A</v>
      </c>
      <c r="E26" s="27" t="e">
        <f>VLOOKUP(B15,Scoresheet!R3:AA52,6,0)</f>
        <v>#N/A</v>
      </c>
      <c r="F26" s="27" t="e">
        <f>VLOOKUP(B15,Scoresheet!R3:AA52,7,0)</f>
        <v>#N/A</v>
      </c>
      <c r="G26" s="27" t="e">
        <f>VLOOKUP(B15,Scoresheet!R3:AA52,8,0)</f>
        <v>#N/A</v>
      </c>
      <c r="H26" s="27" t="e">
        <f>VLOOKUP(B15,Scoresheet!R3:AA52,9,0)</f>
        <v>#N/A</v>
      </c>
      <c r="I26" s="27" t="e">
        <f>VLOOKUP(B15,Scoresheet!R3:AA52,10,0)</f>
        <v>#N/A</v>
      </c>
      <c r="J26" s="27" t="e">
        <f>VLOOKUP(B15,Scoresheet!R3:AA52,11,0)</f>
        <v>#N/A</v>
      </c>
      <c r="K26" s="318" t="e">
        <f>VLOOKUP(B15,Scoresheet!R3:AB52,12,0)</f>
        <v>#N/A</v>
      </c>
      <c r="L26" s="319"/>
      <c r="M26" s="319"/>
      <c r="N26" s="320"/>
    </row>
    <row r="27" spans="1:14" ht="18" customHeight="1">
      <c r="A27" s="29" t="s">
        <v>87</v>
      </c>
      <c r="B27" s="27" t="e">
        <f>VLOOKUP(B15,Scoresheet!AC3:AJ52,3,0)</f>
        <v>#N/A</v>
      </c>
      <c r="C27" s="27" t="e">
        <f>VLOOKUP(B15,Scoresheet!AC3:AJ52,4,0)</f>
        <v>#N/A</v>
      </c>
      <c r="D27" s="27" t="e">
        <f>VLOOKUP(B15,Scoresheet!AC3:AJ52,5,0)</f>
        <v>#N/A</v>
      </c>
      <c r="E27" s="27" t="e">
        <f>VLOOKUP(B15,Scoresheet!AC3:AJ52,6,0)</f>
        <v>#N/A</v>
      </c>
      <c r="F27" s="27" t="e">
        <f>VLOOKUP(B15,Scoresheet!AC3:AJ52,7,0)</f>
        <v>#N/A</v>
      </c>
      <c r="G27" s="27" t="e">
        <f>VLOOKUP(B15,Scoresheet!AC3:AJ52,8,0)</f>
        <v>#N/A</v>
      </c>
      <c r="H27" s="27" t="e">
        <f>VLOOKUP(B15,Scoresheet!AC3:AJ52,9,0)</f>
        <v>#N/A</v>
      </c>
      <c r="I27" s="27" t="e">
        <f>VLOOKUP(B15,Scoresheet!AC3:AJ52,10,0)</f>
        <v>#N/A</v>
      </c>
      <c r="J27" s="27" t="e">
        <f>VLOOKUP(B15,Scoresheet!AC3:AJ52,11,0)</f>
        <v>#N/A</v>
      </c>
      <c r="K27" s="318" t="e">
        <f>VLOOKUP(B15,Scoresheet!AC3:AJ52,12,0)</f>
        <v>#N/A</v>
      </c>
      <c r="L27" s="319"/>
      <c r="M27" s="319"/>
      <c r="N27" s="320"/>
    </row>
    <row r="28" spans="1:14" ht="18" customHeight="1">
      <c r="A28" s="29" t="s">
        <v>94</v>
      </c>
      <c r="B28" s="27" t="e">
        <f>VLOOKUP(Report!B15,Scoresheet!AK3:AR52,3,0)</f>
        <v>#N/A</v>
      </c>
      <c r="C28" s="27" t="e">
        <f>VLOOKUP(B15,Scoresheet!AK3:AR52,4,0)</f>
        <v>#N/A</v>
      </c>
      <c r="D28" s="27" t="e">
        <f>VLOOKUP(B15,Scoresheet!AK3:AR52,5,0)</f>
        <v>#N/A</v>
      </c>
      <c r="E28" s="27" t="e">
        <f>VLOOKUP(B15,Scoresheet!AK3:AR52,6,0)</f>
        <v>#N/A</v>
      </c>
      <c r="F28" s="27" t="e">
        <f>VLOOKUP(B15,Scoresheet!AK3:AR52,7,0)</f>
        <v>#N/A</v>
      </c>
      <c r="G28" s="27" t="e">
        <f>VLOOKUP(B15,Scoresheet!AK3:AR52,8,0)</f>
        <v>#N/A</v>
      </c>
      <c r="H28" s="27" t="e">
        <f>VLOOKUP(B15,Scoresheet!AK3:AR52,9,0)</f>
        <v>#N/A</v>
      </c>
      <c r="I28" s="27" t="e">
        <f>VLOOKUP(B15,Scoresheet!AK3:AR52,10,0)</f>
        <v>#N/A</v>
      </c>
      <c r="J28" s="27" t="e">
        <f>VLOOKUP(B15,Scoresheet!AK3:AR52,11,0)</f>
        <v>#N/A</v>
      </c>
      <c r="K28" s="318" t="e">
        <f>VLOOKUP(B15,Scoresheet!AK3:AR52,12,0)</f>
        <v>#N/A</v>
      </c>
      <c r="L28" s="319"/>
      <c r="M28" s="319"/>
      <c r="N28" s="320"/>
    </row>
    <row r="29" spans="1:14" ht="18" customHeight="1">
      <c r="A29" s="29" t="s">
        <v>65</v>
      </c>
      <c r="B29" s="27" t="e">
        <f>VLOOKUP(B15,Scoresheet!AS3:AZ52,3,0)</f>
        <v>#N/A</v>
      </c>
      <c r="C29" s="27" t="e">
        <f>VLOOKUP(B15,Scoresheet!AS3:AZ52,4,0)</f>
        <v>#N/A</v>
      </c>
      <c r="D29" s="27" t="e">
        <f>VLOOKUP(B15,Scoresheet!AS3:AZ52,5,0)</f>
        <v>#N/A</v>
      </c>
      <c r="E29" s="27" t="e">
        <f>VLOOKUP(B15,Scoresheet!AS3:AZ52,6,0)</f>
        <v>#N/A</v>
      </c>
      <c r="F29" s="27" t="e">
        <f>VLOOKUP(B15,Scoresheet!AS3:AZ52,7,0)</f>
        <v>#N/A</v>
      </c>
      <c r="G29" s="27" t="e">
        <f>VLOOKUP(B15,Scoresheet!AS3:AZ52,8,0)</f>
        <v>#N/A</v>
      </c>
      <c r="H29" s="27" t="e">
        <f>VLOOKUP(B15,Scoresheet!AS3:AZ52,9,0)</f>
        <v>#N/A</v>
      </c>
      <c r="I29" s="27" t="e">
        <f>VLOOKUP(B15,Scoresheet!AS3:AZ52,10,0)</f>
        <v>#N/A</v>
      </c>
      <c r="J29" s="27" t="e">
        <f>VLOOKUP(B15,Scoresheet!AS3:AZ52,11,0)</f>
        <v>#N/A</v>
      </c>
      <c r="K29" s="318" t="e">
        <f>VLOOKUP(B15,Scoresheet!AS3:AZ52,12,0)</f>
        <v>#N/A</v>
      </c>
      <c r="L29" s="319"/>
      <c r="M29" s="319"/>
      <c r="N29" s="320"/>
    </row>
    <row r="30" spans="1:14" ht="18" customHeight="1">
      <c r="A30" s="29" t="s">
        <v>88</v>
      </c>
      <c r="B30" s="27" t="e">
        <f>VLOOKUP(B15,Scoresheet!BA3:BH52,3,0)</f>
        <v>#N/A</v>
      </c>
      <c r="C30" s="27" t="e">
        <f>VLOOKUP(B15,Scoresheet!BA3:BH52,4,0)</f>
        <v>#N/A</v>
      </c>
      <c r="D30" s="27" t="e">
        <f>VLOOKUP(B15,Scoresheet!BA3:BH52,5,0)</f>
        <v>#N/A</v>
      </c>
      <c r="E30" s="27" t="e">
        <f>VLOOKUP(B15,Scoresheet!BA3:BH52,6,0)</f>
        <v>#N/A</v>
      </c>
      <c r="F30" s="27" t="e">
        <f>VLOOKUP(B15,Scoresheet!BA3:BH52,7,0)</f>
        <v>#N/A</v>
      </c>
      <c r="G30" s="27" t="e">
        <f>VLOOKUP(B15,Scoresheet!BA3:BH52,8,0)</f>
        <v>#N/A</v>
      </c>
      <c r="H30" s="27" t="e">
        <f>VLOOKUP(B15,Scoresheet!BA3:BH52,9,0)</f>
        <v>#N/A</v>
      </c>
      <c r="I30" s="27" t="e">
        <f>VLOOKUP(B15,Scoresheet!BA3:BH52,10,0)</f>
        <v>#N/A</v>
      </c>
      <c r="J30" s="27" t="e">
        <f>VLOOKUP(B15,Scoresheet!BA3:BH52,11,0)</f>
        <v>#N/A</v>
      </c>
      <c r="K30" s="318" t="e">
        <f>VLOOKUP(B15,Scoresheet!BA3:BH52,12,0)</f>
        <v>#N/A</v>
      </c>
      <c r="L30" s="319"/>
      <c r="M30" s="319"/>
      <c r="N30" s="320"/>
    </row>
    <row r="31" spans="1:14" ht="18" customHeight="1">
      <c r="A31" s="29" t="s">
        <v>89</v>
      </c>
      <c r="B31" s="27" t="e">
        <f>VLOOKUP(B15,Scoresheet!BI3:BP52,3,0)</f>
        <v>#N/A</v>
      </c>
      <c r="C31" s="27" t="e">
        <f>VLOOKUP(B15,Scoresheet!BI3:BP52,4,0)</f>
        <v>#N/A</v>
      </c>
      <c r="D31" s="27" t="e">
        <f>VLOOKUP(B15,Scoresheet!BI3:BP52,5,0)</f>
        <v>#N/A</v>
      </c>
      <c r="E31" s="27" t="e">
        <f>VLOOKUP(B15,Scoresheet!BI3:BP52,6,0)</f>
        <v>#N/A</v>
      </c>
      <c r="F31" s="27" t="e">
        <f>VLOOKUP(B15,Scoresheet!BI3:BP52,7,0)</f>
        <v>#N/A</v>
      </c>
      <c r="G31" s="27" t="e">
        <f>VLOOKUP(B15,Scoresheet!BI3:BP52,8,0)</f>
        <v>#N/A</v>
      </c>
      <c r="H31" s="27" t="e">
        <f>VLOOKUP(B15,Scoresheet!BI3:BP52,9,0)</f>
        <v>#N/A</v>
      </c>
      <c r="I31" s="27" t="e">
        <f>VLOOKUP(B15,Scoresheet!BI3:BP52,10,0)</f>
        <v>#N/A</v>
      </c>
      <c r="J31" s="27" t="e">
        <f>VLOOKUP(B15,Scoresheet!BI3:BP52,11,0)</f>
        <v>#N/A</v>
      </c>
      <c r="K31" s="318" t="e">
        <f>VLOOKUP(B15,Scoresheet!BI3:BP52,12,0)</f>
        <v>#N/A</v>
      </c>
      <c r="L31" s="319"/>
      <c r="M31" s="319"/>
      <c r="N31" s="320"/>
    </row>
    <row r="32" spans="1:14" ht="18" customHeight="1">
      <c r="A32" s="29" t="s">
        <v>68</v>
      </c>
      <c r="B32" s="27" t="e">
        <f>VLOOKUP(B15,Scoresheet!BQ3:BX52,3,0)</f>
        <v>#N/A</v>
      </c>
      <c r="C32" s="27" t="e">
        <f>VLOOKUP(B15,Scoresheet!BQ3:BX52,4,0)</f>
        <v>#N/A</v>
      </c>
      <c r="D32" s="27" t="e">
        <f>VLOOKUP(B15,Scoresheet!BQ3:BX52,5,0)</f>
        <v>#N/A</v>
      </c>
      <c r="E32" s="27" t="e">
        <f>VLOOKUP(B15,Scoresheet!BQ3:BX52,6,0)</f>
        <v>#N/A</v>
      </c>
      <c r="F32" s="27" t="e">
        <f>VLOOKUP(B15,Scoresheet!BQ3:BX52,7,0)</f>
        <v>#N/A</v>
      </c>
      <c r="G32" s="27" t="e">
        <f>VLOOKUP(B15,Scoresheet!BQ3:BX52,8,0)</f>
        <v>#N/A</v>
      </c>
      <c r="H32" s="27" t="e">
        <f>VLOOKUP(B15,Scoresheet!BQ3:BX52,9,0)</f>
        <v>#N/A</v>
      </c>
      <c r="I32" s="27" t="e">
        <f>VLOOKUP(B15,Scoresheet!BQ3:BX52,10,0)</f>
        <v>#N/A</v>
      </c>
      <c r="J32" s="27" t="e">
        <f>VLOOKUP(B15,Scoresheet!BQ3:BX52,11,0)</f>
        <v>#N/A</v>
      </c>
      <c r="K32" s="318" t="e">
        <f>VLOOKUP(B15,Scoresheet!BQ3:BX52,12,0)</f>
        <v>#N/A</v>
      </c>
      <c r="L32" s="319"/>
      <c r="M32" s="319"/>
      <c r="N32" s="320"/>
    </row>
    <row r="33" spans="1:15" ht="18" customHeight="1">
      <c r="A33" s="29" t="s">
        <v>90</v>
      </c>
      <c r="B33" s="27" t="e">
        <f>VLOOKUP(B15,Scoresheet!BY3:CF52,3,0)</f>
        <v>#N/A</v>
      </c>
      <c r="C33" s="27" t="e">
        <f>VLOOKUP(B15,Scoresheet!BY3:CF52,4,0)</f>
        <v>#N/A</v>
      </c>
      <c r="D33" s="27" t="e">
        <f>VLOOKUP(B15,Scoresheet!BY3:CF52,5,0)</f>
        <v>#N/A</v>
      </c>
      <c r="E33" s="27" t="e">
        <f>VLOOKUP(B15,Scoresheet!BY3:CF52,6,0)</f>
        <v>#N/A</v>
      </c>
      <c r="F33" s="27" t="e">
        <f>VLOOKUP(B15,Scoresheet!BY3:CF52,7,0)</f>
        <v>#N/A</v>
      </c>
      <c r="G33" s="27" t="e">
        <f>VLOOKUP(B15,Scoresheet!BY3:CF52,8,0)</f>
        <v>#N/A</v>
      </c>
      <c r="H33" s="27" t="e">
        <f>VLOOKUP(B15,Scoresheet!BY3:CF52,9,0)</f>
        <v>#N/A</v>
      </c>
      <c r="I33" s="27" t="e">
        <f>VLOOKUP(B15,Scoresheet!BY3:CF52,10,0)</f>
        <v>#N/A</v>
      </c>
      <c r="J33" s="27" t="e">
        <f>VLOOKUP(B15,Scoresheet!BY3:CF52,11,0)</f>
        <v>#N/A</v>
      </c>
      <c r="K33" s="318" t="e">
        <f>VLOOKUP(B15,Scoresheet!BY3:CF52,12,0)</f>
        <v>#N/A</v>
      </c>
      <c r="L33" s="319"/>
      <c r="M33" s="319"/>
      <c r="N33" s="320"/>
    </row>
    <row r="34" spans="1:15" ht="18" customHeight="1">
      <c r="A34" s="29" t="s">
        <v>91</v>
      </c>
      <c r="B34" s="27" t="e">
        <f>VLOOKUP(B15,Scoresheet!CG3:CN52,3,0)</f>
        <v>#N/A</v>
      </c>
      <c r="C34" s="27" t="e">
        <f>VLOOKUP(B15,Scoresheet!CG3:CN52,4,0)</f>
        <v>#N/A</v>
      </c>
      <c r="D34" s="27" t="e">
        <f>VLOOKUP(B15,Scoresheet!CG3:CN52,5,0)</f>
        <v>#N/A</v>
      </c>
      <c r="E34" s="27" t="e">
        <f>VLOOKUP(B15,Scoresheet!CG3:CN52,6,0)</f>
        <v>#N/A</v>
      </c>
      <c r="F34" s="27" t="e">
        <f>VLOOKUP(B15,Scoresheet!CG3:CN52,7,0)</f>
        <v>#N/A</v>
      </c>
      <c r="G34" s="27" t="e">
        <f>VLOOKUP(B15,Scoresheet!CG3:CN52,8,0)</f>
        <v>#N/A</v>
      </c>
      <c r="H34" s="27" t="e">
        <f>VLOOKUP(B15,Scoresheet!CG3:CN52,9,0)</f>
        <v>#N/A</v>
      </c>
      <c r="I34" s="27" t="e">
        <f>VLOOKUP(B15,Scoresheet!CG3:CN52,10,0)</f>
        <v>#N/A</v>
      </c>
      <c r="J34" s="27" t="e">
        <f>VLOOKUP(B15,Scoresheet!CG3:CN52,11,0)</f>
        <v>#N/A</v>
      </c>
      <c r="K34" s="318" t="e">
        <f>VLOOKUP(B15,Scoresheet!CG3:CN52,12,0)</f>
        <v>#N/A</v>
      </c>
      <c r="L34" s="319"/>
      <c r="M34" s="319"/>
      <c r="N34" s="320"/>
    </row>
    <row r="35" spans="1:15" ht="18" customHeight="1">
      <c r="A35" s="29" t="s">
        <v>66</v>
      </c>
      <c r="B35" s="27" t="e">
        <f>VLOOKUP(B15,Scoresheet!CO3:CV52,3,0)</f>
        <v>#N/A</v>
      </c>
      <c r="C35" s="27" t="e">
        <f>VLOOKUP(B15,Scoresheet!CO3:CV52,4,0)</f>
        <v>#N/A</v>
      </c>
      <c r="D35" s="27" t="e">
        <f>VLOOKUP(B15,Scoresheet!CO3:CV52,5,0)</f>
        <v>#N/A</v>
      </c>
      <c r="E35" s="27" t="e">
        <f>VLOOKUP(B15,Scoresheet!CO3:CV52,6,0)</f>
        <v>#N/A</v>
      </c>
      <c r="F35" s="27" t="e">
        <f>VLOOKUP(B15,Scoresheet!CO3:CV52,7,0)</f>
        <v>#N/A</v>
      </c>
      <c r="G35" s="27" t="e">
        <f>VLOOKUP(B15,Scoresheet!CO3:CV52,8,0)</f>
        <v>#N/A</v>
      </c>
      <c r="H35" s="27" t="e">
        <f>VLOOKUP(B15,Scoresheet!CO3:CV52,9,0)</f>
        <v>#N/A</v>
      </c>
      <c r="I35" s="27" t="e">
        <f>VLOOKUP(B15,Scoresheet!CO3:CV52,10,0)</f>
        <v>#N/A</v>
      </c>
      <c r="J35" s="27" t="e">
        <f>VLOOKUP(B15,Scoresheet!CO3:CV52,11,0)</f>
        <v>#N/A</v>
      </c>
      <c r="K35" s="318" t="e">
        <f>VLOOKUP(B15,Scoresheet!CO3:CV52,12,0)</f>
        <v>#N/A</v>
      </c>
      <c r="L35" s="319"/>
      <c r="M35" s="319"/>
      <c r="N35" s="320"/>
    </row>
    <row r="36" spans="1:15" ht="18" customHeight="1">
      <c r="A36" s="29" t="s">
        <v>69</v>
      </c>
      <c r="B36" s="27" t="e">
        <f>VLOOKUP(B15,Scoresheet!CW3:DD52,3,0)</f>
        <v>#N/A</v>
      </c>
      <c r="C36" s="27" t="e">
        <f>VLOOKUP(B15,Scoresheet!CW3:DD52,4,0)</f>
        <v>#N/A</v>
      </c>
      <c r="D36" s="27" t="e">
        <f>VLOOKUP(B15,Scoresheet!CW3:DD52,5,0)</f>
        <v>#N/A</v>
      </c>
      <c r="E36" s="27" t="e">
        <f>VLOOKUP(B15,Scoresheet!CW3:DD52,6,0)</f>
        <v>#N/A</v>
      </c>
      <c r="F36" s="27" t="e">
        <f>VLOOKUP(B15,Scoresheet!CW3:DD52,7,0)</f>
        <v>#N/A</v>
      </c>
      <c r="G36" s="27" t="e">
        <f>VLOOKUP(B15,Scoresheet!CW3:DD52,8,0)</f>
        <v>#N/A</v>
      </c>
      <c r="H36" s="27" t="e">
        <f>VLOOKUP(B15,Scoresheet!CW3:DD52,9,0)</f>
        <v>#N/A</v>
      </c>
      <c r="I36" s="27" t="e">
        <f>VLOOKUP(B15,Scoresheet!CW3:DD52,10,0)</f>
        <v>#N/A</v>
      </c>
      <c r="J36" s="27" t="e">
        <f>VLOOKUP(B15,Scoresheet!CW3:DD52,11,0)</f>
        <v>#N/A</v>
      </c>
      <c r="K36" s="318" t="e">
        <f>VLOOKUP(B15,Scoresheet!CW3:DD52,12,0)</f>
        <v>#N/A</v>
      </c>
      <c r="L36" s="319"/>
      <c r="M36" s="319"/>
      <c r="N36" s="320"/>
    </row>
    <row r="37" spans="1:15" ht="18" customHeight="1">
      <c r="A37" s="29" t="s">
        <v>67</v>
      </c>
      <c r="B37" s="27" t="e">
        <f>VLOOKUP(B15,Scoresheet!DE3:DL52,3,0)</f>
        <v>#N/A</v>
      </c>
      <c r="C37" s="27" t="e">
        <f>VLOOKUP(B15,Scoresheet!DE3:DL52,4,0)</f>
        <v>#N/A</v>
      </c>
      <c r="D37" s="27" t="e">
        <f>VLOOKUP(B15,Scoresheet!DE3:DL52,5,0)</f>
        <v>#N/A</v>
      </c>
      <c r="E37" s="27" t="e">
        <f>VLOOKUP(B15,Scoresheet!DE3:DL52,6,0)</f>
        <v>#N/A</v>
      </c>
      <c r="F37" s="27" t="e">
        <f>VLOOKUP(B15,Scoresheet!DE3:DL52,7,0)</f>
        <v>#N/A</v>
      </c>
      <c r="G37" s="27" t="e">
        <f>VLOOKUP(B15,Scoresheet!DE3:DL52,8,0)</f>
        <v>#N/A</v>
      </c>
      <c r="H37" s="27" t="e">
        <f>VLOOKUP(B15,Scoresheet!DE3:DL52,9,0)</f>
        <v>#N/A</v>
      </c>
      <c r="I37" s="27" t="e">
        <f>VLOOKUP(B15,Scoresheet!DE3:DL52,10,0)</f>
        <v>#N/A</v>
      </c>
      <c r="J37" s="27" t="e">
        <f>VLOOKUP(B15,Scoresheet!DE3:DL52,11,0)</f>
        <v>#N/A</v>
      </c>
      <c r="K37" s="318" t="e">
        <f>VLOOKUP(B15,Scoresheet!DE3:DL52,12,0)</f>
        <v>#N/A</v>
      </c>
      <c r="L37" s="319"/>
      <c r="M37" s="319"/>
      <c r="N37" s="320"/>
    </row>
    <row r="38" spans="1:15" ht="18" customHeight="1">
      <c r="A38" s="29" t="s">
        <v>70</v>
      </c>
      <c r="B38" s="27" t="e">
        <f>VLOOKUP(B15,Scoresheet!CW3:DD52,3,0)</f>
        <v>#N/A</v>
      </c>
      <c r="C38" s="27" t="e">
        <f>VLOOKUP(B15,Scoresheet!CW3:DD52,4,0)</f>
        <v>#N/A</v>
      </c>
      <c r="D38" s="27" t="e">
        <f>VLOOKUP(B15,Scoresheet!CW3:DD52,5,0)</f>
        <v>#N/A</v>
      </c>
      <c r="E38" s="27" t="e">
        <f>VLOOKUP(B15,Scoresheet!CW3:DD52,6,0)</f>
        <v>#N/A</v>
      </c>
      <c r="F38" s="27" t="e">
        <f>VLOOKUP(B15,Scoresheet!CW3:DD52,7,0)</f>
        <v>#N/A</v>
      </c>
      <c r="G38" s="27" t="e">
        <f>VLOOKUP(B15,Scoresheet!CW3:DD52,8,0)</f>
        <v>#N/A</v>
      </c>
      <c r="H38" s="27" t="e">
        <f>VLOOKUP(B15,Scoresheet!CW3:DD52,9,0)</f>
        <v>#N/A</v>
      </c>
      <c r="I38" s="27" t="e">
        <f>VLOOKUP(B15,Scoresheet!CW3:DD52,10,0)</f>
        <v>#N/A</v>
      </c>
      <c r="J38" s="27" t="e">
        <f>VLOOKUP(B15,Scoresheet!CW3:DD52,11,0)</f>
        <v>#N/A</v>
      </c>
      <c r="K38" s="318" t="e">
        <f>VLOOKUP(B15,Scoresheet!DM3:DT52,12,0)</f>
        <v>#N/A</v>
      </c>
      <c r="L38" s="319"/>
      <c r="M38" s="319"/>
      <c r="N38" s="320"/>
    </row>
    <row r="39" spans="1:15" ht="18" customHeight="1">
      <c r="A39" s="29" t="s">
        <v>92</v>
      </c>
      <c r="B39" s="27" t="e">
        <f>VLOOKUP(B15,Scoresheet!DU3:EB52,3,0)</f>
        <v>#N/A</v>
      </c>
      <c r="C39" s="27" t="e">
        <f>VLOOKUP(B15,Scoresheet!DU3:EB52,4,0)</f>
        <v>#N/A</v>
      </c>
      <c r="D39" s="27" t="e">
        <f>VLOOKUP(B15,Scoresheet!DU3:EB52,5,0)</f>
        <v>#N/A</v>
      </c>
      <c r="E39" s="27" t="e">
        <f>VLOOKUP(B15,Scoresheet!DU3:EB52,6,0)</f>
        <v>#N/A</v>
      </c>
      <c r="F39" s="27" t="e">
        <f>VLOOKUP(B15,Scoresheet!DU3:EB52,7,0)</f>
        <v>#N/A</v>
      </c>
      <c r="G39" s="27" t="e">
        <f>VLOOKUP(B15,Scoresheet!DU3:EB52,8,0)</f>
        <v>#N/A</v>
      </c>
      <c r="H39" s="27" t="e">
        <f>VLOOKUP(B15,Scoresheet!DU3:EB52,9,0)</f>
        <v>#N/A</v>
      </c>
      <c r="I39" s="27" t="e">
        <f>VLOOKUP(B15,Scoresheet!DU3:EB52,10,0)</f>
        <v>#N/A</v>
      </c>
      <c r="J39" s="27" t="e">
        <f>VLOOKUP(B15,Scoresheet!DU3:EB52,11,0)</f>
        <v>#N/A</v>
      </c>
      <c r="K39" s="318" t="e">
        <f>VLOOKUP(B15,Scoresheet!DU3:EB52,12,0)</f>
        <v>#N/A</v>
      </c>
      <c r="L39" s="319"/>
      <c r="M39" s="319"/>
      <c r="N39" s="320"/>
    </row>
    <row r="40" spans="1:15" ht="18" customHeight="1">
      <c r="A40" s="29" t="s">
        <v>64</v>
      </c>
      <c r="B40" s="27" t="e">
        <f>VLOOKUP(B15,Scoresheet!EC3:EJ52,3,0)</f>
        <v>#N/A</v>
      </c>
      <c r="C40" s="27" t="e">
        <f>VLOOKUP(B15,Scoresheet!EC3:EJ52,4,0)</f>
        <v>#N/A</v>
      </c>
      <c r="D40" s="27" t="e">
        <f>VLOOKUP(B15,Scoresheet!EC3:EJ52,5,0)</f>
        <v>#N/A</v>
      </c>
      <c r="E40" s="27" t="e">
        <f>VLOOKUP(B15,Scoresheet!EC3:EJ52,6,0)</f>
        <v>#N/A</v>
      </c>
      <c r="F40" s="27" t="e">
        <f>VLOOKUP(B15,Scoresheet!EC3:EJ52,7,0)</f>
        <v>#N/A</v>
      </c>
      <c r="G40" s="27" t="e">
        <f>VLOOKUP(B15,Scoresheet!EC3:EJ52,8,0)</f>
        <v>#N/A</v>
      </c>
      <c r="H40" s="27" t="e">
        <f>VLOOKUP(B15,Scoresheet!EC3:EJ52,9,0)</f>
        <v>#N/A</v>
      </c>
      <c r="I40" s="27" t="e">
        <f>VLOOKUP(B15,Scoresheet!EC3:EJ52,10,0)</f>
        <v>#N/A</v>
      </c>
      <c r="J40" s="27" t="e">
        <f>VLOOKUP(B15,Scoresheet!EC3:EJ52,11,0)</f>
        <v>#N/A</v>
      </c>
      <c r="K40" s="318" t="e">
        <f>VLOOKUP(B15,Scoresheet!EC3:EJ52,12,0)</f>
        <v>#N/A</v>
      </c>
      <c r="L40" s="319"/>
      <c r="M40" s="319"/>
      <c r="N40" s="320"/>
    </row>
    <row r="41" spans="1:15" ht="18" customHeight="1">
      <c r="A41" s="29" t="s">
        <v>84</v>
      </c>
      <c r="B41" s="27" t="e">
        <f>VLOOKUP(B15,Scoresheet!EK3:ER52,3,0)</f>
        <v>#N/A</v>
      </c>
      <c r="C41" s="27" t="e">
        <f>VLOOKUP(B15,Scoresheet!EK3:ER52,4,0)</f>
        <v>#N/A</v>
      </c>
      <c r="D41" s="27" t="e">
        <f>VLOOKUP(B15,Scoresheet!EK3:ER52,5,0)</f>
        <v>#N/A</v>
      </c>
      <c r="E41" s="27" t="e">
        <f>VLOOKUP(B15,Scoresheet!EK3:ER52,6,0)</f>
        <v>#N/A</v>
      </c>
      <c r="F41" s="27" t="e">
        <f>VLOOKUP(B15,Scoresheet!EK3:ER52,7,0)</f>
        <v>#N/A</v>
      </c>
      <c r="G41" s="27" t="e">
        <f>VLOOKUP(B15,Scoresheet!EK3:ER52,8,0)</f>
        <v>#N/A</v>
      </c>
      <c r="H41" s="27" t="e">
        <f>VLOOKUP(B15,Scoresheet!EK3:ER52,9,0)</f>
        <v>#N/A</v>
      </c>
      <c r="I41" s="27" t="e">
        <f>VLOOKUP(B15,Scoresheet!EK3:ER52,10,0)</f>
        <v>#N/A</v>
      </c>
      <c r="J41" s="27" t="e">
        <f>VLOOKUP(B15,Scoresheet!EK3:ER52,11,0)</f>
        <v>#N/A</v>
      </c>
      <c r="K41" s="318" t="e">
        <f>VLOOKUP(B15,Scoresheet!EK3:ER52,12,0)</f>
        <v>#N/A</v>
      </c>
      <c r="L41" s="319"/>
      <c r="M41" s="319"/>
      <c r="N41" s="320"/>
    </row>
    <row r="42" spans="1:15" ht="18" customHeight="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"/>
    </row>
    <row r="43" spans="1:15" ht="18" customHeight="1">
      <c r="A43" s="36" t="s">
        <v>71</v>
      </c>
      <c r="B43" s="37"/>
      <c r="C43" s="4"/>
      <c r="D43" s="316" t="s">
        <v>72</v>
      </c>
      <c r="E43" s="316"/>
      <c r="F43" s="38"/>
      <c r="G43" s="39"/>
      <c r="H43" s="317" t="s">
        <v>73</v>
      </c>
      <c r="I43" s="317"/>
      <c r="J43" s="317"/>
      <c r="K43" s="317"/>
      <c r="L43" s="317"/>
      <c r="M43" s="317"/>
      <c r="N43" s="40"/>
      <c r="O43" s="17"/>
    </row>
    <row r="44" spans="1:15" ht="18" customHeight="1">
      <c r="A44" s="36" t="s">
        <v>23</v>
      </c>
      <c r="B44" s="180" t="e">
        <f>VLOOKUP(B15,Behaviour!A2:I55,3,0)</f>
        <v>#N/A</v>
      </c>
      <c r="C44" s="4"/>
      <c r="D44" s="316" t="s">
        <v>31</v>
      </c>
      <c r="E44" s="316"/>
      <c r="F44" s="38" t="e">
        <f>VLOOKUP(B15,Skills!A2:H51,3,0)</f>
        <v>#N/A</v>
      </c>
      <c r="G44" s="39"/>
      <c r="H44" s="317" t="s">
        <v>74</v>
      </c>
      <c r="I44" s="317"/>
      <c r="J44" s="317"/>
      <c r="K44" s="317"/>
      <c r="L44" s="317"/>
      <c r="M44" s="317"/>
      <c r="N44" s="40"/>
      <c r="O44" s="17"/>
    </row>
    <row r="45" spans="1:15" ht="18" customHeight="1">
      <c r="A45" s="36" t="s">
        <v>24</v>
      </c>
      <c r="B45" s="180" t="e">
        <f>VLOOKUP(B15,Behaviour!A2:I55,4,0)</f>
        <v>#N/A</v>
      </c>
      <c r="C45" s="4"/>
      <c r="D45" s="316" t="s">
        <v>32</v>
      </c>
      <c r="E45" s="316"/>
      <c r="F45" s="38" t="e">
        <f>VLOOKUP(B15,Skills!A2:H51,4,0)</f>
        <v>#N/A</v>
      </c>
      <c r="G45" s="39"/>
      <c r="H45" s="317" t="s">
        <v>75</v>
      </c>
      <c r="I45" s="317"/>
      <c r="J45" s="317"/>
      <c r="K45" s="317"/>
      <c r="L45" s="317"/>
      <c r="M45" s="317"/>
      <c r="N45" s="40"/>
      <c r="O45" s="17"/>
    </row>
    <row r="46" spans="1:15" ht="18" customHeight="1">
      <c r="A46" s="36" t="s">
        <v>25</v>
      </c>
      <c r="B46" s="180" t="e">
        <f>VLOOKUP(B15,Behaviour!A2:I55,5,0)</f>
        <v>#N/A</v>
      </c>
      <c r="C46" s="4"/>
      <c r="D46" s="316" t="s">
        <v>33</v>
      </c>
      <c r="E46" s="316"/>
      <c r="F46" s="38" t="e">
        <f>VLOOKUP(B15,Skills!A2:H51,5,0)</f>
        <v>#N/A</v>
      </c>
      <c r="G46" s="39"/>
      <c r="H46" s="317" t="s">
        <v>76</v>
      </c>
      <c r="I46" s="317"/>
      <c r="J46" s="317"/>
      <c r="K46" s="317"/>
      <c r="L46" s="317"/>
      <c r="M46" s="317"/>
      <c r="N46" s="40"/>
      <c r="O46" s="17"/>
    </row>
    <row r="47" spans="1:15" ht="18" customHeight="1">
      <c r="A47" s="36" t="s">
        <v>26</v>
      </c>
      <c r="B47" s="180" t="e">
        <f>VLOOKUP(B15,Behaviour!A2:I55,6,0)</f>
        <v>#N/A</v>
      </c>
      <c r="C47" s="4"/>
      <c r="D47" s="316" t="s">
        <v>34</v>
      </c>
      <c r="E47" s="316"/>
      <c r="F47" s="38" t="e">
        <f>VLOOKUP(B15,Skills!A2:H51,6,0)</f>
        <v>#N/A</v>
      </c>
      <c r="G47" s="39"/>
      <c r="H47" s="317" t="s">
        <v>77</v>
      </c>
      <c r="I47" s="317"/>
      <c r="J47" s="317"/>
      <c r="K47" s="317"/>
      <c r="L47" s="317"/>
      <c r="M47" s="317"/>
      <c r="N47" s="40"/>
      <c r="O47" s="17"/>
    </row>
    <row r="48" spans="1:15" ht="18" customHeight="1">
      <c r="A48" s="36" t="s">
        <v>27</v>
      </c>
      <c r="B48" s="180" t="e">
        <f>VLOOKUP(B15,Behaviour!A2:I55,7,0)</f>
        <v>#N/A</v>
      </c>
      <c r="C48" s="4"/>
      <c r="D48" s="316" t="s">
        <v>35</v>
      </c>
      <c r="E48" s="316"/>
      <c r="F48" s="38" t="e">
        <f>VLOOKUP(B17,Skills!A2:H51,7,0)</f>
        <v>#N/A</v>
      </c>
      <c r="G48" s="39"/>
      <c r="H48" s="317" t="s">
        <v>78</v>
      </c>
      <c r="I48" s="317"/>
      <c r="J48" s="317"/>
      <c r="K48" s="317"/>
      <c r="L48" s="317"/>
      <c r="M48" s="317"/>
      <c r="N48" s="40"/>
      <c r="O48" s="17"/>
    </row>
    <row r="49" spans="1:20" ht="18" customHeight="1">
      <c r="A49" s="36" t="s">
        <v>28</v>
      </c>
      <c r="B49" s="180" t="e">
        <f>VLOOKUP(B15,Behaviour!A2:I55,8,0)</f>
        <v>#N/A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29</v>
      </c>
      <c r="B50" s="180" t="e">
        <f>VLOOKUP(B15,Behaviour!A2:I55,9,0)</f>
        <v>#N/A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36" t="s">
        <v>30</v>
      </c>
      <c r="B51" s="180" t="e">
        <f>VLOOKUP(B15,Behaviour!A2:I55,10,0)</f>
        <v>#N/A</v>
      </c>
      <c r="C51" s="4"/>
      <c r="D51" s="23"/>
      <c r="E51" s="23"/>
      <c r="F51" s="23"/>
      <c r="G51" s="23"/>
      <c r="H51" s="23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5"/>
      <c r="O53" s="17"/>
    </row>
    <row r="54" spans="1:20" ht="18" customHeight="1">
      <c r="A54" s="303" t="s">
        <v>79</v>
      </c>
      <c r="B54" s="304"/>
      <c r="C54" s="304"/>
      <c r="D54" s="17" t="s">
        <v>80</v>
      </c>
      <c r="E54" s="17" t="e">
        <f>VLOOKUP(B15,Comments!A2:C51,4,0)</f>
        <v>#N/A</v>
      </c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305"/>
      <c r="S54" s="305"/>
      <c r="T54" s="305"/>
    </row>
    <row r="55" spans="1:20" ht="18" customHeight="1">
      <c r="A55" s="303" t="s">
        <v>81</v>
      </c>
      <c r="B55" s="304"/>
      <c r="C55" s="304"/>
      <c r="D55" s="17" t="s">
        <v>80</v>
      </c>
      <c r="E55" s="17"/>
      <c r="F55" s="17"/>
      <c r="G55" s="17"/>
      <c r="H55" s="17"/>
      <c r="I55" s="17"/>
      <c r="J55" s="17"/>
      <c r="K55" s="17"/>
      <c r="L55" s="17"/>
      <c r="M55" s="17"/>
      <c r="N55" s="15"/>
      <c r="O55" s="17"/>
      <c r="R55" s="305"/>
      <c r="S55" s="305"/>
      <c r="T55" s="305"/>
    </row>
    <row r="56" spans="1:20" ht="18" customHeight="1">
      <c r="A56" s="303" t="s">
        <v>82</v>
      </c>
      <c r="B56" s="304"/>
      <c r="C56" s="304"/>
      <c r="D56" s="17" t="s">
        <v>80</v>
      </c>
      <c r="E56" s="315" t="e">
        <f>VLOOKUP(B15,Comments!A2:C51,3,0)</f>
        <v>#N/A</v>
      </c>
      <c r="F56" s="315"/>
      <c r="G56" s="315"/>
      <c r="H56" s="315"/>
      <c r="I56" s="315"/>
      <c r="J56" s="315"/>
      <c r="K56" s="17"/>
      <c r="L56" s="17"/>
      <c r="M56" s="17"/>
      <c r="N56" s="15"/>
      <c r="O56" s="17"/>
      <c r="R56" s="305"/>
      <c r="S56" s="305"/>
      <c r="T56" s="305"/>
    </row>
    <row r="57" spans="1:20" ht="18" customHeight="1">
      <c r="A57" s="303" t="s">
        <v>83</v>
      </c>
      <c r="B57" s="304"/>
      <c r="C57" s="304"/>
      <c r="D57" s="17" t="s">
        <v>80</v>
      </c>
      <c r="E57" s="17" t="e">
        <f>IF(M21&gt;=75,"An Impressive performance, Keep it up",IF(M21&gt;=65,"The Performance is not upto par, sit up",IF(M21&lt;=64.9,"Sit up and work harder")))</f>
        <v>#N/A</v>
      </c>
      <c r="F57" s="17"/>
      <c r="G57" s="17"/>
      <c r="H57" s="17"/>
      <c r="I57" s="17"/>
      <c r="J57" s="17"/>
      <c r="K57" s="17"/>
      <c r="L57" s="17"/>
      <c r="M57" s="17"/>
      <c r="N57" s="15"/>
      <c r="O57" s="17"/>
      <c r="R57" s="305"/>
      <c r="S57" s="305"/>
      <c r="T57" s="305"/>
    </row>
    <row r="58" spans="1:20" ht="18" customHeight="1" thickBot="1">
      <c r="A58" s="2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0"/>
      <c r="O58" s="17"/>
    </row>
    <row r="59" spans="1:20" ht="18" customHeight="1">
      <c r="A59" s="9"/>
      <c r="B59" s="9"/>
      <c r="E59" s="9"/>
      <c r="G59" s="9"/>
      <c r="H59" s="9"/>
      <c r="J59" s="9"/>
      <c r="K59" s="9"/>
      <c r="L59" s="9"/>
      <c r="M59" s="9"/>
    </row>
  </sheetData>
  <sheetProtection formatCells="0" formatColumns="0" formatRows="0"/>
  <protectedRanges>
    <protectedRange sqref="C10:G10 A12:B18 B10 A10:A11 H3:N18 A3:G9 C12:G18" name="Range1"/>
  </protectedRanges>
  <dataConsolidate/>
  <mergeCells count="75">
    <mergeCell ref="B10:G10"/>
    <mergeCell ref="K11:L11"/>
    <mergeCell ref="M11:N11"/>
    <mergeCell ref="B12:G12"/>
    <mergeCell ref="K12:L12"/>
    <mergeCell ref="M12:N12"/>
    <mergeCell ref="B13:G13"/>
    <mergeCell ref="K13:L13"/>
    <mergeCell ref="M13:N13"/>
    <mergeCell ref="B14:G14"/>
    <mergeCell ref="K14:L14"/>
    <mergeCell ref="M14:N14"/>
    <mergeCell ref="B15:C15"/>
    <mergeCell ref="K15:L15"/>
    <mergeCell ref="M15:N15"/>
    <mergeCell ref="K16:L16"/>
    <mergeCell ref="M16:N16"/>
    <mergeCell ref="K19:L19"/>
    <mergeCell ref="M19:N19"/>
    <mergeCell ref="K20:L20"/>
    <mergeCell ref="M20:N20"/>
    <mergeCell ref="K21:L21"/>
    <mergeCell ref="M21:N21"/>
    <mergeCell ref="K22:L22"/>
    <mergeCell ref="M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8:N38"/>
    <mergeCell ref="K39:N39"/>
    <mergeCell ref="K40:N40"/>
    <mergeCell ref="K41:N41"/>
    <mergeCell ref="K33:N33"/>
    <mergeCell ref="K34:N34"/>
    <mergeCell ref="K35:N35"/>
    <mergeCell ref="K36:N36"/>
    <mergeCell ref="K37:N37"/>
    <mergeCell ref="D43:E43"/>
    <mergeCell ref="H43:M43"/>
    <mergeCell ref="D44:E44"/>
    <mergeCell ref="H44:M44"/>
    <mergeCell ref="D45:E45"/>
    <mergeCell ref="H45:M45"/>
    <mergeCell ref="A56:C56"/>
    <mergeCell ref="E56:J56"/>
    <mergeCell ref="R56:T56"/>
    <mergeCell ref="D46:E46"/>
    <mergeCell ref="H46:M46"/>
    <mergeCell ref="D47:E47"/>
    <mergeCell ref="H47:M47"/>
    <mergeCell ref="D48:E48"/>
    <mergeCell ref="H48:M48"/>
    <mergeCell ref="A57:C57"/>
    <mergeCell ref="R57:T57"/>
    <mergeCell ref="A19:A23"/>
    <mergeCell ref="B19:B22"/>
    <mergeCell ref="C19:C22"/>
    <mergeCell ref="D19:D22"/>
    <mergeCell ref="E19:E22"/>
    <mergeCell ref="F19:F22"/>
    <mergeCell ref="G19:G22"/>
    <mergeCell ref="H19:H22"/>
    <mergeCell ref="I19:I22"/>
    <mergeCell ref="J19:J22"/>
    <mergeCell ref="A54:C54"/>
    <mergeCell ref="R54:T54"/>
    <mergeCell ref="A55:C55"/>
    <mergeCell ref="R55:T55"/>
  </mergeCells>
  <pageMargins left="0.75" right="0.25" top="0.25" bottom="0" header="0.5" footer="0.5"/>
  <pageSetup paperSize="9" scale="80" orientation="portrait" r:id="rId1"/>
  <ignoredErrors>
    <ignoredError sqref="H23 B23:C23 D23:G23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B15:C15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" workbookViewId="0">
      <selection activeCell="B27" sqref="B27"/>
    </sheetView>
  </sheetViews>
  <sheetFormatPr defaultRowHeight="15"/>
  <cols>
    <col min="1" max="1" width="4.28515625" customWidth="1"/>
    <col min="2" max="2" width="36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1.85546875" customWidth="1"/>
  </cols>
  <sheetData>
    <row r="1" spans="1:12" s="132" customFormat="1">
      <c r="A1" s="345" t="s">
        <v>107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7"/>
    </row>
    <row r="2" spans="1:12">
      <c r="A2" s="136"/>
      <c r="B2" s="137" t="s">
        <v>7</v>
      </c>
      <c r="C2" s="341" t="s">
        <v>109</v>
      </c>
      <c r="D2" s="341"/>
      <c r="E2" s="341"/>
      <c r="F2" s="341"/>
      <c r="G2" s="341"/>
      <c r="H2" s="342" t="s">
        <v>108</v>
      </c>
      <c r="I2" s="343"/>
      <c r="J2" s="343"/>
      <c r="K2" s="343"/>
      <c r="L2" s="344"/>
    </row>
    <row r="3" spans="1:12" ht="53.25">
      <c r="A3" s="133" t="s">
        <v>8</v>
      </c>
      <c r="B3" s="133" t="s">
        <v>0</v>
      </c>
      <c r="C3" s="134" t="s">
        <v>9</v>
      </c>
      <c r="D3" s="134" t="s">
        <v>10</v>
      </c>
      <c r="E3" s="134" t="s">
        <v>11</v>
      </c>
      <c r="F3" s="134" t="s">
        <v>12</v>
      </c>
      <c r="G3" s="134" t="s">
        <v>13</v>
      </c>
      <c r="H3" s="134" t="s">
        <v>14</v>
      </c>
      <c r="I3" s="134" t="s">
        <v>15</v>
      </c>
      <c r="J3" s="134" t="s">
        <v>16</v>
      </c>
      <c r="K3" s="134" t="s">
        <v>17</v>
      </c>
      <c r="L3" s="135" t="s">
        <v>18</v>
      </c>
    </row>
    <row r="4" spans="1:12" ht="14.1" customHeight="1">
      <c r="A4" s="139">
        <v>1</v>
      </c>
      <c r="B4" s="138" t="s">
        <v>110</v>
      </c>
      <c r="C4" s="139"/>
      <c r="D4" s="139"/>
      <c r="E4" s="139"/>
      <c r="F4" s="139"/>
      <c r="G4" s="139">
        <f>SUM(C4:F4)</f>
        <v>0</v>
      </c>
      <c r="H4" s="139"/>
      <c r="I4" s="139">
        <f>G4+H4</f>
        <v>0</v>
      </c>
      <c r="J4" s="139" t="str">
        <f>IF(I4&lt;10,"",RANK(I4,I$4:I$53))</f>
        <v/>
      </c>
      <c r="K4" s="139" t="str">
        <f>IF(I4&gt;=75,"A",IF(I4&gt;=70,"B2",IF(I4&gt;=50,"C",IF(I4&gt;=45,"D",IF(I4&gt;=40,"E",IF(I4&gt;=6,"F",IF(I4&lt;5,"")))))))</f>
        <v/>
      </c>
      <c r="L4" s="139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139">
        <v>2</v>
      </c>
      <c r="B5" s="138" t="s">
        <v>111</v>
      </c>
      <c r="C5" s="139"/>
      <c r="D5" s="139"/>
      <c r="E5" s="139"/>
      <c r="F5" s="139"/>
      <c r="G5" s="139">
        <f t="shared" ref="G5:G31" si="0">SUM(C5:F5)</f>
        <v>0</v>
      </c>
      <c r="H5" s="139"/>
      <c r="I5" s="139">
        <f t="shared" ref="I5:I53" si="1">G5+H5</f>
        <v>0</v>
      </c>
      <c r="J5" s="139" t="str">
        <f t="shared" ref="J5:J53" si="2">IF(I5&lt;10,"",RANK(I5,I$4:I$53))</f>
        <v/>
      </c>
      <c r="K5" s="139" t="str">
        <f t="shared" ref="K5:K53" si="3">IF(I5&gt;=75,"A",IF(I5&gt;=70,"B2",IF(I5&gt;=50,"C",IF(I5&gt;=45,"D",IF(I5&gt;=40,"E",IF(I5&gt;=6,"F",IF(I5&lt;5,"")))))))</f>
        <v/>
      </c>
      <c r="L5" s="139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139">
        <v>3</v>
      </c>
      <c r="B6" s="138" t="s">
        <v>112</v>
      </c>
      <c r="C6" s="139"/>
      <c r="D6" s="139"/>
      <c r="E6" s="139"/>
      <c r="F6" s="139"/>
      <c r="G6" s="139">
        <f t="shared" si="0"/>
        <v>0</v>
      </c>
      <c r="H6" s="139"/>
      <c r="I6" s="139">
        <f t="shared" si="1"/>
        <v>0</v>
      </c>
      <c r="J6" s="139" t="str">
        <f t="shared" si="2"/>
        <v/>
      </c>
      <c r="K6" s="139" t="str">
        <f t="shared" si="3"/>
        <v/>
      </c>
      <c r="L6" s="139" t="str">
        <f t="shared" si="4"/>
        <v/>
      </c>
    </row>
    <row r="7" spans="1:12" ht="14.1" customHeight="1">
      <c r="A7" s="139">
        <v>4</v>
      </c>
      <c r="B7" s="138" t="s">
        <v>113</v>
      </c>
      <c r="C7" s="139"/>
      <c r="D7" s="139"/>
      <c r="E7" s="139"/>
      <c r="F7" s="139"/>
      <c r="G7" s="139">
        <f t="shared" si="0"/>
        <v>0</v>
      </c>
      <c r="H7" s="139"/>
      <c r="I7" s="139">
        <f t="shared" si="1"/>
        <v>0</v>
      </c>
      <c r="J7" s="139" t="str">
        <f t="shared" si="2"/>
        <v/>
      </c>
      <c r="K7" s="139" t="str">
        <f t="shared" si="3"/>
        <v/>
      </c>
      <c r="L7" s="139" t="str">
        <f t="shared" si="4"/>
        <v/>
      </c>
    </row>
    <row r="8" spans="1:12" ht="14.1" customHeight="1">
      <c r="A8" s="139">
        <v>5</v>
      </c>
      <c r="B8" s="138" t="s">
        <v>114</v>
      </c>
      <c r="C8" s="139"/>
      <c r="D8" s="139"/>
      <c r="E8" s="139"/>
      <c r="F8" s="139"/>
      <c r="G8" s="139">
        <f t="shared" si="0"/>
        <v>0</v>
      </c>
      <c r="H8" s="139"/>
      <c r="I8" s="139">
        <f t="shared" si="1"/>
        <v>0</v>
      </c>
      <c r="J8" s="139" t="str">
        <f t="shared" si="2"/>
        <v/>
      </c>
      <c r="K8" s="139" t="str">
        <f t="shared" si="3"/>
        <v/>
      </c>
      <c r="L8" s="139" t="str">
        <f t="shared" si="4"/>
        <v/>
      </c>
    </row>
    <row r="9" spans="1:12" ht="14.1" customHeight="1">
      <c r="A9" s="139">
        <v>6</v>
      </c>
      <c r="B9" s="140" t="s">
        <v>115</v>
      </c>
      <c r="C9" s="139"/>
      <c r="D9" s="139"/>
      <c r="E9" s="139"/>
      <c r="F9" s="139"/>
      <c r="G9" s="139">
        <f t="shared" si="0"/>
        <v>0</v>
      </c>
      <c r="H9" s="139"/>
      <c r="I9" s="139">
        <f t="shared" si="1"/>
        <v>0</v>
      </c>
      <c r="J9" s="139" t="str">
        <f t="shared" si="2"/>
        <v/>
      </c>
      <c r="K9" s="139" t="str">
        <f t="shared" si="3"/>
        <v/>
      </c>
      <c r="L9" s="139" t="str">
        <f t="shared" si="4"/>
        <v/>
      </c>
    </row>
    <row r="10" spans="1:12" ht="14.1" customHeight="1">
      <c r="A10" s="139">
        <v>7</v>
      </c>
      <c r="B10" s="138" t="s">
        <v>116</v>
      </c>
      <c r="C10" s="139"/>
      <c r="D10" s="139"/>
      <c r="E10" s="139"/>
      <c r="F10" s="139"/>
      <c r="G10" s="139">
        <f t="shared" si="0"/>
        <v>0</v>
      </c>
      <c r="H10" s="139"/>
      <c r="I10" s="139">
        <f t="shared" si="1"/>
        <v>0</v>
      </c>
      <c r="J10" s="139" t="str">
        <f t="shared" si="2"/>
        <v/>
      </c>
      <c r="K10" s="139" t="str">
        <f t="shared" si="3"/>
        <v/>
      </c>
      <c r="L10" s="139" t="str">
        <f t="shared" si="4"/>
        <v/>
      </c>
    </row>
    <row r="11" spans="1:12" ht="14.1" customHeight="1">
      <c r="A11" s="139">
        <v>8</v>
      </c>
      <c r="B11" s="138" t="s">
        <v>117</v>
      </c>
      <c r="C11" s="139"/>
      <c r="D11" s="139"/>
      <c r="E11" s="139"/>
      <c r="F11" s="139"/>
      <c r="G11" s="139">
        <f t="shared" si="0"/>
        <v>0</v>
      </c>
      <c r="H11" s="139"/>
      <c r="I11" s="139">
        <f t="shared" si="1"/>
        <v>0</v>
      </c>
      <c r="J11" s="139" t="str">
        <f t="shared" si="2"/>
        <v/>
      </c>
      <c r="K11" s="139" t="str">
        <f t="shared" si="3"/>
        <v/>
      </c>
      <c r="L11" s="139" t="str">
        <f t="shared" si="4"/>
        <v/>
      </c>
    </row>
    <row r="12" spans="1:12" ht="16.5" customHeight="1">
      <c r="A12" s="139">
        <v>9</v>
      </c>
      <c r="B12" s="138" t="s">
        <v>106</v>
      </c>
      <c r="C12" s="139"/>
      <c r="D12" s="139"/>
      <c r="E12" s="139"/>
      <c r="F12" s="139"/>
      <c r="G12" s="139">
        <f t="shared" si="0"/>
        <v>0</v>
      </c>
      <c r="H12" s="139"/>
      <c r="I12" s="139">
        <f t="shared" si="1"/>
        <v>0</v>
      </c>
      <c r="J12" s="139" t="str">
        <f t="shared" si="2"/>
        <v/>
      </c>
      <c r="K12" s="139" t="str">
        <f t="shared" si="3"/>
        <v/>
      </c>
      <c r="L12" s="139" t="str">
        <f t="shared" si="4"/>
        <v/>
      </c>
    </row>
    <row r="13" spans="1:12" ht="14.1" customHeight="1">
      <c r="A13" s="139">
        <v>10</v>
      </c>
      <c r="B13" s="138" t="s">
        <v>118</v>
      </c>
      <c r="C13" s="139"/>
      <c r="D13" s="139"/>
      <c r="E13" s="139"/>
      <c r="F13" s="139"/>
      <c r="G13" s="139">
        <f t="shared" si="0"/>
        <v>0</v>
      </c>
      <c r="H13" s="139"/>
      <c r="I13" s="139">
        <f t="shared" si="1"/>
        <v>0</v>
      </c>
      <c r="J13" s="139" t="str">
        <f t="shared" si="2"/>
        <v/>
      </c>
      <c r="K13" s="139" t="str">
        <f t="shared" si="3"/>
        <v/>
      </c>
      <c r="L13" s="139" t="str">
        <f t="shared" si="4"/>
        <v/>
      </c>
    </row>
    <row r="14" spans="1:12" ht="14.1" customHeight="1">
      <c r="A14" s="139">
        <v>11</v>
      </c>
      <c r="B14" s="138" t="s">
        <v>119</v>
      </c>
      <c r="C14" s="139"/>
      <c r="D14" s="139"/>
      <c r="E14" s="139"/>
      <c r="F14" s="139"/>
      <c r="G14" s="139">
        <f t="shared" si="0"/>
        <v>0</v>
      </c>
      <c r="H14" s="139"/>
      <c r="I14" s="139">
        <f t="shared" si="1"/>
        <v>0</v>
      </c>
      <c r="J14" s="139" t="str">
        <f t="shared" si="2"/>
        <v/>
      </c>
      <c r="K14" s="139" t="str">
        <f t="shared" si="3"/>
        <v/>
      </c>
      <c r="L14" s="139" t="str">
        <f t="shared" si="4"/>
        <v/>
      </c>
    </row>
    <row r="15" spans="1:12" ht="14.1" customHeight="1">
      <c r="A15" s="139">
        <v>12</v>
      </c>
      <c r="B15" s="138" t="s">
        <v>120</v>
      </c>
      <c r="C15" s="139"/>
      <c r="D15" s="139"/>
      <c r="E15" s="139"/>
      <c r="F15" s="139"/>
      <c r="G15" s="139">
        <f t="shared" si="0"/>
        <v>0</v>
      </c>
      <c r="H15" s="139"/>
      <c r="I15" s="139">
        <f t="shared" si="1"/>
        <v>0</v>
      </c>
      <c r="J15" s="139" t="str">
        <f t="shared" si="2"/>
        <v/>
      </c>
      <c r="K15" s="139" t="str">
        <f t="shared" si="3"/>
        <v/>
      </c>
      <c r="L15" s="139" t="str">
        <f t="shared" si="4"/>
        <v/>
      </c>
    </row>
    <row r="16" spans="1:12" ht="14.1" customHeight="1">
      <c r="A16" s="139">
        <v>13</v>
      </c>
      <c r="B16" s="138" t="s">
        <v>121</v>
      </c>
      <c r="C16" s="139"/>
      <c r="D16" s="139"/>
      <c r="E16" s="139"/>
      <c r="F16" s="139"/>
      <c r="G16" s="139">
        <f t="shared" si="0"/>
        <v>0</v>
      </c>
      <c r="H16" s="139"/>
      <c r="I16" s="139">
        <f t="shared" si="1"/>
        <v>0</v>
      </c>
      <c r="J16" s="139" t="str">
        <f t="shared" si="2"/>
        <v/>
      </c>
      <c r="K16" s="139" t="str">
        <f t="shared" si="3"/>
        <v/>
      </c>
      <c r="L16" s="139" t="str">
        <f t="shared" si="4"/>
        <v/>
      </c>
    </row>
    <row r="17" spans="1:12" ht="14.1" customHeight="1">
      <c r="A17" s="139">
        <v>14</v>
      </c>
      <c r="B17" s="138" t="s">
        <v>122</v>
      </c>
      <c r="C17" s="139"/>
      <c r="D17" s="139"/>
      <c r="E17" s="139"/>
      <c r="F17" s="139"/>
      <c r="G17" s="139">
        <f t="shared" si="0"/>
        <v>0</v>
      </c>
      <c r="H17" s="139"/>
      <c r="I17" s="139">
        <f t="shared" si="1"/>
        <v>0</v>
      </c>
      <c r="J17" s="139" t="str">
        <f t="shared" si="2"/>
        <v/>
      </c>
      <c r="K17" s="139" t="str">
        <f t="shared" si="3"/>
        <v/>
      </c>
      <c r="L17" s="139" t="str">
        <f t="shared" si="4"/>
        <v/>
      </c>
    </row>
    <row r="18" spans="1:12" ht="14.1" customHeight="1">
      <c r="A18" s="139">
        <v>15</v>
      </c>
      <c r="B18" s="138" t="s">
        <v>123</v>
      </c>
      <c r="C18" s="139"/>
      <c r="D18" s="139"/>
      <c r="E18" s="139"/>
      <c r="F18" s="139"/>
      <c r="G18" s="139">
        <f t="shared" si="0"/>
        <v>0</v>
      </c>
      <c r="H18" s="139"/>
      <c r="I18" s="139">
        <f t="shared" si="1"/>
        <v>0</v>
      </c>
      <c r="J18" s="139" t="str">
        <f t="shared" si="2"/>
        <v/>
      </c>
      <c r="K18" s="139" t="str">
        <f t="shared" si="3"/>
        <v/>
      </c>
      <c r="L18" s="139" t="str">
        <f t="shared" si="4"/>
        <v/>
      </c>
    </row>
    <row r="19" spans="1:12" ht="14.1" customHeight="1">
      <c r="A19" s="139">
        <v>16</v>
      </c>
      <c r="B19" s="138" t="s">
        <v>124</v>
      </c>
      <c r="C19" s="139"/>
      <c r="D19" s="139"/>
      <c r="E19" s="139"/>
      <c r="F19" s="139"/>
      <c r="G19" s="139">
        <f t="shared" si="0"/>
        <v>0</v>
      </c>
      <c r="H19" s="139"/>
      <c r="I19" s="139">
        <f t="shared" si="1"/>
        <v>0</v>
      </c>
      <c r="J19" s="139" t="str">
        <f t="shared" si="2"/>
        <v/>
      </c>
      <c r="K19" s="139" t="str">
        <f t="shared" si="3"/>
        <v/>
      </c>
      <c r="L19" s="139" t="str">
        <f t="shared" si="4"/>
        <v/>
      </c>
    </row>
    <row r="20" spans="1:12" ht="14.1" customHeight="1">
      <c r="A20" s="139">
        <v>17</v>
      </c>
      <c r="B20" s="138" t="s">
        <v>125</v>
      </c>
      <c r="C20" s="139"/>
      <c r="D20" s="139"/>
      <c r="E20" s="139"/>
      <c r="F20" s="139"/>
      <c r="G20" s="139">
        <f t="shared" si="0"/>
        <v>0</v>
      </c>
      <c r="H20" s="139"/>
      <c r="I20" s="139">
        <f t="shared" si="1"/>
        <v>0</v>
      </c>
      <c r="J20" s="139" t="str">
        <f t="shared" si="2"/>
        <v/>
      </c>
      <c r="K20" s="139" t="str">
        <f t="shared" si="3"/>
        <v/>
      </c>
      <c r="L20" s="139" t="str">
        <f t="shared" si="4"/>
        <v/>
      </c>
    </row>
    <row r="21" spans="1:12" ht="14.1" customHeight="1">
      <c r="A21" s="139">
        <v>18</v>
      </c>
      <c r="B21" s="138" t="s">
        <v>126</v>
      </c>
      <c r="C21" s="139"/>
      <c r="D21" s="139"/>
      <c r="E21" s="139"/>
      <c r="F21" s="139"/>
      <c r="G21" s="139">
        <f t="shared" si="0"/>
        <v>0</v>
      </c>
      <c r="H21" s="139"/>
      <c r="I21" s="139">
        <f t="shared" si="1"/>
        <v>0</v>
      </c>
      <c r="J21" s="139" t="str">
        <f t="shared" si="2"/>
        <v/>
      </c>
      <c r="K21" s="139" t="str">
        <f t="shared" si="3"/>
        <v/>
      </c>
      <c r="L21" s="139" t="str">
        <f t="shared" si="4"/>
        <v/>
      </c>
    </row>
    <row r="22" spans="1:12" ht="14.1" customHeight="1">
      <c r="A22" s="139">
        <v>19</v>
      </c>
      <c r="B22" s="138" t="s">
        <v>127</v>
      </c>
      <c r="C22" s="139"/>
      <c r="D22" s="139"/>
      <c r="E22" s="139"/>
      <c r="F22" s="139"/>
      <c r="G22" s="139">
        <f t="shared" si="0"/>
        <v>0</v>
      </c>
      <c r="H22" s="139"/>
      <c r="I22" s="139">
        <f t="shared" si="1"/>
        <v>0</v>
      </c>
      <c r="J22" s="139" t="str">
        <f t="shared" si="2"/>
        <v/>
      </c>
      <c r="K22" s="139" t="str">
        <f t="shared" si="3"/>
        <v/>
      </c>
      <c r="L22" s="139" t="str">
        <f t="shared" si="4"/>
        <v/>
      </c>
    </row>
    <row r="23" spans="1:12" ht="14.1" customHeight="1">
      <c r="A23" s="139">
        <v>20</v>
      </c>
      <c r="B23" s="138" t="s">
        <v>128</v>
      </c>
      <c r="C23" s="139"/>
      <c r="D23" s="139"/>
      <c r="E23" s="139"/>
      <c r="F23" s="139"/>
      <c r="G23" s="139">
        <f t="shared" si="0"/>
        <v>0</v>
      </c>
      <c r="H23" s="139"/>
      <c r="I23" s="139">
        <f t="shared" si="1"/>
        <v>0</v>
      </c>
      <c r="J23" s="139" t="str">
        <f t="shared" si="2"/>
        <v/>
      </c>
      <c r="K23" s="139" t="str">
        <f t="shared" si="3"/>
        <v/>
      </c>
      <c r="L23" s="139" t="str">
        <f t="shared" si="4"/>
        <v/>
      </c>
    </row>
    <row r="24" spans="1:12" ht="14.1" customHeight="1">
      <c r="A24" s="139">
        <v>21</v>
      </c>
      <c r="B24" s="138" t="s">
        <v>129</v>
      </c>
      <c r="C24" s="139"/>
      <c r="D24" s="139"/>
      <c r="E24" s="139"/>
      <c r="F24" s="139"/>
      <c r="G24" s="139">
        <f t="shared" si="0"/>
        <v>0</v>
      </c>
      <c r="H24" s="139"/>
      <c r="I24" s="139">
        <f t="shared" si="1"/>
        <v>0</v>
      </c>
      <c r="J24" s="139" t="str">
        <f t="shared" si="2"/>
        <v/>
      </c>
      <c r="K24" s="139" t="str">
        <f t="shared" si="3"/>
        <v/>
      </c>
      <c r="L24" s="139" t="str">
        <f t="shared" si="4"/>
        <v/>
      </c>
    </row>
    <row r="25" spans="1:12" ht="14.1" customHeight="1">
      <c r="A25" s="139">
        <v>22</v>
      </c>
      <c r="B25" s="140" t="s">
        <v>130</v>
      </c>
      <c r="C25" s="139"/>
      <c r="D25" s="139"/>
      <c r="E25" s="139"/>
      <c r="F25" s="139"/>
      <c r="G25" s="139">
        <f t="shared" si="0"/>
        <v>0</v>
      </c>
      <c r="H25" s="139"/>
      <c r="I25" s="139">
        <f t="shared" si="1"/>
        <v>0</v>
      </c>
      <c r="J25" s="139" t="str">
        <f t="shared" si="2"/>
        <v/>
      </c>
      <c r="K25" s="139" t="str">
        <f t="shared" si="3"/>
        <v/>
      </c>
      <c r="L25" s="139" t="str">
        <f t="shared" si="4"/>
        <v/>
      </c>
    </row>
    <row r="26" spans="1:12" ht="14.1" customHeight="1">
      <c r="A26" s="139">
        <v>23</v>
      </c>
      <c r="B26" s="140" t="s">
        <v>131</v>
      </c>
      <c r="C26" s="139"/>
      <c r="D26" s="139"/>
      <c r="E26" s="139"/>
      <c r="F26" s="139"/>
      <c r="G26" s="139">
        <f t="shared" si="0"/>
        <v>0</v>
      </c>
      <c r="H26" s="139"/>
      <c r="I26" s="139">
        <f t="shared" si="1"/>
        <v>0</v>
      </c>
      <c r="J26" s="139" t="str">
        <f t="shared" si="2"/>
        <v/>
      </c>
      <c r="K26" s="139" t="str">
        <f t="shared" si="3"/>
        <v/>
      </c>
      <c r="L26" s="139" t="str">
        <f t="shared" si="4"/>
        <v/>
      </c>
    </row>
    <row r="27" spans="1:12" ht="14.1" customHeight="1">
      <c r="A27" s="139">
        <v>24</v>
      </c>
      <c r="B27" s="138" t="s">
        <v>132</v>
      </c>
      <c r="C27" s="139"/>
      <c r="D27" s="139"/>
      <c r="E27" s="139"/>
      <c r="F27" s="139"/>
      <c r="G27" s="139">
        <f t="shared" si="0"/>
        <v>0</v>
      </c>
      <c r="H27" s="139"/>
      <c r="I27" s="139">
        <f t="shared" si="1"/>
        <v>0</v>
      </c>
      <c r="J27" s="139" t="str">
        <f t="shared" si="2"/>
        <v/>
      </c>
      <c r="K27" s="139" t="str">
        <f t="shared" si="3"/>
        <v/>
      </c>
      <c r="L27" s="139" t="str">
        <f t="shared" si="4"/>
        <v/>
      </c>
    </row>
    <row r="28" spans="1:12" ht="14.1" customHeight="1">
      <c r="A28" s="139">
        <v>25</v>
      </c>
      <c r="B28" s="138" t="s">
        <v>133</v>
      </c>
      <c r="C28" s="139"/>
      <c r="D28" s="139"/>
      <c r="E28" s="139"/>
      <c r="F28" s="139"/>
      <c r="G28" s="139">
        <f t="shared" si="0"/>
        <v>0</v>
      </c>
      <c r="H28" s="139"/>
      <c r="I28" s="139">
        <f t="shared" si="1"/>
        <v>0</v>
      </c>
      <c r="J28" s="139" t="str">
        <f t="shared" si="2"/>
        <v/>
      </c>
      <c r="K28" s="139" t="str">
        <f t="shared" si="3"/>
        <v/>
      </c>
      <c r="L28" s="139" t="str">
        <f t="shared" si="4"/>
        <v/>
      </c>
    </row>
    <row r="29" spans="1:12" ht="14.1" customHeight="1">
      <c r="A29" s="139">
        <v>26</v>
      </c>
      <c r="B29" s="138" t="s">
        <v>134</v>
      </c>
      <c r="C29" s="139"/>
      <c r="D29" s="139"/>
      <c r="E29" s="139"/>
      <c r="F29" s="139"/>
      <c r="G29" s="139">
        <f t="shared" si="0"/>
        <v>0</v>
      </c>
      <c r="H29" s="139"/>
      <c r="I29" s="139">
        <f t="shared" si="1"/>
        <v>0</v>
      </c>
      <c r="J29" s="139" t="str">
        <f t="shared" si="2"/>
        <v/>
      </c>
      <c r="K29" s="139" t="str">
        <f t="shared" si="3"/>
        <v/>
      </c>
      <c r="L29" s="139" t="str">
        <f t="shared" si="4"/>
        <v/>
      </c>
    </row>
    <row r="30" spans="1:12" ht="14.1" customHeight="1">
      <c r="A30" s="139">
        <v>27</v>
      </c>
      <c r="B30" s="138" t="s">
        <v>135</v>
      </c>
      <c r="C30" s="139"/>
      <c r="D30" s="139"/>
      <c r="E30" s="139"/>
      <c r="F30" s="139"/>
      <c r="G30" s="139">
        <f t="shared" si="0"/>
        <v>0</v>
      </c>
      <c r="H30" s="139"/>
      <c r="I30" s="139">
        <f t="shared" si="1"/>
        <v>0</v>
      </c>
      <c r="J30" s="139" t="str">
        <f t="shared" si="2"/>
        <v/>
      </c>
      <c r="K30" s="139" t="str">
        <f t="shared" si="3"/>
        <v/>
      </c>
      <c r="L30" s="139" t="str">
        <f t="shared" si="4"/>
        <v/>
      </c>
    </row>
    <row r="31" spans="1:12" ht="14.1" customHeight="1">
      <c r="A31" s="139">
        <v>28</v>
      </c>
      <c r="B31" s="138" t="s">
        <v>136</v>
      </c>
      <c r="C31" s="139"/>
      <c r="D31" s="139"/>
      <c r="E31" s="139"/>
      <c r="F31" s="139"/>
      <c r="G31" s="139">
        <f t="shared" si="0"/>
        <v>0</v>
      </c>
      <c r="H31" s="139"/>
      <c r="I31" s="139">
        <f t="shared" si="1"/>
        <v>0</v>
      </c>
      <c r="J31" s="139" t="str">
        <f t="shared" si="2"/>
        <v/>
      </c>
      <c r="K31" s="139" t="str">
        <f t="shared" si="3"/>
        <v/>
      </c>
      <c r="L31" s="139" t="str">
        <f t="shared" si="4"/>
        <v/>
      </c>
    </row>
    <row r="32" spans="1:12" ht="14.1" customHeight="1">
      <c r="A32" s="139">
        <v>29</v>
      </c>
      <c r="B32" s="138" t="s">
        <v>137</v>
      </c>
      <c r="C32" s="139"/>
      <c r="D32" s="139"/>
      <c r="E32" s="139"/>
      <c r="F32" s="139"/>
      <c r="G32" s="139">
        <f t="shared" ref="G32:G53" si="5">SUM(C32:F32)</f>
        <v>0</v>
      </c>
      <c r="H32" s="139"/>
      <c r="I32" s="139">
        <f t="shared" si="1"/>
        <v>0</v>
      </c>
      <c r="J32" s="139" t="str">
        <f t="shared" si="2"/>
        <v/>
      </c>
      <c r="K32" s="139" t="str">
        <f t="shared" si="3"/>
        <v/>
      </c>
      <c r="L32" s="139" t="str">
        <f t="shared" si="4"/>
        <v/>
      </c>
    </row>
    <row r="33" spans="1:12" ht="14.1" customHeight="1">
      <c r="A33" s="139">
        <v>30</v>
      </c>
      <c r="B33" s="140" t="s">
        <v>138</v>
      </c>
      <c r="C33" s="139"/>
      <c r="D33" s="139"/>
      <c r="E33" s="139"/>
      <c r="F33" s="139"/>
      <c r="G33" s="139">
        <f t="shared" si="5"/>
        <v>0</v>
      </c>
      <c r="H33" s="139"/>
      <c r="I33" s="139">
        <f t="shared" si="1"/>
        <v>0</v>
      </c>
      <c r="J33" s="139" t="str">
        <f t="shared" si="2"/>
        <v/>
      </c>
      <c r="K33" s="139" t="str">
        <f t="shared" si="3"/>
        <v/>
      </c>
      <c r="L33" s="139" t="str">
        <f t="shared" si="4"/>
        <v/>
      </c>
    </row>
    <row r="34" spans="1:12" ht="14.1" customHeight="1">
      <c r="A34" s="139">
        <v>31</v>
      </c>
      <c r="B34" s="138" t="s">
        <v>139</v>
      </c>
      <c r="C34" s="139"/>
      <c r="D34" s="139"/>
      <c r="E34" s="139"/>
      <c r="F34" s="139"/>
      <c r="G34" s="139">
        <f t="shared" si="5"/>
        <v>0</v>
      </c>
      <c r="H34" s="139"/>
      <c r="I34" s="139">
        <f t="shared" si="1"/>
        <v>0</v>
      </c>
      <c r="J34" s="139" t="str">
        <f t="shared" si="2"/>
        <v/>
      </c>
      <c r="K34" s="139" t="str">
        <f t="shared" si="3"/>
        <v/>
      </c>
      <c r="L34" s="139" t="str">
        <f t="shared" si="4"/>
        <v/>
      </c>
    </row>
    <row r="35" spans="1:12" ht="14.1" customHeight="1">
      <c r="A35" s="139">
        <v>32</v>
      </c>
      <c r="B35" s="140" t="s">
        <v>140</v>
      </c>
      <c r="C35" s="139"/>
      <c r="D35" s="139"/>
      <c r="E35" s="139"/>
      <c r="F35" s="139"/>
      <c r="G35" s="139">
        <f t="shared" si="5"/>
        <v>0</v>
      </c>
      <c r="H35" s="139"/>
      <c r="I35" s="139">
        <f t="shared" si="1"/>
        <v>0</v>
      </c>
      <c r="J35" s="139" t="str">
        <f t="shared" si="2"/>
        <v/>
      </c>
      <c r="K35" s="139" t="str">
        <f t="shared" si="3"/>
        <v/>
      </c>
      <c r="L35" s="139" t="str">
        <f t="shared" si="4"/>
        <v/>
      </c>
    </row>
    <row r="36" spans="1:12" ht="14.1" customHeight="1">
      <c r="A36" s="139">
        <v>33</v>
      </c>
      <c r="B36" s="138" t="s">
        <v>141</v>
      </c>
      <c r="C36" s="139"/>
      <c r="D36" s="139"/>
      <c r="E36" s="139"/>
      <c r="F36" s="139"/>
      <c r="G36" s="139">
        <f t="shared" si="5"/>
        <v>0</v>
      </c>
      <c r="H36" s="139"/>
      <c r="I36" s="139">
        <f t="shared" si="1"/>
        <v>0</v>
      </c>
      <c r="J36" s="139" t="str">
        <f t="shared" si="2"/>
        <v/>
      </c>
      <c r="K36" s="139" t="str">
        <f t="shared" si="3"/>
        <v/>
      </c>
      <c r="L36" s="139" t="str">
        <f t="shared" si="4"/>
        <v/>
      </c>
    </row>
    <row r="37" spans="1:12" ht="14.1" customHeight="1">
      <c r="A37" s="139">
        <v>34</v>
      </c>
      <c r="B37" s="138" t="s">
        <v>142</v>
      </c>
      <c r="C37" s="139"/>
      <c r="D37" s="139"/>
      <c r="E37" s="139"/>
      <c r="F37" s="139"/>
      <c r="G37" s="139">
        <f t="shared" si="5"/>
        <v>0</v>
      </c>
      <c r="H37" s="139"/>
      <c r="I37" s="139">
        <f t="shared" si="1"/>
        <v>0</v>
      </c>
      <c r="J37" s="139" t="str">
        <f t="shared" si="2"/>
        <v/>
      </c>
      <c r="K37" s="139" t="str">
        <f t="shared" si="3"/>
        <v/>
      </c>
      <c r="L37" s="139" t="str">
        <f t="shared" si="4"/>
        <v/>
      </c>
    </row>
    <row r="38" spans="1:12" ht="14.1" customHeight="1">
      <c r="A38" s="139">
        <v>35</v>
      </c>
      <c r="B38" s="138" t="s">
        <v>143</v>
      </c>
      <c r="C38" s="139"/>
      <c r="D38" s="139"/>
      <c r="E38" s="139"/>
      <c r="F38" s="139"/>
      <c r="G38" s="139">
        <f t="shared" si="5"/>
        <v>0</v>
      </c>
      <c r="H38" s="139"/>
      <c r="I38" s="139">
        <f t="shared" si="1"/>
        <v>0</v>
      </c>
      <c r="J38" s="139" t="str">
        <f t="shared" si="2"/>
        <v/>
      </c>
      <c r="K38" s="139" t="str">
        <f t="shared" si="3"/>
        <v/>
      </c>
      <c r="L38" s="139" t="str">
        <f t="shared" si="4"/>
        <v/>
      </c>
    </row>
    <row r="39" spans="1:12" ht="14.1" customHeight="1">
      <c r="A39" s="139">
        <v>36</v>
      </c>
      <c r="B39" s="138" t="s">
        <v>144</v>
      </c>
      <c r="C39" s="139"/>
      <c r="D39" s="139"/>
      <c r="E39" s="139"/>
      <c r="F39" s="139"/>
      <c r="G39" s="139">
        <f t="shared" si="5"/>
        <v>0</v>
      </c>
      <c r="H39" s="139"/>
      <c r="I39" s="139">
        <f t="shared" si="1"/>
        <v>0</v>
      </c>
      <c r="J39" s="139" t="str">
        <f t="shared" si="2"/>
        <v/>
      </c>
      <c r="K39" s="139" t="str">
        <f t="shared" si="3"/>
        <v/>
      </c>
      <c r="L39" s="139" t="str">
        <f t="shared" si="4"/>
        <v/>
      </c>
    </row>
    <row r="40" spans="1:12" ht="14.1" customHeight="1">
      <c r="A40" s="139">
        <v>37</v>
      </c>
      <c r="B40" s="138" t="s">
        <v>145</v>
      </c>
      <c r="C40" s="139"/>
      <c r="D40" s="139"/>
      <c r="E40" s="139"/>
      <c r="F40" s="139"/>
      <c r="G40" s="139">
        <f t="shared" si="5"/>
        <v>0</v>
      </c>
      <c r="H40" s="139"/>
      <c r="I40" s="139">
        <f t="shared" si="1"/>
        <v>0</v>
      </c>
      <c r="J40" s="139" t="str">
        <f t="shared" si="2"/>
        <v/>
      </c>
      <c r="K40" s="139" t="str">
        <f t="shared" si="3"/>
        <v/>
      </c>
      <c r="L40" s="139" t="str">
        <f t="shared" si="4"/>
        <v/>
      </c>
    </row>
    <row r="41" spans="1:12" ht="14.1" customHeight="1">
      <c r="A41" s="139">
        <v>38</v>
      </c>
      <c r="B41" s="138" t="s">
        <v>146</v>
      </c>
      <c r="C41" s="139"/>
      <c r="D41" s="139"/>
      <c r="E41" s="139"/>
      <c r="F41" s="139"/>
      <c r="G41" s="139">
        <f t="shared" si="5"/>
        <v>0</v>
      </c>
      <c r="H41" s="139"/>
      <c r="I41" s="139">
        <f t="shared" si="1"/>
        <v>0</v>
      </c>
      <c r="J41" s="139" t="str">
        <f t="shared" si="2"/>
        <v/>
      </c>
      <c r="K41" s="139" t="str">
        <f t="shared" si="3"/>
        <v/>
      </c>
      <c r="L41" s="139" t="str">
        <f t="shared" si="4"/>
        <v/>
      </c>
    </row>
    <row r="42" spans="1:12" ht="14.1" customHeight="1">
      <c r="A42" s="139">
        <v>39</v>
      </c>
      <c r="B42" s="138" t="s">
        <v>147</v>
      </c>
      <c r="C42" s="139"/>
      <c r="D42" s="139"/>
      <c r="E42" s="139"/>
      <c r="F42" s="139"/>
      <c r="G42" s="139">
        <f t="shared" si="5"/>
        <v>0</v>
      </c>
      <c r="H42" s="139"/>
      <c r="I42" s="139">
        <f t="shared" si="1"/>
        <v>0</v>
      </c>
      <c r="J42" s="139" t="str">
        <f t="shared" si="2"/>
        <v/>
      </c>
      <c r="K42" s="139" t="str">
        <f t="shared" si="3"/>
        <v/>
      </c>
      <c r="L42" s="139" t="str">
        <f t="shared" si="4"/>
        <v/>
      </c>
    </row>
    <row r="43" spans="1:12" ht="14.1" customHeight="1">
      <c r="A43" s="139">
        <v>40</v>
      </c>
      <c r="B43" s="138" t="s">
        <v>148</v>
      </c>
      <c r="C43" s="139"/>
      <c r="D43" s="139"/>
      <c r="E43" s="139"/>
      <c r="F43" s="139"/>
      <c r="G43" s="139">
        <f t="shared" si="5"/>
        <v>0</v>
      </c>
      <c r="H43" s="139"/>
      <c r="I43" s="139">
        <f t="shared" si="1"/>
        <v>0</v>
      </c>
      <c r="J43" s="139" t="str">
        <f t="shared" si="2"/>
        <v/>
      </c>
      <c r="K43" s="139" t="str">
        <f t="shared" si="3"/>
        <v/>
      </c>
      <c r="L43" s="139" t="str">
        <f t="shared" si="4"/>
        <v/>
      </c>
    </row>
    <row r="44" spans="1:12" ht="14.1" customHeight="1">
      <c r="A44" s="139">
        <v>41</v>
      </c>
      <c r="B44" s="138" t="s">
        <v>149</v>
      </c>
      <c r="C44" s="139"/>
      <c r="D44" s="139"/>
      <c r="E44" s="139"/>
      <c r="F44" s="139"/>
      <c r="G44" s="139">
        <f t="shared" si="5"/>
        <v>0</v>
      </c>
      <c r="H44" s="139"/>
      <c r="I44" s="139">
        <f t="shared" si="1"/>
        <v>0</v>
      </c>
      <c r="J44" s="139" t="str">
        <f t="shared" si="2"/>
        <v/>
      </c>
      <c r="K44" s="139" t="str">
        <f t="shared" si="3"/>
        <v/>
      </c>
      <c r="L44" s="139" t="str">
        <f t="shared" si="4"/>
        <v/>
      </c>
    </row>
    <row r="45" spans="1:12" ht="14.1" customHeight="1">
      <c r="A45" s="139">
        <v>42</v>
      </c>
      <c r="B45" s="138" t="s">
        <v>150</v>
      </c>
      <c r="C45" s="139"/>
      <c r="D45" s="139"/>
      <c r="E45" s="139"/>
      <c r="F45" s="139"/>
      <c r="G45" s="139">
        <f t="shared" si="5"/>
        <v>0</v>
      </c>
      <c r="H45" s="139"/>
      <c r="I45" s="139">
        <f t="shared" si="1"/>
        <v>0</v>
      </c>
      <c r="J45" s="139" t="str">
        <f t="shared" si="2"/>
        <v/>
      </c>
      <c r="K45" s="139" t="str">
        <f t="shared" si="3"/>
        <v/>
      </c>
      <c r="L45" s="139" t="str">
        <f t="shared" si="4"/>
        <v/>
      </c>
    </row>
    <row r="46" spans="1:12" ht="14.1" customHeight="1">
      <c r="A46" s="139">
        <v>43</v>
      </c>
      <c r="B46" s="138" t="s">
        <v>151</v>
      </c>
      <c r="C46" s="139"/>
      <c r="D46" s="139"/>
      <c r="E46" s="139"/>
      <c r="F46" s="139"/>
      <c r="G46" s="139">
        <f t="shared" si="5"/>
        <v>0</v>
      </c>
      <c r="H46" s="139"/>
      <c r="I46" s="139">
        <f t="shared" si="1"/>
        <v>0</v>
      </c>
      <c r="J46" s="139" t="str">
        <f t="shared" si="2"/>
        <v/>
      </c>
      <c r="K46" s="139" t="str">
        <f t="shared" si="3"/>
        <v/>
      </c>
      <c r="L46" s="139" t="str">
        <f t="shared" si="4"/>
        <v/>
      </c>
    </row>
    <row r="47" spans="1:12" ht="14.1" customHeight="1">
      <c r="A47" s="139">
        <v>44</v>
      </c>
      <c r="B47" s="138" t="s">
        <v>152</v>
      </c>
      <c r="C47" s="139"/>
      <c r="D47" s="139"/>
      <c r="E47" s="139"/>
      <c r="F47" s="139"/>
      <c r="G47" s="139">
        <f t="shared" si="5"/>
        <v>0</v>
      </c>
      <c r="H47" s="139"/>
      <c r="I47" s="139">
        <f t="shared" si="1"/>
        <v>0</v>
      </c>
      <c r="J47" s="139" t="str">
        <f t="shared" si="2"/>
        <v/>
      </c>
      <c r="K47" s="139" t="str">
        <f t="shared" si="3"/>
        <v/>
      </c>
      <c r="L47" s="139" t="str">
        <f t="shared" si="4"/>
        <v/>
      </c>
    </row>
    <row r="48" spans="1:12" ht="14.1" customHeight="1">
      <c r="A48" s="139">
        <v>45</v>
      </c>
      <c r="B48" s="141"/>
      <c r="C48" s="139"/>
      <c r="D48" s="139"/>
      <c r="E48" s="139"/>
      <c r="F48" s="139"/>
      <c r="G48" s="139">
        <f t="shared" si="5"/>
        <v>0</v>
      </c>
      <c r="H48" s="139"/>
      <c r="I48" s="139">
        <f t="shared" si="1"/>
        <v>0</v>
      </c>
      <c r="J48" s="139" t="str">
        <f t="shared" si="2"/>
        <v/>
      </c>
      <c r="K48" s="139" t="str">
        <f t="shared" si="3"/>
        <v/>
      </c>
      <c r="L48" s="139" t="str">
        <f t="shared" si="4"/>
        <v/>
      </c>
    </row>
    <row r="49" spans="1:12" ht="14.1" customHeight="1">
      <c r="A49" s="139">
        <v>46</v>
      </c>
      <c r="B49" s="141"/>
      <c r="C49" s="139"/>
      <c r="D49" s="139"/>
      <c r="E49" s="139"/>
      <c r="F49" s="139"/>
      <c r="G49" s="139">
        <f t="shared" si="5"/>
        <v>0</v>
      </c>
      <c r="H49" s="139"/>
      <c r="I49" s="139">
        <f t="shared" si="1"/>
        <v>0</v>
      </c>
      <c r="J49" s="139" t="str">
        <f t="shared" si="2"/>
        <v/>
      </c>
      <c r="K49" s="139" t="str">
        <f t="shared" si="3"/>
        <v/>
      </c>
      <c r="L49" s="139" t="str">
        <f t="shared" si="4"/>
        <v/>
      </c>
    </row>
    <row r="50" spans="1:12" ht="14.1" customHeight="1">
      <c r="A50" s="139">
        <v>47</v>
      </c>
      <c r="B50" s="139"/>
      <c r="C50" s="139"/>
      <c r="D50" s="139"/>
      <c r="E50" s="139"/>
      <c r="F50" s="139"/>
      <c r="G50" s="139">
        <f t="shared" si="5"/>
        <v>0</v>
      </c>
      <c r="H50" s="139"/>
      <c r="I50" s="139">
        <f t="shared" si="1"/>
        <v>0</v>
      </c>
      <c r="J50" s="139" t="str">
        <f t="shared" si="2"/>
        <v/>
      </c>
      <c r="K50" s="139" t="str">
        <f t="shared" si="3"/>
        <v/>
      </c>
      <c r="L50" s="139" t="str">
        <f t="shared" si="4"/>
        <v/>
      </c>
    </row>
    <row r="51" spans="1:12" ht="14.1" customHeight="1">
      <c r="A51" s="139">
        <v>48</v>
      </c>
      <c r="B51" s="139"/>
      <c r="C51" s="139"/>
      <c r="D51" s="139"/>
      <c r="E51" s="139"/>
      <c r="F51" s="139"/>
      <c r="G51" s="139">
        <f t="shared" si="5"/>
        <v>0</v>
      </c>
      <c r="H51" s="139"/>
      <c r="I51" s="139">
        <f t="shared" si="1"/>
        <v>0</v>
      </c>
      <c r="J51" s="139" t="str">
        <f t="shared" si="2"/>
        <v/>
      </c>
      <c r="K51" s="139" t="str">
        <f t="shared" si="3"/>
        <v/>
      </c>
      <c r="L51" s="139" t="str">
        <f t="shared" si="4"/>
        <v/>
      </c>
    </row>
    <row r="52" spans="1:12" ht="14.1" customHeight="1">
      <c r="A52" s="139">
        <v>49</v>
      </c>
      <c r="B52" s="139"/>
      <c r="C52" s="139"/>
      <c r="D52" s="139"/>
      <c r="E52" s="139"/>
      <c r="F52" s="139"/>
      <c r="G52" s="139">
        <f t="shared" si="5"/>
        <v>0</v>
      </c>
      <c r="H52" s="139"/>
      <c r="I52" s="139">
        <f t="shared" si="1"/>
        <v>0</v>
      </c>
      <c r="J52" s="139" t="str">
        <f t="shared" si="2"/>
        <v/>
      </c>
      <c r="K52" s="139" t="str">
        <f t="shared" si="3"/>
        <v/>
      </c>
      <c r="L52" s="139" t="str">
        <f t="shared" si="4"/>
        <v/>
      </c>
    </row>
    <row r="53" spans="1:12" ht="14.1" customHeight="1">
      <c r="A53" s="139">
        <v>50</v>
      </c>
      <c r="B53" s="139"/>
      <c r="C53" s="139"/>
      <c r="D53" s="139"/>
      <c r="E53" s="139"/>
      <c r="F53" s="139"/>
      <c r="G53" s="139">
        <f t="shared" si="5"/>
        <v>0</v>
      </c>
      <c r="H53" s="139"/>
      <c r="I53" s="139">
        <f t="shared" si="1"/>
        <v>0</v>
      </c>
      <c r="J53" s="139" t="str">
        <f t="shared" si="2"/>
        <v/>
      </c>
      <c r="K53" s="139" t="str">
        <f t="shared" si="3"/>
        <v/>
      </c>
      <c r="L53" s="139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C2:G2"/>
    <mergeCell ref="H2:L2"/>
    <mergeCell ref="A1:L1"/>
  </mergeCells>
  <pageMargins left="0.51181102362204722" right="0.11811023622047245" top="0.35433070866141736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opLeftCell="D1" workbookViewId="0">
      <selection activeCell="H7" sqref="H7"/>
    </sheetView>
  </sheetViews>
  <sheetFormatPr defaultRowHeight="15"/>
  <cols>
    <col min="1" max="1" width="20.425781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2" t="s">
        <v>222</v>
      </c>
      <c r="B1" s="110" t="s">
        <v>36</v>
      </c>
      <c r="C1" s="110" t="s">
        <v>63</v>
      </c>
      <c r="D1" s="110" t="s">
        <v>86</v>
      </c>
      <c r="E1" s="110" t="s">
        <v>87</v>
      </c>
      <c r="F1" s="110" t="s">
        <v>94</v>
      </c>
      <c r="G1" s="110" t="s">
        <v>65</v>
      </c>
      <c r="H1" s="110" t="s">
        <v>88</v>
      </c>
      <c r="I1" s="110" t="s">
        <v>89</v>
      </c>
      <c r="J1" s="110" t="s">
        <v>68</v>
      </c>
      <c r="K1" s="110" t="s">
        <v>90</v>
      </c>
      <c r="L1" s="110" t="s">
        <v>91</v>
      </c>
      <c r="M1" s="110" t="s">
        <v>66</v>
      </c>
      <c r="N1" s="110" t="s">
        <v>69</v>
      </c>
      <c r="O1" s="110" t="s">
        <v>67</v>
      </c>
      <c r="P1" s="110" t="s">
        <v>70</v>
      </c>
      <c r="Q1" s="110" t="s">
        <v>92</v>
      </c>
      <c r="R1" s="110" t="s">
        <v>64</v>
      </c>
      <c r="S1" s="110" t="s">
        <v>84</v>
      </c>
      <c r="T1" s="109" t="s">
        <v>15</v>
      </c>
      <c r="U1" s="109" t="s">
        <v>97</v>
      </c>
      <c r="V1" s="181" t="s">
        <v>16</v>
      </c>
    </row>
    <row r="2" spans="1:22">
      <c r="A2" s="211">
        <v>1</v>
      </c>
      <c r="B2" s="3">
        <f>Scoresheet!I3</f>
        <v>55</v>
      </c>
      <c r="C2" s="3">
        <f>Scoresheet!Q3</f>
        <v>57</v>
      </c>
      <c r="D2" s="3">
        <f>Scoresheet!Y3</f>
        <v>49</v>
      </c>
      <c r="E2" s="3">
        <f>Scoresheet!AJ3</f>
        <v>0</v>
      </c>
      <c r="F2" s="3">
        <f>Scoresheet!AR3</f>
        <v>41</v>
      </c>
      <c r="G2" s="3">
        <f>Scoresheet!AZ3</f>
        <v>40</v>
      </c>
      <c r="H2" s="3">
        <f>Scoresheet!BH3</f>
        <v>53</v>
      </c>
      <c r="I2" s="3">
        <f>Scoresheet!BP3</f>
        <v>45</v>
      </c>
      <c r="J2" s="3">
        <f>Scoresheet!BX3</f>
        <v>58</v>
      </c>
      <c r="K2" s="3">
        <f>Scoresheet!CF3</f>
        <v>60</v>
      </c>
      <c r="L2" s="3">
        <f>Scoresheet!CN3</f>
        <v>46</v>
      </c>
      <c r="M2" s="3">
        <f>Scoresheet!CV3</f>
        <v>56</v>
      </c>
      <c r="N2" s="3">
        <f>Scoresheet!DD3</f>
        <v>48</v>
      </c>
      <c r="O2" s="3">
        <f>Scoresheet!DL3</f>
        <v>65</v>
      </c>
      <c r="P2" s="3">
        <f>Scoresheet!DT3</f>
        <v>31</v>
      </c>
      <c r="Q2" s="3">
        <f>Scoresheet!EB3</f>
        <v>47</v>
      </c>
      <c r="R2" s="3">
        <f>Scoresheet!EJ3</f>
        <v>58</v>
      </c>
      <c r="S2" s="3">
        <f>Scoresheet!ER3</f>
        <v>53</v>
      </c>
      <c r="T2" s="3">
        <f>SUM(B2:S2)</f>
        <v>862</v>
      </c>
      <c r="U2" s="106">
        <f>IFERROR(T2/COUNTIF(B2:S2,"&gt;10"),"")</f>
        <v>50.705882352941174</v>
      </c>
      <c r="V2" s="174">
        <f>RANK(U2,$U$2:$U$51)</f>
        <v>23</v>
      </c>
    </row>
    <row r="3" spans="1:22">
      <c r="A3" s="212">
        <v>2</v>
      </c>
      <c r="B3" s="3">
        <f>Scoresheet!I4</f>
        <v>37</v>
      </c>
      <c r="C3" s="3">
        <f>Scoresheet!Q4</f>
        <v>59</v>
      </c>
      <c r="D3" s="3">
        <f>Scoresheet!Y4</f>
        <v>47</v>
      </c>
      <c r="E3" s="3">
        <f>Scoresheet!AJ4</f>
        <v>0</v>
      </c>
      <c r="F3" s="3">
        <f>Scoresheet!AR4</f>
        <v>40</v>
      </c>
      <c r="G3" s="3">
        <f>Scoresheet!AZ4</f>
        <v>24</v>
      </c>
      <c r="H3" s="3">
        <f>Scoresheet!BH4</f>
        <v>41</v>
      </c>
      <c r="I3" s="3">
        <f>Scoresheet!BP4</f>
        <v>50</v>
      </c>
      <c r="J3" s="3">
        <f>Scoresheet!BX4</f>
        <v>44</v>
      </c>
      <c r="K3" s="3">
        <f>Scoresheet!CF4</f>
        <v>47</v>
      </c>
      <c r="L3" s="3">
        <f>Scoresheet!CN4</f>
        <v>41</v>
      </c>
      <c r="M3" s="3">
        <f>Scoresheet!CV4</f>
        <v>39</v>
      </c>
      <c r="N3" s="3">
        <f>Scoresheet!DD4</f>
        <v>44</v>
      </c>
      <c r="O3" s="3">
        <f>Scoresheet!DL4</f>
        <v>54</v>
      </c>
      <c r="P3" s="3">
        <f>Scoresheet!DT4</f>
        <v>21</v>
      </c>
      <c r="Q3" s="3">
        <f>Scoresheet!EB4</f>
        <v>43</v>
      </c>
      <c r="R3" s="3">
        <f>Scoresheet!EJ4</f>
        <v>42</v>
      </c>
      <c r="S3" s="3">
        <f>Scoresheet!ER4</f>
        <v>34</v>
      </c>
      <c r="T3" s="3">
        <f t="shared" ref="T3:T51" si="0">SUM(B3:S3)</f>
        <v>707</v>
      </c>
      <c r="U3" s="106">
        <f t="shared" ref="U3:U51" si="1">IFERROR(T3/COUNTIF(B3:S3,"&gt;10"),"")</f>
        <v>41.588235294117645</v>
      </c>
      <c r="V3" s="174">
        <f t="shared" ref="V3:V51" si="2">RANK(U3,$U$2:$U$51)</f>
        <v>32</v>
      </c>
    </row>
    <row r="4" spans="1:22">
      <c r="A4" s="211">
        <v>3</v>
      </c>
      <c r="B4" s="3">
        <f>Scoresheet!I5</f>
        <v>54</v>
      </c>
      <c r="C4" s="3">
        <f>Scoresheet!Q5</f>
        <v>61</v>
      </c>
      <c r="D4" s="3">
        <f>Scoresheet!Y5</f>
        <v>58</v>
      </c>
      <c r="E4" s="3">
        <f>Scoresheet!AJ5</f>
        <v>0</v>
      </c>
      <c r="F4" s="3">
        <f>Scoresheet!AR5</f>
        <v>41</v>
      </c>
      <c r="G4" s="3">
        <f>Scoresheet!AZ5</f>
        <v>51</v>
      </c>
      <c r="H4" s="3">
        <f>Scoresheet!BH5</f>
        <v>68</v>
      </c>
      <c r="I4" s="3">
        <f>Scoresheet!BP5</f>
        <v>63</v>
      </c>
      <c r="J4" s="3">
        <f>Scoresheet!BX5</f>
        <v>62</v>
      </c>
      <c r="K4" s="3">
        <f>Scoresheet!CF5</f>
        <v>75</v>
      </c>
      <c r="L4" s="3">
        <f>Scoresheet!CN5</f>
        <v>65</v>
      </c>
      <c r="M4" s="3">
        <f>Scoresheet!CV5</f>
        <v>55</v>
      </c>
      <c r="N4" s="3">
        <f>Scoresheet!DD5</f>
        <v>45</v>
      </c>
      <c r="O4" s="3">
        <f>Scoresheet!DL5</f>
        <v>61</v>
      </c>
      <c r="P4" s="3">
        <f>Scoresheet!DT5</f>
        <v>51</v>
      </c>
      <c r="Q4" s="3">
        <f>Scoresheet!EB5</f>
        <v>58</v>
      </c>
      <c r="R4" s="3">
        <f>Scoresheet!EJ5</f>
        <v>77</v>
      </c>
      <c r="S4" s="3">
        <f>Scoresheet!ER5</f>
        <v>55</v>
      </c>
      <c r="T4" s="3">
        <f t="shared" si="0"/>
        <v>1000</v>
      </c>
      <c r="U4" s="106">
        <f t="shared" si="1"/>
        <v>58.823529411764703</v>
      </c>
      <c r="V4" s="174">
        <f t="shared" si="2"/>
        <v>17</v>
      </c>
    </row>
    <row r="5" spans="1:22">
      <c r="A5" s="212">
        <v>4</v>
      </c>
      <c r="B5" s="3">
        <f>Scoresheet!I6</f>
        <v>35</v>
      </c>
      <c r="C5" s="3">
        <f>Scoresheet!Q6</f>
        <v>37</v>
      </c>
      <c r="D5" s="3">
        <f>Scoresheet!Y6</f>
        <v>35</v>
      </c>
      <c r="E5" s="3">
        <f>Scoresheet!AJ6</f>
        <v>19</v>
      </c>
      <c r="F5" s="3">
        <f>Scoresheet!AR6</f>
        <v>23</v>
      </c>
      <c r="G5" s="3">
        <f>Scoresheet!AZ6</f>
        <v>29</v>
      </c>
      <c r="H5" s="3">
        <f>Scoresheet!BH6</f>
        <v>19</v>
      </c>
      <c r="I5" s="3">
        <f>Scoresheet!BP6</f>
        <v>34</v>
      </c>
      <c r="J5" s="3">
        <f>Scoresheet!BX6</f>
        <v>34</v>
      </c>
      <c r="K5" s="3">
        <f>Scoresheet!CF6</f>
        <v>37</v>
      </c>
      <c r="L5" s="3">
        <f>Scoresheet!CN6</f>
        <v>28</v>
      </c>
      <c r="M5" s="3">
        <f>Scoresheet!CV6</f>
        <v>35</v>
      </c>
      <c r="N5" s="3">
        <f>Scoresheet!DD6</f>
        <v>39</v>
      </c>
      <c r="O5" s="3">
        <f>Scoresheet!DL6</f>
        <v>29</v>
      </c>
      <c r="P5" s="3">
        <f>Scoresheet!DT6</f>
        <v>20</v>
      </c>
      <c r="Q5" s="3">
        <f>Scoresheet!EB6</f>
        <v>27</v>
      </c>
      <c r="R5" s="3">
        <f>Scoresheet!EJ6</f>
        <v>28</v>
      </c>
      <c r="S5" s="3">
        <f>Scoresheet!ER6</f>
        <v>0</v>
      </c>
      <c r="T5" s="3">
        <f t="shared" si="0"/>
        <v>508</v>
      </c>
      <c r="U5" s="106">
        <f t="shared" si="1"/>
        <v>29.882352941176471</v>
      </c>
      <c r="V5" s="174">
        <f t="shared" si="2"/>
        <v>38</v>
      </c>
    </row>
    <row r="6" spans="1:22">
      <c r="A6" s="211">
        <v>5</v>
      </c>
      <c r="B6" s="3">
        <f>Scoresheet!I7</f>
        <v>61</v>
      </c>
      <c r="C6" s="3">
        <f>Scoresheet!Q7</f>
        <v>51</v>
      </c>
      <c r="D6" s="3">
        <f>Scoresheet!Y7</f>
        <v>63</v>
      </c>
      <c r="E6" s="3">
        <f>Scoresheet!AJ7</f>
        <v>60</v>
      </c>
      <c r="F6" s="3">
        <f>Scoresheet!AR7</f>
        <v>42</v>
      </c>
      <c r="G6" s="3">
        <f>Scoresheet!AZ7</f>
        <v>35</v>
      </c>
      <c r="H6" s="3">
        <f>Scoresheet!BH7</f>
        <v>59</v>
      </c>
      <c r="I6" s="3">
        <f>Scoresheet!BP7</f>
        <v>58</v>
      </c>
      <c r="J6" s="3">
        <f>Scoresheet!BX7</f>
        <v>58</v>
      </c>
      <c r="K6" s="3">
        <f>Scoresheet!CF7</f>
        <v>62</v>
      </c>
      <c r="L6" s="3">
        <f>Scoresheet!CN7</f>
        <v>60</v>
      </c>
      <c r="M6" s="3">
        <f>Scoresheet!CV7</f>
        <v>50</v>
      </c>
      <c r="N6" s="3">
        <f>Scoresheet!DD7</f>
        <v>46</v>
      </c>
      <c r="O6" s="3">
        <f>Scoresheet!DL7</f>
        <v>29</v>
      </c>
      <c r="P6" s="3">
        <f>Scoresheet!DT7</f>
        <v>30</v>
      </c>
      <c r="Q6" s="3">
        <f>Scoresheet!EB7</f>
        <v>38</v>
      </c>
      <c r="R6" s="3">
        <f>Scoresheet!EJ7</f>
        <v>54</v>
      </c>
      <c r="S6" s="3">
        <f>Scoresheet!ER7</f>
        <v>0</v>
      </c>
      <c r="T6" s="3">
        <f t="shared" si="0"/>
        <v>856</v>
      </c>
      <c r="U6" s="106">
        <f t="shared" si="1"/>
        <v>50.352941176470587</v>
      </c>
      <c r="V6" s="174">
        <f t="shared" si="2"/>
        <v>24</v>
      </c>
    </row>
    <row r="7" spans="1:22">
      <c r="A7" s="212">
        <v>6</v>
      </c>
      <c r="B7" s="3">
        <f>Scoresheet!I8</f>
        <v>88</v>
      </c>
      <c r="C7" s="3">
        <f>Scoresheet!Q8</f>
        <v>78</v>
      </c>
      <c r="D7" s="3">
        <f>Scoresheet!Y8</f>
        <v>71</v>
      </c>
      <c r="E7" s="3">
        <f>Scoresheet!AJ8</f>
        <v>81</v>
      </c>
      <c r="F7" s="3">
        <f>Scoresheet!AR8</f>
        <v>72</v>
      </c>
      <c r="G7" s="3">
        <f>Scoresheet!AZ8</f>
        <v>76</v>
      </c>
      <c r="H7" s="3">
        <f>Scoresheet!BH8</f>
        <v>82</v>
      </c>
      <c r="I7" s="3">
        <f>Scoresheet!BP8</f>
        <v>77</v>
      </c>
      <c r="J7" s="3">
        <f>Scoresheet!BX8</f>
        <v>88</v>
      </c>
      <c r="K7" s="3">
        <f>Scoresheet!CF8</f>
        <v>73</v>
      </c>
      <c r="L7" s="3">
        <f>Scoresheet!CN8</f>
        <v>69</v>
      </c>
      <c r="M7" s="3">
        <f>Scoresheet!CV8</f>
        <v>69</v>
      </c>
      <c r="N7" s="3">
        <f>Scoresheet!DD8</f>
        <v>76</v>
      </c>
      <c r="O7" s="3">
        <f>Scoresheet!DL8</f>
        <v>50</v>
      </c>
      <c r="P7" s="3">
        <f>Scoresheet!DT8</f>
        <v>64</v>
      </c>
      <c r="Q7" s="3">
        <f>Scoresheet!EB8</f>
        <v>82</v>
      </c>
      <c r="R7" s="3">
        <f>Scoresheet!EJ8</f>
        <v>68</v>
      </c>
      <c r="S7" s="3">
        <f>Scoresheet!ER8</f>
        <v>0</v>
      </c>
      <c r="T7" s="3">
        <f t="shared" si="0"/>
        <v>1264</v>
      </c>
      <c r="U7" s="106">
        <f t="shared" si="1"/>
        <v>74.352941176470594</v>
      </c>
      <c r="V7" s="174">
        <f t="shared" si="2"/>
        <v>4</v>
      </c>
    </row>
    <row r="8" spans="1:22">
      <c r="A8" s="211">
        <v>7</v>
      </c>
      <c r="B8" s="3">
        <f>Scoresheet!I9</f>
        <v>85</v>
      </c>
      <c r="C8" s="3">
        <f>Scoresheet!Q9</f>
        <v>95</v>
      </c>
      <c r="D8" s="3">
        <f>Scoresheet!Y9</f>
        <v>83</v>
      </c>
      <c r="E8" s="3">
        <f>Scoresheet!AJ9</f>
        <v>0</v>
      </c>
      <c r="F8" s="3">
        <f>Scoresheet!AR9</f>
        <v>76</v>
      </c>
      <c r="G8" s="3">
        <f>Scoresheet!AZ9</f>
        <v>84</v>
      </c>
      <c r="H8" s="3">
        <f>Scoresheet!BH9</f>
        <v>92</v>
      </c>
      <c r="I8" s="3">
        <f>Scoresheet!BP9</f>
        <v>90</v>
      </c>
      <c r="J8" s="3">
        <f>Scoresheet!BX9</f>
        <v>91</v>
      </c>
      <c r="K8" s="3">
        <f>Scoresheet!CF9</f>
        <v>80</v>
      </c>
      <c r="L8" s="3">
        <f>Scoresheet!CN9</f>
        <v>90</v>
      </c>
      <c r="M8" s="3">
        <f>Scoresheet!CV9</f>
        <v>68</v>
      </c>
      <c r="N8" s="3">
        <f>Scoresheet!DD9</f>
        <v>62</v>
      </c>
      <c r="O8" s="3">
        <f>Scoresheet!DL9</f>
        <v>79</v>
      </c>
      <c r="P8" s="3">
        <f>Scoresheet!DT9</f>
        <v>79</v>
      </c>
      <c r="Q8" s="3">
        <f>Scoresheet!EB9</f>
        <v>84</v>
      </c>
      <c r="R8" s="3">
        <f>Scoresheet!EJ9</f>
        <v>84</v>
      </c>
      <c r="S8" s="3">
        <f>Scoresheet!ER9</f>
        <v>71</v>
      </c>
      <c r="T8" s="3">
        <f t="shared" si="0"/>
        <v>1393</v>
      </c>
      <c r="U8" s="106">
        <f t="shared" si="1"/>
        <v>81.941176470588232</v>
      </c>
      <c r="V8" s="174">
        <f t="shared" si="2"/>
        <v>1</v>
      </c>
    </row>
    <row r="9" spans="1:22">
      <c r="A9" s="212">
        <v>8</v>
      </c>
      <c r="B9" s="3">
        <f>Scoresheet!I10</f>
        <v>27</v>
      </c>
      <c r="C9" s="3">
        <f>Scoresheet!Q10</f>
        <v>38</v>
      </c>
      <c r="D9" s="3">
        <f>Scoresheet!Y10</f>
        <v>25</v>
      </c>
      <c r="E9" s="3">
        <f>Scoresheet!AJ10</f>
        <v>0</v>
      </c>
      <c r="F9" s="3">
        <f>Scoresheet!AR10</f>
        <v>29</v>
      </c>
      <c r="G9" s="3">
        <f>Scoresheet!AZ10</f>
        <v>26</v>
      </c>
      <c r="H9" s="3">
        <f>Scoresheet!BH10</f>
        <v>18</v>
      </c>
      <c r="I9" s="3">
        <f>Scoresheet!BP10</f>
        <v>44</v>
      </c>
      <c r="J9" s="3">
        <f>Scoresheet!BX10</f>
        <v>30</v>
      </c>
      <c r="K9" s="3">
        <f>Scoresheet!CF10</f>
        <v>25</v>
      </c>
      <c r="L9" s="3">
        <f>Scoresheet!CN10</f>
        <v>16</v>
      </c>
      <c r="M9" s="3">
        <f>Scoresheet!CV10</f>
        <v>33</v>
      </c>
      <c r="N9" s="3">
        <f>Scoresheet!DD10</f>
        <v>37</v>
      </c>
      <c r="O9" s="3">
        <f>Scoresheet!DL10</f>
        <v>21</v>
      </c>
      <c r="P9" s="3">
        <f>Scoresheet!DT10</f>
        <v>20</v>
      </c>
      <c r="Q9" s="3">
        <f>Scoresheet!EB10</f>
        <v>35</v>
      </c>
      <c r="R9" s="3">
        <f>Scoresheet!EJ10</f>
        <v>36</v>
      </c>
      <c r="S9" s="3">
        <f>Scoresheet!ER10</f>
        <v>29</v>
      </c>
      <c r="T9" s="3">
        <f t="shared" si="0"/>
        <v>489</v>
      </c>
      <c r="U9" s="106">
        <f t="shared" si="1"/>
        <v>28.764705882352942</v>
      </c>
      <c r="V9" s="174">
        <f t="shared" si="2"/>
        <v>39</v>
      </c>
    </row>
    <row r="10" spans="1:22">
      <c r="A10" s="211">
        <v>9</v>
      </c>
      <c r="B10" s="3">
        <f>Scoresheet!I11</f>
        <v>46</v>
      </c>
      <c r="C10" s="3">
        <f>Scoresheet!Q11</f>
        <v>43</v>
      </c>
      <c r="D10" s="3">
        <f>Scoresheet!Y11</f>
        <v>44</v>
      </c>
      <c r="E10" s="3">
        <f>Scoresheet!AJ11</f>
        <v>0</v>
      </c>
      <c r="F10" s="3">
        <f>Scoresheet!AR11</f>
        <v>48</v>
      </c>
      <c r="G10" s="3">
        <f>Scoresheet!AZ11</f>
        <v>36</v>
      </c>
      <c r="H10" s="3">
        <f>Scoresheet!BH11</f>
        <v>47</v>
      </c>
      <c r="I10" s="3">
        <f>Scoresheet!BP11</f>
        <v>38</v>
      </c>
      <c r="J10" s="3">
        <f>Scoresheet!BX11</f>
        <v>54</v>
      </c>
      <c r="K10" s="3">
        <f>Scoresheet!CF11</f>
        <v>54</v>
      </c>
      <c r="L10" s="3">
        <f>Scoresheet!CN11</f>
        <v>42</v>
      </c>
      <c r="M10" s="3">
        <f>Scoresheet!CV11</f>
        <v>47</v>
      </c>
      <c r="N10" s="3">
        <f>Scoresheet!DD11</f>
        <v>48</v>
      </c>
      <c r="O10" s="3">
        <f>Scoresheet!DL11</f>
        <v>44</v>
      </c>
      <c r="P10" s="3">
        <f>Scoresheet!DT11</f>
        <v>21</v>
      </c>
      <c r="Q10" s="3">
        <f>Scoresheet!EB11</f>
        <v>40</v>
      </c>
      <c r="R10" s="3">
        <f>Scoresheet!EJ11</f>
        <v>46</v>
      </c>
      <c r="S10" s="3">
        <f>Scoresheet!ER11</f>
        <v>45</v>
      </c>
      <c r="T10" s="3">
        <f t="shared" si="0"/>
        <v>743</v>
      </c>
      <c r="U10" s="106">
        <f t="shared" si="1"/>
        <v>43.705882352941174</v>
      </c>
      <c r="V10" s="174">
        <f t="shared" si="2"/>
        <v>30</v>
      </c>
    </row>
    <row r="11" spans="1:22">
      <c r="A11" s="212">
        <v>10</v>
      </c>
      <c r="B11" s="3">
        <f>Scoresheet!I12</f>
        <v>49</v>
      </c>
      <c r="C11" s="3">
        <f>Scoresheet!Q12</f>
        <v>51</v>
      </c>
      <c r="D11" s="3">
        <f>Scoresheet!Y12</f>
        <v>54</v>
      </c>
      <c r="E11" s="3">
        <f>Scoresheet!AJ12</f>
        <v>0</v>
      </c>
      <c r="F11" s="3">
        <f>Scoresheet!AR12</f>
        <v>37</v>
      </c>
      <c r="G11" s="3">
        <f>Scoresheet!AZ12</f>
        <v>28</v>
      </c>
      <c r="H11" s="3">
        <f>Scoresheet!BH12</f>
        <v>51</v>
      </c>
      <c r="I11" s="3">
        <f>Scoresheet!BP12</f>
        <v>42</v>
      </c>
      <c r="J11" s="3">
        <f>Scoresheet!BX12</f>
        <v>54</v>
      </c>
      <c r="K11" s="3">
        <f>Scoresheet!CF12</f>
        <v>49</v>
      </c>
      <c r="L11" s="3">
        <f>Scoresheet!CN12</f>
        <v>46</v>
      </c>
      <c r="M11" s="3">
        <f>Scoresheet!CV12</f>
        <v>52</v>
      </c>
      <c r="N11" s="3">
        <f>Scoresheet!DD12</f>
        <v>41</v>
      </c>
      <c r="O11" s="3">
        <f>Scoresheet!DL12</f>
        <v>50</v>
      </c>
      <c r="P11" s="3">
        <f>Scoresheet!DT12</f>
        <v>27</v>
      </c>
      <c r="Q11" s="3">
        <f>Scoresheet!EB12</f>
        <v>27</v>
      </c>
      <c r="R11" s="3">
        <f>Scoresheet!EJ12</f>
        <v>34</v>
      </c>
      <c r="S11" s="3">
        <f>Scoresheet!ER12</f>
        <v>54</v>
      </c>
      <c r="T11" s="3">
        <f t="shared" si="0"/>
        <v>746</v>
      </c>
      <c r="U11" s="106">
        <f t="shared" si="1"/>
        <v>43.882352941176471</v>
      </c>
      <c r="V11" s="174">
        <f t="shared" si="2"/>
        <v>29</v>
      </c>
    </row>
    <row r="12" spans="1:22">
      <c r="A12" s="211">
        <v>11</v>
      </c>
      <c r="B12" s="3">
        <f>Scoresheet!I13</f>
        <v>69</v>
      </c>
      <c r="C12" s="3">
        <f>Scoresheet!Q13</f>
        <v>68</v>
      </c>
      <c r="D12" s="3">
        <f>Scoresheet!Y13</f>
        <v>72</v>
      </c>
      <c r="E12" s="3">
        <f>Scoresheet!AJ13</f>
        <v>0</v>
      </c>
      <c r="F12" s="3">
        <f>Scoresheet!AR13</f>
        <v>71</v>
      </c>
      <c r="G12" s="3">
        <f>Scoresheet!AZ13</f>
        <v>52</v>
      </c>
      <c r="H12" s="3">
        <f>Scoresheet!BH13</f>
        <v>88</v>
      </c>
      <c r="I12" s="3">
        <f>Scoresheet!BP13</f>
        <v>74</v>
      </c>
      <c r="J12" s="3">
        <f>Scoresheet!BX13</f>
        <v>79</v>
      </c>
      <c r="K12" s="3">
        <f>Scoresheet!CF13</f>
        <v>77</v>
      </c>
      <c r="L12" s="3">
        <f>Scoresheet!CN13</f>
        <v>80</v>
      </c>
      <c r="M12" s="3">
        <f>Scoresheet!CV13</f>
        <v>67</v>
      </c>
      <c r="N12" s="3">
        <f>Scoresheet!DD13</f>
        <v>46</v>
      </c>
      <c r="O12" s="3">
        <f>Scoresheet!DL13</f>
        <v>78</v>
      </c>
      <c r="P12" s="3">
        <f>Scoresheet!DT13</f>
        <v>47</v>
      </c>
      <c r="Q12" s="3">
        <f>Scoresheet!EB13</f>
        <v>60</v>
      </c>
      <c r="R12" s="3">
        <f>Scoresheet!EJ13</f>
        <v>76</v>
      </c>
      <c r="S12" s="3">
        <f>Scoresheet!ER13</f>
        <v>79</v>
      </c>
      <c r="T12" s="3">
        <f t="shared" si="0"/>
        <v>1183</v>
      </c>
      <c r="U12" s="106">
        <f t="shared" si="1"/>
        <v>69.588235294117652</v>
      </c>
      <c r="V12" s="174">
        <f t="shared" si="2"/>
        <v>10</v>
      </c>
    </row>
    <row r="13" spans="1:22">
      <c r="A13" s="212">
        <v>12</v>
      </c>
      <c r="B13" s="3">
        <f>Scoresheet!I14</f>
        <v>86</v>
      </c>
      <c r="C13" s="3">
        <f>Scoresheet!Q14</f>
        <v>69</v>
      </c>
      <c r="D13" s="3">
        <f>Scoresheet!Y14</f>
        <v>66</v>
      </c>
      <c r="E13" s="3">
        <f>Scoresheet!AJ14</f>
        <v>0</v>
      </c>
      <c r="F13" s="3">
        <f>Scoresheet!AR14</f>
        <v>63</v>
      </c>
      <c r="G13" s="3">
        <f>Scoresheet!AZ14</f>
        <v>54</v>
      </c>
      <c r="H13" s="3">
        <f>Scoresheet!BH14</f>
        <v>80</v>
      </c>
      <c r="I13" s="3">
        <f>Scoresheet!BP14</f>
        <v>80</v>
      </c>
      <c r="J13" s="3">
        <f>Scoresheet!BX14</f>
        <v>74</v>
      </c>
      <c r="K13" s="3">
        <f>Scoresheet!CF14</f>
        <v>78</v>
      </c>
      <c r="L13" s="3">
        <f>Scoresheet!CN14</f>
        <v>86</v>
      </c>
      <c r="M13" s="3">
        <f>Scoresheet!CV14</f>
        <v>62</v>
      </c>
      <c r="N13" s="3">
        <f>Scoresheet!DD14</f>
        <v>63</v>
      </c>
      <c r="O13" s="3">
        <f>Scoresheet!DL14</f>
        <v>76</v>
      </c>
      <c r="P13" s="3">
        <f>Scoresheet!DT14</f>
        <v>56</v>
      </c>
      <c r="Q13" s="3">
        <f>Scoresheet!EB14</f>
        <v>59</v>
      </c>
      <c r="R13" s="3">
        <f>Scoresheet!EJ14</f>
        <v>82</v>
      </c>
      <c r="S13" s="3">
        <f>Scoresheet!ER14</f>
        <v>90</v>
      </c>
      <c r="T13" s="3">
        <f t="shared" si="0"/>
        <v>1224</v>
      </c>
      <c r="U13" s="106">
        <f t="shared" si="1"/>
        <v>72</v>
      </c>
      <c r="V13" s="174">
        <f t="shared" si="2"/>
        <v>7</v>
      </c>
    </row>
    <row r="14" spans="1:22">
      <c r="A14" s="211">
        <v>13</v>
      </c>
      <c r="B14" s="3">
        <f>Scoresheet!I15</f>
        <v>45</v>
      </c>
      <c r="C14" s="3">
        <f>Scoresheet!Q15</f>
        <v>52</v>
      </c>
      <c r="D14" s="3">
        <f>Scoresheet!Y15</f>
        <v>44</v>
      </c>
      <c r="E14" s="3">
        <f>Scoresheet!AJ15</f>
        <v>0</v>
      </c>
      <c r="F14" s="3">
        <f>Scoresheet!AR15</f>
        <v>44</v>
      </c>
      <c r="G14" s="3">
        <f>Scoresheet!AZ15</f>
        <v>26</v>
      </c>
      <c r="H14" s="3">
        <f>Scoresheet!BH15</f>
        <v>44</v>
      </c>
      <c r="I14" s="3">
        <f>Scoresheet!BP15</f>
        <v>47</v>
      </c>
      <c r="J14" s="3">
        <f>Scoresheet!BX15</f>
        <v>49</v>
      </c>
      <c r="K14" s="3">
        <f>Scoresheet!CF15</f>
        <v>54</v>
      </c>
      <c r="L14" s="3">
        <f>Scoresheet!CN15</f>
        <v>47</v>
      </c>
      <c r="M14" s="3">
        <f>Scoresheet!CV15</f>
        <v>28</v>
      </c>
      <c r="N14" s="3">
        <f>Scoresheet!DD15</f>
        <v>47</v>
      </c>
      <c r="O14" s="3">
        <f>Scoresheet!DL15</f>
        <v>6</v>
      </c>
      <c r="P14" s="3">
        <f>Scoresheet!DT15</f>
        <v>22</v>
      </c>
      <c r="Q14" s="3">
        <f>Scoresheet!EB15</f>
        <v>25</v>
      </c>
      <c r="R14" s="3">
        <f>Scoresheet!EJ15</f>
        <v>36</v>
      </c>
      <c r="S14" s="3">
        <f>Scoresheet!ER15</f>
        <v>33</v>
      </c>
      <c r="T14" s="3">
        <f t="shared" si="0"/>
        <v>649</v>
      </c>
      <c r="U14" s="106">
        <f t="shared" si="1"/>
        <v>40.5625</v>
      </c>
      <c r="V14" s="174">
        <f t="shared" si="2"/>
        <v>33</v>
      </c>
    </row>
    <row r="15" spans="1:22">
      <c r="A15" s="212">
        <v>14</v>
      </c>
      <c r="B15" s="3">
        <f>Scoresheet!I16</f>
        <v>40</v>
      </c>
      <c r="C15" s="3">
        <f>Scoresheet!Q16</f>
        <v>44</v>
      </c>
      <c r="D15" s="3">
        <f>Scoresheet!Y16</f>
        <v>55</v>
      </c>
      <c r="E15" s="3">
        <f>Scoresheet!AJ16</f>
        <v>0</v>
      </c>
      <c r="F15" s="3">
        <f>Scoresheet!AR16</f>
        <v>40</v>
      </c>
      <c r="G15" s="3">
        <f>Scoresheet!AZ16</f>
        <v>26</v>
      </c>
      <c r="H15" s="3">
        <f>Scoresheet!BH16</f>
        <v>42</v>
      </c>
      <c r="I15" s="3">
        <f>Scoresheet!BP16</f>
        <v>45</v>
      </c>
      <c r="J15" s="3">
        <f>Scoresheet!BX16</f>
        <v>41</v>
      </c>
      <c r="K15" s="3">
        <f>Scoresheet!CF16</f>
        <v>42</v>
      </c>
      <c r="L15" s="3">
        <f>Scoresheet!CN16</f>
        <v>44</v>
      </c>
      <c r="M15" s="3">
        <f>Scoresheet!CV16</f>
        <v>48</v>
      </c>
      <c r="N15" s="3">
        <f>Scoresheet!DD16</f>
        <v>41</v>
      </c>
      <c r="O15" s="3">
        <f>Scoresheet!DL16</f>
        <v>40</v>
      </c>
      <c r="P15" s="3">
        <f>Scoresheet!DT16</f>
        <v>27</v>
      </c>
      <c r="Q15" s="3">
        <f>Scoresheet!EB16</f>
        <v>48</v>
      </c>
      <c r="R15" s="3">
        <f>Scoresheet!EJ16</f>
        <v>56</v>
      </c>
      <c r="S15" s="3">
        <f>Scoresheet!ER16</f>
        <v>54</v>
      </c>
      <c r="T15" s="3">
        <f t="shared" si="0"/>
        <v>733</v>
      </c>
      <c r="U15" s="106">
        <f t="shared" si="1"/>
        <v>43.117647058823529</v>
      </c>
      <c r="V15" s="174">
        <f t="shared" si="2"/>
        <v>31</v>
      </c>
    </row>
    <row r="16" spans="1:22">
      <c r="A16" s="211">
        <v>15</v>
      </c>
      <c r="B16" s="3">
        <f>Scoresheet!I17</f>
        <v>89</v>
      </c>
      <c r="C16" s="3">
        <f>Scoresheet!Q17</f>
        <v>69</v>
      </c>
      <c r="D16" s="3">
        <f>Scoresheet!Y17</f>
        <v>71</v>
      </c>
      <c r="E16" s="3">
        <f>Scoresheet!AJ17</f>
        <v>0</v>
      </c>
      <c r="F16" s="3">
        <f>Scoresheet!AR17</f>
        <v>61</v>
      </c>
      <c r="G16" s="3">
        <f>Scoresheet!AZ17</f>
        <v>51</v>
      </c>
      <c r="H16" s="3">
        <f>Scoresheet!BH17</f>
        <v>85</v>
      </c>
      <c r="I16" s="3">
        <f>Scoresheet!BP17</f>
        <v>83</v>
      </c>
      <c r="J16" s="3">
        <f>Scoresheet!BX17</f>
        <v>84</v>
      </c>
      <c r="K16" s="3">
        <f>Scoresheet!CF17</f>
        <v>65</v>
      </c>
      <c r="L16" s="3">
        <f>Scoresheet!CN17</f>
        <v>82</v>
      </c>
      <c r="M16" s="3">
        <f>Scoresheet!CV17</f>
        <v>64</v>
      </c>
      <c r="N16" s="3">
        <f>Scoresheet!DD17</f>
        <v>52</v>
      </c>
      <c r="O16" s="3">
        <f>Scoresheet!DL17</f>
        <v>87</v>
      </c>
      <c r="P16" s="3">
        <f>Scoresheet!DT17</f>
        <v>56</v>
      </c>
      <c r="Q16" s="3">
        <f>Scoresheet!EB17</f>
        <v>75</v>
      </c>
      <c r="R16" s="3">
        <f>Scoresheet!EJ17</f>
        <v>74</v>
      </c>
      <c r="S16" s="3">
        <f>Scoresheet!ER17</f>
        <v>72</v>
      </c>
      <c r="T16" s="3">
        <f t="shared" si="0"/>
        <v>1220</v>
      </c>
      <c r="U16" s="106">
        <f t="shared" si="1"/>
        <v>71.764705882352942</v>
      </c>
      <c r="V16" s="174">
        <f t="shared" si="2"/>
        <v>8</v>
      </c>
    </row>
    <row r="17" spans="1:22">
      <c r="A17" s="212">
        <v>16</v>
      </c>
      <c r="B17" s="3">
        <f>Scoresheet!I18</f>
        <v>45</v>
      </c>
      <c r="C17" s="3">
        <f>Scoresheet!Q18</f>
        <v>35</v>
      </c>
      <c r="D17" s="3">
        <f>Scoresheet!Y18</f>
        <v>48</v>
      </c>
      <c r="E17" s="3">
        <f>Scoresheet!AJ18</f>
        <v>0</v>
      </c>
      <c r="F17" s="3">
        <f>Scoresheet!AR18</f>
        <v>40</v>
      </c>
      <c r="G17" s="3">
        <f>Scoresheet!AZ18</f>
        <v>36</v>
      </c>
      <c r="H17" s="3">
        <f>Scoresheet!BH18</f>
        <v>28</v>
      </c>
      <c r="I17" s="3">
        <f>Scoresheet!BP18</f>
        <v>42</v>
      </c>
      <c r="J17" s="3">
        <f>Scoresheet!BX18</f>
        <v>49</v>
      </c>
      <c r="K17" s="3">
        <f>Scoresheet!CF18</f>
        <v>36</v>
      </c>
      <c r="L17" s="3">
        <f>Scoresheet!CN18</f>
        <v>38</v>
      </c>
      <c r="M17" s="3">
        <f>Scoresheet!CV18</f>
        <v>36</v>
      </c>
      <c r="N17" s="3">
        <f>Scoresheet!DD18</f>
        <v>41</v>
      </c>
      <c r="O17" s="3">
        <f>Scoresheet!DL18</f>
        <v>38</v>
      </c>
      <c r="P17" s="3">
        <f>Scoresheet!DT18</f>
        <v>24</v>
      </c>
      <c r="Q17" s="3">
        <f>Scoresheet!EB18</f>
        <v>34</v>
      </c>
      <c r="R17" s="3">
        <f>Scoresheet!EJ18</f>
        <v>47</v>
      </c>
      <c r="S17" s="3">
        <f>Scoresheet!ER18</f>
        <v>41</v>
      </c>
      <c r="T17" s="3">
        <f t="shared" si="0"/>
        <v>658</v>
      </c>
      <c r="U17" s="106">
        <f t="shared" si="1"/>
        <v>38.705882352941174</v>
      </c>
      <c r="V17" s="174">
        <f t="shared" si="2"/>
        <v>34</v>
      </c>
    </row>
    <row r="18" spans="1:22">
      <c r="A18" s="211">
        <v>17</v>
      </c>
      <c r="B18" s="3">
        <f>Scoresheet!I19</f>
        <v>49</v>
      </c>
      <c r="C18" s="3">
        <f>Scoresheet!Q19</f>
        <v>42</v>
      </c>
      <c r="D18" s="3">
        <f>Scoresheet!Y19</f>
        <v>33</v>
      </c>
      <c r="E18" s="3">
        <f>Scoresheet!AJ19</f>
        <v>0</v>
      </c>
      <c r="F18" s="3">
        <f>Scoresheet!AR19</f>
        <v>41</v>
      </c>
      <c r="G18" s="3">
        <f>Scoresheet!AZ19</f>
        <v>31</v>
      </c>
      <c r="H18" s="3">
        <f>Scoresheet!BH19</f>
        <v>26</v>
      </c>
      <c r="I18" s="3">
        <f>Scoresheet!BP19</f>
        <v>38</v>
      </c>
      <c r="J18" s="3">
        <f>Scoresheet!BX19</f>
        <v>36</v>
      </c>
      <c r="K18" s="3">
        <f>Scoresheet!CF19</f>
        <v>46</v>
      </c>
      <c r="L18" s="3">
        <f>Scoresheet!CN19</f>
        <v>43</v>
      </c>
      <c r="M18" s="3">
        <f>Scoresheet!CV19</f>
        <v>40</v>
      </c>
      <c r="N18" s="3">
        <f>Scoresheet!DD19</f>
        <v>48</v>
      </c>
      <c r="O18" s="3">
        <f>Scoresheet!DL19</f>
        <v>38</v>
      </c>
      <c r="P18" s="3">
        <f>Scoresheet!DT19</f>
        <v>38</v>
      </c>
      <c r="Q18" s="3">
        <f>Scoresheet!EB19</f>
        <v>32</v>
      </c>
      <c r="R18" s="3">
        <f>Scoresheet!EJ19</f>
        <v>44</v>
      </c>
      <c r="S18" s="3">
        <f>Scoresheet!ER19</f>
        <v>12</v>
      </c>
      <c r="T18" s="3">
        <f t="shared" si="0"/>
        <v>637</v>
      </c>
      <c r="U18" s="106">
        <f t="shared" si="1"/>
        <v>37.470588235294116</v>
      </c>
      <c r="V18" s="174">
        <f t="shared" si="2"/>
        <v>35</v>
      </c>
    </row>
    <row r="19" spans="1:22">
      <c r="A19" s="212">
        <v>18</v>
      </c>
      <c r="B19" s="3">
        <f>Scoresheet!I20</f>
        <v>59</v>
      </c>
      <c r="C19" s="3">
        <f>Scoresheet!Q20</f>
        <v>39</v>
      </c>
      <c r="D19" s="3">
        <f>Scoresheet!Y20</f>
        <v>56</v>
      </c>
      <c r="E19" s="3">
        <f>Scoresheet!AJ20</f>
        <v>0</v>
      </c>
      <c r="F19" s="3">
        <f>Scoresheet!AR20</f>
        <v>47</v>
      </c>
      <c r="G19" s="3">
        <f>Scoresheet!AZ20</f>
        <v>43</v>
      </c>
      <c r="H19" s="3">
        <f>Scoresheet!BH20</f>
        <v>60</v>
      </c>
      <c r="I19" s="3">
        <f>Scoresheet!BP20</f>
        <v>59</v>
      </c>
      <c r="J19" s="3">
        <f>Scoresheet!BX20</f>
        <v>66</v>
      </c>
      <c r="K19" s="3">
        <f>Scoresheet!CF20</f>
        <v>51</v>
      </c>
      <c r="L19" s="3">
        <f>Scoresheet!CN20</f>
        <v>70</v>
      </c>
      <c r="M19" s="3">
        <f>Scoresheet!CV20</f>
        <v>54</v>
      </c>
      <c r="N19" s="3">
        <f>Scoresheet!DD20</f>
        <v>54</v>
      </c>
      <c r="O19" s="3">
        <f>Scoresheet!DL20</f>
        <v>67</v>
      </c>
      <c r="P19" s="3">
        <f>Scoresheet!DT20</f>
        <v>58</v>
      </c>
      <c r="Q19" s="3">
        <f>Scoresheet!EB20</f>
        <v>53</v>
      </c>
      <c r="R19" s="3">
        <f>Scoresheet!EJ20</f>
        <v>57</v>
      </c>
      <c r="S19" s="3">
        <f>Scoresheet!ER20</f>
        <v>56</v>
      </c>
      <c r="T19" s="3">
        <f t="shared" si="0"/>
        <v>949</v>
      </c>
      <c r="U19" s="106">
        <f t="shared" si="1"/>
        <v>55.823529411764703</v>
      </c>
      <c r="V19" s="174">
        <f t="shared" si="2"/>
        <v>18</v>
      </c>
    </row>
    <row r="20" spans="1:22">
      <c r="A20" s="211">
        <v>19</v>
      </c>
      <c r="B20" s="3">
        <f>Scoresheet!I21</f>
        <v>82</v>
      </c>
      <c r="C20" s="3">
        <f>Scoresheet!Q21</f>
        <v>62</v>
      </c>
      <c r="D20" s="3">
        <f>Scoresheet!Y21</f>
        <v>73</v>
      </c>
      <c r="E20" s="3">
        <f>Scoresheet!AJ21</f>
        <v>0</v>
      </c>
      <c r="F20" s="3">
        <f>Scoresheet!AR21</f>
        <v>78</v>
      </c>
      <c r="G20" s="3">
        <f>Scoresheet!AZ21</f>
        <v>65</v>
      </c>
      <c r="H20" s="3">
        <f>Scoresheet!BH21</f>
        <v>85</v>
      </c>
      <c r="I20" s="3">
        <f>Scoresheet!BP21</f>
        <v>84</v>
      </c>
      <c r="J20" s="3">
        <f>Scoresheet!BX21</f>
        <v>80</v>
      </c>
      <c r="K20" s="3">
        <f>Scoresheet!CF21</f>
        <v>80</v>
      </c>
      <c r="L20" s="3">
        <f>Scoresheet!CN21</f>
        <v>97</v>
      </c>
      <c r="M20" s="3">
        <f>Scoresheet!CV21</f>
        <v>73</v>
      </c>
      <c r="N20" s="3">
        <f>Scoresheet!DD21</f>
        <v>64</v>
      </c>
      <c r="O20" s="3">
        <f>Scoresheet!DL21</f>
        <v>86</v>
      </c>
      <c r="P20" s="3">
        <f>Scoresheet!DT21</f>
        <v>71</v>
      </c>
      <c r="Q20" s="3">
        <f>Scoresheet!EB21</f>
        <v>81</v>
      </c>
      <c r="R20" s="3">
        <f>Scoresheet!EJ21</f>
        <v>90</v>
      </c>
      <c r="S20" s="3">
        <f>Scoresheet!ER21</f>
        <v>77</v>
      </c>
      <c r="T20" s="3">
        <f t="shared" si="0"/>
        <v>1328</v>
      </c>
      <c r="U20" s="106">
        <f t="shared" si="1"/>
        <v>78.117647058823536</v>
      </c>
      <c r="V20" s="174">
        <f t="shared" si="2"/>
        <v>3</v>
      </c>
    </row>
    <row r="21" spans="1:22">
      <c r="A21" s="212">
        <v>20</v>
      </c>
      <c r="B21" s="3">
        <f>Scoresheet!I22</f>
        <v>79</v>
      </c>
      <c r="C21" s="3">
        <f>Scoresheet!Q22</f>
        <v>47</v>
      </c>
      <c r="D21" s="3">
        <f>Scoresheet!Y22</f>
        <v>63</v>
      </c>
      <c r="E21" s="3">
        <f>Scoresheet!AJ22</f>
        <v>79</v>
      </c>
      <c r="F21" s="3">
        <f>Scoresheet!AR22</f>
        <v>59</v>
      </c>
      <c r="G21" s="3">
        <f>Scoresheet!AZ22</f>
        <v>50</v>
      </c>
      <c r="H21" s="3">
        <f>Scoresheet!BH22</f>
        <v>78</v>
      </c>
      <c r="I21" s="3">
        <f>Scoresheet!BP22</f>
        <v>73</v>
      </c>
      <c r="J21" s="3">
        <f>Scoresheet!BX22</f>
        <v>73</v>
      </c>
      <c r="K21" s="3">
        <f>Scoresheet!CF22</f>
        <v>73</v>
      </c>
      <c r="L21" s="3">
        <f>Scoresheet!CN22</f>
        <v>80</v>
      </c>
      <c r="M21" s="3">
        <f>Scoresheet!CV22</f>
        <v>49</v>
      </c>
      <c r="N21" s="3">
        <f>Scoresheet!DD22</f>
        <v>51</v>
      </c>
      <c r="O21" s="3">
        <f>Scoresheet!DL22</f>
        <v>80</v>
      </c>
      <c r="P21" s="3">
        <f>Scoresheet!DT22</f>
        <v>56</v>
      </c>
      <c r="Q21" s="3">
        <f>Scoresheet!EB22</f>
        <v>62</v>
      </c>
      <c r="R21" s="3">
        <f>Scoresheet!EJ22</f>
        <v>74</v>
      </c>
      <c r="S21" s="3">
        <f>Scoresheet!ER22</f>
        <v>0</v>
      </c>
      <c r="T21" s="3">
        <f t="shared" si="0"/>
        <v>1126</v>
      </c>
      <c r="U21" s="106">
        <f t="shared" si="1"/>
        <v>66.235294117647058</v>
      </c>
      <c r="V21" s="174">
        <f t="shared" si="2"/>
        <v>11</v>
      </c>
    </row>
    <row r="22" spans="1:22">
      <c r="A22" s="211">
        <v>21</v>
      </c>
      <c r="B22" s="3">
        <f>Scoresheet!I23</f>
        <v>70</v>
      </c>
      <c r="C22" s="3">
        <f>Scoresheet!Q23</f>
        <v>50</v>
      </c>
      <c r="D22" s="3">
        <f>Scoresheet!Y23</f>
        <v>63</v>
      </c>
      <c r="E22" s="3">
        <f>Scoresheet!AJ23</f>
        <v>77</v>
      </c>
      <c r="F22" s="3">
        <f>Scoresheet!AR23</f>
        <v>56</v>
      </c>
      <c r="G22" s="3">
        <f>Scoresheet!AZ23</f>
        <v>50</v>
      </c>
      <c r="H22" s="3">
        <f>Scoresheet!BH23</f>
        <v>68</v>
      </c>
      <c r="I22" s="3">
        <f>Scoresheet!BP23</f>
        <v>62</v>
      </c>
      <c r="J22" s="3">
        <f>Scoresheet!BX23</f>
        <v>65</v>
      </c>
      <c r="K22" s="3">
        <f>Scoresheet!CF23</f>
        <v>61</v>
      </c>
      <c r="L22" s="3">
        <f>Scoresheet!CN23</f>
        <v>80</v>
      </c>
      <c r="M22" s="3">
        <f>Scoresheet!CV23</f>
        <v>56</v>
      </c>
      <c r="N22" s="3">
        <f>Scoresheet!DD23</f>
        <v>54</v>
      </c>
      <c r="O22" s="3">
        <f>Scoresheet!DL23</f>
        <v>51</v>
      </c>
      <c r="P22" s="3">
        <f>Scoresheet!DT23</f>
        <v>44</v>
      </c>
      <c r="Q22" s="3">
        <f>Scoresheet!EB23</f>
        <v>56</v>
      </c>
      <c r="R22" s="3">
        <f>Scoresheet!EJ23</f>
        <v>69</v>
      </c>
      <c r="S22" s="3">
        <f>Scoresheet!ER23</f>
        <v>0</v>
      </c>
      <c r="T22" s="3">
        <f t="shared" si="0"/>
        <v>1032</v>
      </c>
      <c r="U22" s="106">
        <f t="shared" si="1"/>
        <v>60.705882352941174</v>
      </c>
      <c r="V22" s="174">
        <f t="shared" si="2"/>
        <v>16</v>
      </c>
    </row>
    <row r="23" spans="1:22">
      <c r="A23" s="212">
        <v>22</v>
      </c>
      <c r="B23" s="3">
        <f>Scoresheet!I24</f>
        <v>67</v>
      </c>
      <c r="C23" s="3">
        <f>Scoresheet!Q24</f>
        <v>72</v>
      </c>
      <c r="D23" s="3">
        <f>Scoresheet!Y24</f>
        <v>75</v>
      </c>
      <c r="E23" s="3">
        <f>Scoresheet!AJ24</f>
        <v>0</v>
      </c>
      <c r="F23" s="3">
        <f>Scoresheet!AR24</f>
        <v>74</v>
      </c>
      <c r="G23" s="3">
        <f>Scoresheet!AZ24</f>
        <v>56</v>
      </c>
      <c r="H23" s="3">
        <f>Scoresheet!BH24</f>
        <v>81</v>
      </c>
      <c r="I23" s="3">
        <f>Scoresheet!BP24</f>
        <v>77</v>
      </c>
      <c r="J23" s="3">
        <f>Scoresheet!BX24</f>
        <v>90</v>
      </c>
      <c r="K23" s="3">
        <f>Scoresheet!CF24</f>
        <v>69</v>
      </c>
      <c r="L23" s="3">
        <f>Scoresheet!CN24</f>
        <v>78</v>
      </c>
      <c r="M23" s="3">
        <f>Scoresheet!CV24</f>
        <v>73</v>
      </c>
      <c r="N23" s="3">
        <f>Scoresheet!DD24</f>
        <v>64</v>
      </c>
      <c r="O23" s="3">
        <f>Scoresheet!DL24</f>
        <v>84</v>
      </c>
      <c r="P23" s="3">
        <f>Scoresheet!DT24</f>
        <v>47</v>
      </c>
      <c r="Q23" s="3">
        <f>Scoresheet!EB24</f>
        <v>72</v>
      </c>
      <c r="R23" s="3">
        <f>Scoresheet!EJ24</f>
        <v>79</v>
      </c>
      <c r="S23" s="3">
        <f>Scoresheet!ER24</f>
        <v>80</v>
      </c>
      <c r="T23" s="3">
        <f t="shared" si="0"/>
        <v>1238</v>
      </c>
      <c r="U23" s="106">
        <f t="shared" si="1"/>
        <v>72.82352941176471</v>
      </c>
      <c r="V23" s="174">
        <f t="shared" si="2"/>
        <v>6</v>
      </c>
    </row>
    <row r="24" spans="1:22">
      <c r="A24" s="211">
        <v>23</v>
      </c>
      <c r="B24" s="3">
        <f>Scoresheet!I25</f>
        <v>59</v>
      </c>
      <c r="C24" s="3">
        <f>Scoresheet!Q25</f>
        <v>57</v>
      </c>
      <c r="D24" s="3">
        <f>Scoresheet!Y25</f>
        <v>69</v>
      </c>
      <c r="E24" s="3">
        <f>Scoresheet!AJ25</f>
        <v>0</v>
      </c>
      <c r="F24" s="3">
        <f>Scoresheet!AR25</f>
        <v>60</v>
      </c>
      <c r="G24" s="3">
        <f>Scoresheet!AZ25</f>
        <v>49</v>
      </c>
      <c r="H24" s="3">
        <f>Scoresheet!BH25</f>
        <v>74</v>
      </c>
      <c r="I24" s="3">
        <f>Scoresheet!BP25</f>
        <v>66</v>
      </c>
      <c r="J24" s="3">
        <f>Scoresheet!BX25</f>
        <v>64</v>
      </c>
      <c r="K24" s="3">
        <f>Scoresheet!CF25</f>
        <v>71</v>
      </c>
      <c r="L24" s="3">
        <f>Scoresheet!CN25</f>
        <v>66</v>
      </c>
      <c r="M24" s="3">
        <f>Scoresheet!CV25</f>
        <v>73</v>
      </c>
      <c r="N24" s="3">
        <f>Scoresheet!DD25</f>
        <v>52</v>
      </c>
      <c r="O24" s="3">
        <f>Scoresheet!DL25</f>
        <v>79</v>
      </c>
      <c r="P24" s="3">
        <f>Scoresheet!DT25</f>
        <v>54</v>
      </c>
      <c r="Q24" s="3">
        <f>Scoresheet!EB25</f>
        <v>64</v>
      </c>
      <c r="R24" s="3">
        <f>Scoresheet!EJ25</f>
        <v>67</v>
      </c>
      <c r="S24" s="3">
        <f>Scoresheet!ER25</f>
        <v>68</v>
      </c>
      <c r="T24" s="3">
        <f t="shared" si="0"/>
        <v>1092</v>
      </c>
      <c r="U24" s="106">
        <f t="shared" si="1"/>
        <v>64.235294117647058</v>
      </c>
      <c r="V24" s="174">
        <f t="shared" si="2"/>
        <v>12</v>
      </c>
    </row>
    <row r="25" spans="1:22">
      <c r="A25" s="212">
        <v>24</v>
      </c>
      <c r="B25" s="3">
        <f>Scoresheet!I26</f>
        <v>63</v>
      </c>
      <c r="C25" s="3">
        <f>Scoresheet!Q26</f>
        <v>60</v>
      </c>
      <c r="D25" s="3">
        <f>Scoresheet!Y26</f>
        <v>63</v>
      </c>
      <c r="E25" s="3">
        <f>Scoresheet!AJ26</f>
        <v>0</v>
      </c>
      <c r="F25" s="3">
        <f>Scoresheet!AR26</f>
        <v>54</v>
      </c>
      <c r="G25" s="3">
        <f>Scoresheet!AZ26</f>
        <v>36</v>
      </c>
      <c r="H25" s="3">
        <f>Scoresheet!BH26</f>
        <v>71</v>
      </c>
      <c r="I25" s="3">
        <f>Scoresheet!BP26</f>
        <v>81</v>
      </c>
      <c r="J25" s="3">
        <f>Scoresheet!BX26</f>
        <v>66</v>
      </c>
      <c r="K25" s="3">
        <f>Scoresheet!CF26</f>
        <v>71</v>
      </c>
      <c r="L25" s="3">
        <f>Scoresheet!CN26</f>
        <v>80</v>
      </c>
      <c r="M25" s="3">
        <f>Scoresheet!CV26</f>
        <v>61</v>
      </c>
      <c r="N25" s="3">
        <f>Scoresheet!DD26</f>
        <v>47</v>
      </c>
      <c r="O25" s="3">
        <f>Scoresheet!DL26</f>
        <v>68</v>
      </c>
      <c r="P25" s="3">
        <f>Scoresheet!DT26</f>
        <v>52</v>
      </c>
      <c r="Q25" s="3">
        <f>Scoresheet!EB26</f>
        <v>60</v>
      </c>
      <c r="R25" s="3">
        <f>Scoresheet!EJ26</f>
        <v>66</v>
      </c>
      <c r="S25" s="3">
        <f>Scoresheet!ER26</f>
        <v>74</v>
      </c>
      <c r="T25" s="3">
        <f t="shared" si="0"/>
        <v>1073</v>
      </c>
      <c r="U25" s="106">
        <f t="shared" si="1"/>
        <v>63.117647058823529</v>
      </c>
      <c r="V25" s="174">
        <f t="shared" si="2"/>
        <v>13</v>
      </c>
    </row>
    <row r="26" spans="1:22">
      <c r="A26" s="211">
        <v>25</v>
      </c>
      <c r="B26" s="3">
        <f>Scoresheet!I27</f>
        <v>42</v>
      </c>
      <c r="C26" s="3">
        <f>Scoresheet!Q27</f>
        <v>43</v>
      </c>
      <c r="D26" s="3">
        <f>Scoresheet!Y27</f>
        <v>39</v>
      </c>
      <c r="E26" s="3">
        <f>Scoresheet!AJ27</f>
        <v>0</v>
      </c>
      <c r="F26" s="3">
        <f>Scoresheet!AR27</f>
        <v>33</v>
      </c>
      <c r="G26" s="3">
        <f>Scoresheet!AZ27</f>
        <v>32</v>
      </c>
      <c r="H26" s="3">
        <f>Scoresheet!BH27</f>
        <v>24</v>
      </c>
      <c r="I26" s="3">
        <f>Scoresheet!BP27</f>
        <v>33</v>
      </c>
      <c r="J26" s="3">
        <f>Scoresheet!BX27</f>
        <v>29</v>
      </c>
      <c r="K26" s="3">
        <f>Scoresheet!CF27</f>
        <v>30</v>
      </c>
      <c r="L26" s="3">
        <f>Scoresheet!CN27</f>
        <v>37</v>
      </c>
      <c r="M26" s="3">
        <f>Scoresheet!CV27</f>
        <v>36</v>
      </c>
      <c r="N26" s="3">
        <f>Scoresheet!DD27</f>
        <v>40</v>
      </c>
      <c r="O26" s="3">
        <f>Scoresheet!DL27</f>
        <v>19</v>
      </c>
      <c r="P26" s="3">
        <f>Scoresheet!DT27</f>
        <v>25</v>
      </c>
      <c r="Q26" s="3">
        <f>Scoresheet!EB27</f>
        <v>29</v>
      </c>
      <c r="R26" s="3">
        <f>Scoresheet!EJ27</f>
        <v>40</v>
      </c>
      <c r="S26" s="3">
        <f>Scoresheet!ER27</f>
        <v>25</v>
      </c>
      <c r="T26" s="3">
        <f t="shared" si="0"/>
        <v>556</v>
      </c>
      <c r="U26" s="106">
        <f t="shared" si="1"/>
        <v>32.705882352941174</v>
      </c>
      <c r="V26" s="174">
        <f t="shared" si="2"/>
        <v>36</v>
      </c>
    </row>
    <row r="27" spans="1:22">
      <c r="A27" s="212">
        <v>26</v>
      </c>
      <c r="B27" s="3">
        <f>Scoresheet!I28</f>
        <v>59</v>
      </c>
      <c r="C27" s="3">
        <f>Scoresheet!Q28</f>
        <v>45</v>
      </c>
      <c r="D27" s="3">
        <f>Scoresheet!Y28</f>
        <v>58</v>
      </c>
      <c r="E27" s="3">
        <f>Scoresheet!AJ28</f>
        <v>0</v>
      </c>
      <c r="F27" s="3">
        <f>Scoresheet!AR28</f>
        <v>38</v>
      </c>
      <c r="G27" s="3">
        <f>Scoresheet!AZ28</f>
        <v>34</v>
      </c>
      <c r="H27" s="3">
        <f>Scoresheet!BH28</f>
        <v>69</v>
      </c>
      <c r="I27" s="3">
        <f>Scoresheet!BP28</f>
        <v>58</v>
      </c>
      <c r="J27" s="3">
        <f>Scoresheet!BX28</f>
        <v>51</v>
      </c>
      <c r="K27" s="3">
        <f>Scoresheet!CF28</f>
        <v>63</v>
      </c>
      <c r="L27" s="3">
        <f>Scoresheet!CN28</f>
        <v>75</v>
      </c>
      <c r="M27" s="3">
        <f>Scoresheet!CV28</f>
        <v>52</v>
      </c>
      <c r="N27" s="3">
        <f>Scoresheet!DD28</f>
        <v>49</v>
      </c>
      <c r="O27" s="3">
        <f>Scoresheet!DL28</f>
        <v>68</v>
      </c>
      <c r="P27" s="3">
        <f>Scoresheet!DT28</f>
        <v>42</v>
      </c>
      <c r="Q27" s="3">
        <f>Scoresheet!EB28</f>
        <v>47</v>
      </c>
      <c r="R27" s="3">
        <f>Scoresheet!EJ28</f>
        <v>63</v>
      </c>
      <c r="S27" s="3">
        <f>Scoresheet!ER28</f>
        <v>53</v>
      </c>
      <c r="T27" s="3">
        <f t="shared" si="0"/>
        <v>924</v>
      </c>
      <c r="U27" s="106">
        <f t="shared" si="1"/>
        <v>54.352941176470587</v>
      </c>
      <c r="V27" s="174">
        <f t="shared" si="2"/>
        <v>19</v>
      </c>
    </row>
    <row r="28" spans="1:22">
      <c r="A28" s="211">
        <v>27</v>
      </c>
      <c r="B28" s="3">
        <f>Scoresheet!I29</f>
        <v>74</v>
      </c>
      <c r="C28" s="3">
        <f>Scoresheet!Q29</f>
        <v>64</v>
      </c>
      <c r="D28" s="3">
        <f>Scoresheet!Y29</f>
        <v>84</v>
      </c>
      <c r="E28" s="3">
        <f>Scoresheet!AJ29</f>
        <v>97</v>
      </c>
      <c r="F28" s="3">
        <f>Scoresheet!AR29</f>
        <v>79</v>
      </c>
      <c r="G28" s="3">
        <f>Scoresheet!AZ29</f>
        <v>74</v>
      </c>
      <c r="H28" s="3">
        <f>Scoresheet!BH29</f>
        <v>89</v>
      </c>
      <c r="I28" s="3">
        <f>Scoresheet!BP29</f>
        <v>85</v>
      </c>
      <c r="J28" s="3">
        <f>Scoresheet!BX29</f>
        <v>80</v>
      </c>
      <c r="K28" s="3">
        <f>Scoresheet!CF29</f>
        <v>83</v>
      </c>
      <c r="L28" s="3">
        <f>Scoresheet!CN29</f>
        <v>95</v>
      </c>
      <c r="M28" s="3">
        <f>Scoresheet!CV29</f>
        <v>73</v>
      </c>
      <c r="N28" s="3">
        <f>Scoresheet!DD29</f>
        <v>55</v>
      </c>
      <c r="O28" s="3">
        <f>Scoresheet!DL29</f>
        <v>72</v>
      </c>
      <c r="P28" s="3">
        <f>Scoresheet!DT29</f>
        <v>73</v>
      </c>
      <c r="Q28" s="3">
        <f>Scoresheet!EB29</f>
        <v>86</v>
      </c>
      <c r="R28" s="3">
        <f>Scoresheet!EJ29</f>
        <v>76</v>
      </c>
      <c r="S28" s="3">
        <f>Scoresheet!ER29</f>
        <v>0</v>
      </c>
      <c r="T28" s="3">
        <f t="shared" si="0"/>
        <v>1339</v>
      </c>
      <c r="U28" s="106">
        <f t="shared" si="1"/>
        <v>78.764705882352942</v>
      </c>
      <c r="V28" s="174">
        <f t="shared" si="2"/>
        <v>2</v>
      </c>
    </row>
    <row r="29" spans="1:22">
      <c r="A29" s="212">
        <v>28</v>
      </c>
      <c r="B29" s="3">
        <f>Scoresheet!I30</f>
        <v>81</v>
      </c>
      <c r="C29" s="3">
        <f>Scoresheet!Q30</f>
        <v>62</v>
      </c>
      <c r="D29" s="3">
        <f>Scoresheet!Y30</f>
        <v>72</v>
      </c>
      <c r="E29" s="3">
        <f>Scoresheet!AJ30</f>
        <v>0</v>
      </c>
      <c r="F29" s="3">
        <f>Scoresheet!AR30</f>
        <v>66</v>
      </c>
      <c r="G29" s="3">
        <f>Scoresheet!AZ30</f>
        <v>62</v>
      </c>
      <c r="H29" s="3">
        <f>Scoresheet!BH30</f>
        <v>82</v>
      </c>
      <c r="I29" s="3">
        <f>Scoresheet!BP30</f>
        <v>81</v>
      </c>
      <c r="J29" s="3">
        <f>Scoresheet!BX30</f>
        <v>70</v>
      </c>
      <c r="K29" s="3">
        <f>Scoresheet!CF30</f>
        <v>77</v>
      </c>
      <c r="L29" s="3">
        <f>Scoresheet!CN30</f>
        <v>87</v>
      </c>
      <c r="M29" s="3">
        <f>Scoresheet!CV30</f>
        <v>78</v>
      </c>
      <c r="N29" s="3">
        <f>Scoresheet!DD30</f>
        <v>54</v>
      </c>
      <c r="O29" s="3">
        <f>Scoresheet!DL30</f>
        <v>88</v>
      </c>
      <c r="P29" s="3">
        <f>Scoresheet!DT30</f>
        <v>65</v>
      </c>
      <c r="Q29" s="3">
        <f>Scoresheet!EB30</f>
        <v>76</v>
      </c>
      <c r="R29" s="3">
        <f>Scoresheet!EJ30</f>
        <v>76</v>
      </c>
      <c r="S29" s="3">
        <f>Scoresheet!ER30</f>
        <v>69</v>
      </c>
      <c r="T29" s="3">
        <f t="shared" si="0"/>
        <v>1246</v>
      </c>
      <c r="U29" s="106">
        <f t="shared" si="1"/>
        <v>73.294117647058826</v>
      </c>
      <c r="V29" s="174">
        <f t="shared" si="2"/>
        <v>5</v>
      </c>
    </row>
    <row r="30" spans="1:22">
      <c r="A30" s="211">
        <v>29</v>
      </c>
      <c r="B30" s="3">
        <f>Scoresheet!I31</f>
        <v>74</v>
      </c>
      <c r="C30" s="3">
        <f>Scoresheet!Q31</f>
        <v>50</v>
      </c>
      <c r="D30" s="3">
        <f>Scoresheet!Y31</f>
        <v>59</v>
      </c>
      <c r="E30" s="3">
        <f>Scoresheet!AJ31</f>
        <v>0</v>
      </c>
      <c r="F30" s="3">
        <f>Scoresheet!AR31</f>
        <v>55</v>
      </c>
      <c r="G30" s="3">
        <f>Scoresheet!AZ31</f>
        <v>46</v>
      </c>
      <c r="H30" s="3">
        <f>Scoresheet!BH31</f>
        <v>71</v>
      </c>
      <c r="I30" s="3">
        <f>Scoresheet!BP31</f>
        <v>70</v>
      </c>
      <c r="J30" s="3">
        <f>Scoresheet!BX31</f>
        <v>63</v>
      </c>
      <c r="K30" s="3">
        <f>Scoresheet!CF31</f>
        <v>49</v>
      </c>
      <c r="L30" s="3">
        <f>Scoresheet!CN31</f>
        <v>64</v>
      </c>
      <c r="M30" s="3">
        <f>Scoresheet!CV31</f>
        <v>57</v>
      </c>
      <c r="N30" s="3">
        <f>Scoresheet!DD31</f>
        <v>52</v>
      </c>
      <c r="O30" s="3">
        <f>Scoresheet!DL31</f>
        <v>80</v>
      </c>
      <c r="P30" s="3">
        <f>Scoresheet!DT31</f>
        <v>59</v>
      </c>
      <c r="Q30" s="3">
        <f>Scoresheet!EB31</f>
        <v>61</v>
      </c>
      <c r="R30" s="3">
        <f>Scoresheet!EJ31</f>
        <v>69</v>
      </c>
      <c r="S30" s="3">
        <f>Scoresheet!ER31</f>
        <v>75</v>
      </c>
      <c r="T30" s="3">
        <f t="shared" si="0"/>
        <v>1054</v>
      </c>
      <c r="U30" s="106">
        <f t="shared" si="1"/>
        <v>62</v>
      </c>
      <c r="V30" s="174">
        <f t="shared" si="2"/>
        <v>15</v>
      </c>
    </row>
    <row r="31" spans="1:22">
      <c r="A31" s="212">
        <v>30</v>
      </c>
      <c r="B31" s="3">
        <f>Scoresheet!I32</f>
        <v>57</v>
      </c>
      <c r="C31" s="3">
        <f>Scoresheet!Q32</f>
        <v>43</v>
      </c>
      <c r="D31" s="3">
        <f>Scoresheet!Y32</f>
        <v>58</v>
      </c>
      <c r="E31" s="3">
        <f>Scoresheet!AJ32</f>
        <v>0</v>
      </c>
      <c r="F31" s="3">
        <f>Scoresheet!AR32</f>
        <v>41</v>
      </c>
      <c r="G31" s="3">
        <f>Scoresheet!AZ32</f>
        <v>34</v>
      </c>
      <c r="H31" s="3">
        <f>Scoresheet!BH32</f>
        <v>48</v>
      </c>
      <c r="I31" s="3">
        <f>Scoresheet!BP32</f>
        <v>50</v>
      </c>
      <c r="J31" s="3">
        <f>Scoresheet!BX32</f>
        <v>67</v>
      </c>
      <c r="K31" s="3">
        <f>Scoresheet!CF32</f>
        <v>57</v>
      </c>
      <c r="L31" s="3">
        <f>Scoresheet!CN32</f>
        <v>60</v>
      </c>
      <c r="M31" s="3">
        <f>Scoresheet!CV32</f>
        <v>65</v>
      </c>
      <c r="N31" s="3">
        <f>Scoresheet!DD32</f>
        <v>46</v>
      </c>
      <c r="O31" s="3">
        <f>Scoresheet!DL32</f>
        <v>60</v>
      </c>
      <c r="P31" s="3">
        <f>Scoresheet!DT32</f>
        <v>45</v>
      </c>
      <c r="Q31" s="3">
        <f>Scoresheet!EB32</f>
        <v>43</v>
      </c>
      <c r="R31" s="3">
        <f>Scoresheet!EJ32</f>
        <v>64</v>
      </c>
      <c r="S31" s="3">
        <f>Scoresheet!ER32</f>
        <v>70</v>
      </c>
      <c r="T31" s="3">
        <f t="shared" si="0"/>
        <v>908</v>
      </c>
      <c r="U31" s="106">
        <f t="shared" si="1"/>
        <v>53.411764705882355</v>
      </c>
      <c r="V31" s="174">
        <f t="shared" si="2"/>
        <v>20</v>
      </c>
    </row>
    <row r="32" spans="1:22">
      <c r="A32" s="211">
        <v>31</v>
      </c>
      <c r="B32" s="3">
        <f>Scoresheet!I33</f>
        <v>53</v>
      </c>
      <c r="C32" s="3">
        <f>Scoresheet!Q33</f>
        <v>49</v>
      </c>
      <c r="D32" s="3">
        <f>Scoresheet!Y33</f>
        <v>57</v>
      </c>
      <c r="E32" s="3">
        <f>Scoresheet!AJ33</f>
        <v>46</v>
      </c>
      <c r="F32" s="3">
        <f>Scoresheet!AR33</f>
        <v>31</v>
      </c>
      <c r="G32" s="3">
        <f>Scoresheet!AZ33</f>
        <v>44</v>
      </c>
      <c r="H32" s="3">
        <f>Scoresheet!BH33</f>
        <v>47</v>
      </c>
      <c r="I32" s="3">
        <f>Scoresheet!BP33</f>
        <v>47</v>
      </c>
      <c r="J32" s="3">
        <f>Scoresheet!BX33</f>
        <v>50</v>
      </c>
      <c r="K32" s="3">
        <f>Scoresheet!CF33</f>
        <v>48</v>
      </c>
      <c r="L32" s="3">
        <f>Scoresheet!CN33</f>
        <v>66</v>
      </c>
      <c r="M32" s="3">
        <f>Scoresheet!CV33</f>
        <v>50</v>
      </c>
      <c r="N32" s="3">
        <f>Scoresheet!DD33</f>
        <v>54</v>
      </c>
      <c r="O32" s="3">
        <f>Scoresheet!DL33</f>
        <v>33</v>
      </c>
      <c r="P32" s="3">
        <f>Scoresheet!DT33</f>
        <v>28</v>
      </c>
      <c r="Q32" s="3">
        <f>Scoresheet!EB33</f>
        <v>40</v>
      </c>
      <c r="R32" s="3">
        <f>Scoresheet!EJ33</f>
        <v>56</v>
      </c>
      <c r="S32" s="3">
        <f>Scoresheet!ER33</f>
        <v>0</v>
      </c>
      <c r="T32" s="3">
        <f t="shared" si="0"/>
        <v>799</v>
      </c>
      <c r="U32" s="106">
        <f t="shared" si="1"/>
        <v>47</v>
      </c>
      <c r="V32" s="174">
        <f t="shared" si="2"/>
        <v>27</v>
      </c>
    </row>
    <row r="33" spans="1:22">
      <c r="A33" s="212">
        <v>32</v>
      </c>
      <c r="B33" s="3">
        <f>Scoresheet!I34</f>
        <v>57</v>
      </c>
      <c r="C33" s="3">
        <f>Scoresheet!Q34</f>
        <v>48</v>
      </c>
      <c r="D33" s="3">
        <f>Scoresheet!Y34</f>
        <v>57</v>
      </c>
      <c r="E33" s="3">
        <f>Scoresheet!AJ34</f>
        <v>0</v>
      </c>
      <c r="F33" s="3">
        <f>Scoresheet!AR34</f>
        <v>49</v>
      </c>
      <c r="G33" s="3">
        <f>Scoresheet!AZ34</f>
        <v>28</v>
      </c>
      <c r="H33" s="3">
        <f>Scoresheet!BH34</f>
        <v>56</v>
      </c>
      <c r="I33" s="3">
        <f>Scoresheet!BP34</f>
        <v>48</v>
      </c>
      <c r="J33" s="3">
        <f>Scoresheet!BX34</f>
        <v>51</v>
      </c>
      <c r="K33" s="3">
        <f>Scoresheet!CF34</f>
        <v>46</v>
      </c>
      <c r="L33" s="3">
        <f>Scoresheet!CN34</f>
        <v>58</v>
      </c>
      <c r="M33" s="3">
        <f>Scoresheet!CV34</f>
        <v>39</v>
      </c>
      <c r="N33" s="3">
        <f>Scoresheet!DD34</f>
        <v>42</v>
      </c>
      <c r="O33" s="3">
        <f>Scoresheet!DL34</f>
        <v>36</v>
      </c>
      <c r="P33" s="3">
        <f>Scoresheet!DT34</f>
        <v>27</v>
      </c>
      <c r="Q33" s="3">
        <f>Scoresheet!EB34</f>
        <v>41</v>
      </c>
      <c r="R33" s="3">
        <f>Scoresheet!EJ34</f>
        <v>42</v>
      </c>
      <c r="S33" s="3">
        <f>Scoresheet!ER34</f>
        <v>65</v>
      </c>
      <c r="T33" s="3">
        <f t="shared" si="0"/>
        <v>790</v>
      </c>
      <c r="U33" s="106">
        <f t="shared" si="1"/>
        <v>46.470588235294116</v>
      </c>
      <c r="V33" s="174">
        <f t="shared" si="2"/>
        <v>28</v>
      </c>
    </row>
    <row r="34" spans="1:22">
      <c r="A34" s="211">
        <v>33</v>
      </c>
      <c r="B34" s="3">
        <f>Scoresheet!I35</f>
        <v>62</v>
      </c>
      <c r="C34" s="3">
        <f>Scoresheet!Q35</f>
        <v>52</v>
      </c>
      <c r="D34" s="3">
        <f>Scoresheet!Y35</f>
        <v>77</v>
      </c>
      <c r="E34" s="3">
        <f>Scoresheet!AJ35</f>
        <v>0</v>
      </c>
      <c r="F34" s="3">
        <f>Scoresheet!AR35</f>
        <v>61</v>
      </c>
      <c r="G34" s="3">
        <f>Scoresheet!AZ35</f>
        <v>42</v>
      </c>
      <c r="H34" s="3">
        <f>Scoresheet!BH35</f>
        <v>67</v>
      </c>
      <c r="I34" s="3">
        <f>Scoresheet!BP35</f>
        <v>55</v>
      </c>
      <c r="J34" s="3">
        <f>Scoresheet!BX35</f>
        <v>74</v>
      </c>
      <c r="K34" s="3">
        <f>Scoresheet!CF35</f>
        <v>73</v>
      </c>
      <c r="L34" s="3">
        <f>Scoresheet!CN35</f>
        <v>76</v>
      </c>
      <c r="M34" s="3">
        <f>Scoresheet!CV35</f>
        <v>65</v>
      </c>
      <c r="N34" s="3">
        <f>Scoresheet!DD35</f>
        <v>47</v>
      </c>
      <c r="O34" s="3">
        <f>Scoresheet!DL35</f>
        <v>68</v>
      </c>
      <c r="P34" s="3">
        <f>Scoresheet!DT35</f>
        <v>53</v>
      </c>
      <c r="Q34" s="3">
        <f>Scoresheet!EB35</f>
        <v>59</v>
      </c>
      <c r="R34" s="3">
        <f>Scoresheet!EJ35</f>
        <v>76</v>
      </c>
      <c r="S34" s="3">
        <f>Scoresheet!ER35</f>
        <v>48</v>
      </c>
      <c r="T34" s="3">
        <f t="shared" si="0"/>
        <v>1055</v>
      </c>
      <c r="U34" s="106">
        <f t="shared" si="1"/>
        <v>62.058823529411768</v>
      </c>
      <c r="V34" s="174">
        <f t="shared" si="2"/>
        <v>14</v>
      </c>
    </row>
    <row r="35" spans="1:22">
      <c r="A35" s="212">
        <v>34</v>
      </c>
      <c r="B35" s="3">
        <f>Scoresheet!I36</f>
        <v>58</v>
      </c>
      <c r="C35" s="3">
        <f>Scoresheet!Q36</f>
        <v>52</v>
      </c>
      <c r="D35" s="3">
        <f>Scoresheet!Y36</f>
        <v>58</v>
      </c>
      <c r="E35" s="3">
        <f>Scoresheet!AJ36</f>
        <v>0</v>
      </c>
      <c r="F35" s="3">
        <f>Scoresheet!AR36</f>
        <v>42</v>
      </c>
      <c r="G35" s="3">
        <f>Scoresheet!AZ36</f>
        <v>36</v>
      </c>
      <c r="H35" s="3">
        <f>Scoresheet!BH36</f>
        <v>51</v>
      </c>
      <c r="I35" s="3">
        <f>Scoresheet!BP36</f>
        <v>57</v>
      </c>
      <c r="J35" s="3">
        <f>Scoresheet!BX36</f>
        <v>52</v>
      </c>
      <c r="K35" s="3">
        <f>Scoresheet!CF36</f>
        <v>59</v>
      </c>
      <c r="L35" s="3">
        <f>Scoresheet!CN36</f>
        <v>58</v>
      </c>
      <c r="M35" s="3">
        <f>Scoresheet!CV36</f>
        <v>46</v>
      </c>
      <c r="N35" s="3">
        <f>Scoresheet!DD36</f>
        <v>46</v>
      </c>
      <c r="O35" s="3">
        <f>Scoresheet!DL36</f>
        <v>41</v>
      </c>
      <c r="P35" s="3">
        <f>Scoresheet!DT36</f>
        <v>34</v>
      </c>
      <c r="Q35" s="3">
        <f>Scoresheet!EB36</f>
        <v>42</v>
      </c>
      <c r="R35" s="3">
        <f>Scoresheet!EJ36</f>
        <v>63</v>
      </c>
      <c r="S35" s="3">
        <f>Scoresheet!ER36</f>
        <v>42</v>
      </c>
      <c r="T35" s="3">
        <f t="shared" si="0"/>
        <v>837</v>
      </c>
      <c r="U35" s="106">
        <f t="shared" si="1"/>
        <v>49.235294117647058</v>
      </c>
      <c r="V35" s="174">
        <f t="shared" si="2"/>
        <v>25</v>
      </c>
    </row>
    <row r="36" spans="1:22">
      <c r="A36" s="211">
        <v>35</v>
      </c>
      <c r="B36" s="3">
        <f>Scoresheet!I37</f>
        <v>56</v>
      </c>
      <c r="C36" s="3">
        <f>Scoresheet!Q37</f>
        <v>52</v>
      </c>
      <c r="D36" s="3">
        <f>Scoresheet!Y37</f>
        <v>46</v>
      </c>
      <c r="E36" s="3">
        <f>Scoresheet!AJ37</f>
        <v>65</v>
      </c>
      <c r="F36" s="3">
        <f>Scoresheet!AR37</f>
        <v>42</v>
      </c>
      <c r="G36" s="3">
        <f>Scoresheet!AZ37</f>
        <v>36</v>
      </c>
      <c r="H36" s="3">
        <f>Scoresheet!BH37</f>
        <v>62</v>
      </c>
      <c r="I36" s="3">
        <f>Scoresheet!BP37</f>
        <v>54</v>
      </c>
      <c r="J36" s="3">
        <f>Scoresheet!BX37</f>
        <v>44</v>
      </c>
      <c r="K36" s="3">
        <f>Scoresheet!CF37</f>
        <v>70</v>
      </c>
      <c r="L36" s="3">
        <f>Scoresheet!CN37</f>
        <v>48</v>
      </c>
      <c r="M36" s="3">
        <f>Scoresheet!CV37</f>
        <v>47</v>
      </c>
      <c r="N36" s="3">
        <f>Scoresheet!DD37</f>
        <v>46</v>
      </c>
      <c r="O36" s="3">
        <f>Scoresheet!DL37</f>
        <v>40</v>
      </c>
      <c r="P36" s="3">
        <f>Scoresheet!DT37</f>
        <v>55</v>
      </c>
      <c r="Q36" s="3">
        <f>Scoresheet!EB37</f>
        <v>41</v>
      </c>
      <c r="R36" s="3">
        <f>Scoresheet!EJ37</f>
        <v>59</v>
      </c>
      <c r="S36" s="3">
        <f>Scoresheet!ER37</f>
        <v>0</v>
      </c>
      <c r="T36" s="3">
        <f t="shared" si="0"/>
        <v>863</v>
      </c>
      <c r="U36" s="106">
        <f t="shared" si="1"/>
        <v>50.764705882352942</v>
      </c>
      <c r="V36" s="174">
        <f t="shared" si="2"/>
        <v>22</v>
      </c>
    </row>
    <row r="37" spans="1:22">
      <c r="A37" s="212">
        <v>36</v>
      </c>
      <c r="B37" s="3">
        <f>Scoresheet!I38</f>
        <v>66</v>
      </c>
      <c r="C37" s="3">
        <f>Scoresheet!Q38</f>
        <v>50</v>
      </c>
      <c r="D37" s="3">
        <f>Scoresheet!Y38</f>
        <v>61</v>
      </c>
      <c r="E37" s="3">
        <f>Scoresheet!AJ38</f>
        <v>67</v>
      </c>
      <c r="F37" s="3">
        <f>Scoresheet!AR38</f>
        <v>39</v>
      </c>
      <c r="G37" s="3">
        <f>Scoresheet!AZ38</f>
        <v>48</v>
      </c>
      <c r="H37" s="3">
        <f>Scoresheet!BH38</f>
        <v>41</v>
      </c>
      <c r="I37" s="3">
        <f>Scoresheet!BP38</f>
        <v>57</v>
      </c>
      <c r="J37" s="3">
        <f>Scoresheet!BX38</f>
        <v>52</v>
      </c>
      <c r="K37" s="3">
        <f>Scoresheet!CF38</f>
        <v>68</v>
      </c>
      <c r="L37" s="3">
        <f>Scoresheet!CN38</f>
        <v>65</v>
      </c>
      <c r="M37" s="3">
        <f>Scoresheet!CV38</f>
        <v>48</v>
      </c>
      <c r="N37" s="3">
        <f>Scoresheet!DD38</f>
        <v>43</v>
      </c>
      <c r="O37" s="3">
        <f>Scoresheet!DL38</f>
        <v>47</v>
      </c>
      <c r="P37" s="3">
        <f>Scoresheet!DT38</f>
        <v>33</v>
      </c>
      <c r="Q37" s="3">
        <f>Scoresheet!EB38</f>
        <v>39</v>
      </c>
      <c r="R37" s="3">
        <f>Scoresheet!EJ38</f>
        <v>59</v>
      </c>
      <c r="S37" s="3">
        <f>Scoresheet!ER38</f>
        <v>0</v>
      </c>
      <c r="T37" s="3">
        <f t="shared" si="0"/>
        <v>883</v>
      </c>
      <c r="U37" s="106">
        <f t="shared" si="1"/>
        <v>51.941176470588232</v>
      </c>
      <c r="V37" s="174">
        <f t="shared" si="2"/>
        <v>21</v>
      </c>
    </row>
    <row r="38" spans="1:22">
      <c r="A38" s="211">
        <v>37</v>
      </c>
      <c r="B38" s="3">
        <f>Scoresheet!I39</f>
        <v>14</v>
      </c>
      <c r="C38" s="3">
        <f>Scoresheet!Q39</f>
        <v>44</v>
      </c>
      <c r="D38" s="3">
        <f>Scoresheet!Y39</f>
        <v>36</v>
      </c>
      <c r="E38" s="3">
        <f>Scoresheet!AJ39</f>
        <v>0</v>
      </c>
      <c r="F38" s="3">
        <f>Scoresheet!AR39</f>
        <v>34</v>
      </c>
      <c r="G38" s="3">
        <f>Scoresheet!AZ39</f>
        <v>24</v>
      </c>
      <c r="H38" s="3">
        <f>Scoresheet!BH39</f>
        <v>27</v>
      </c>
      <c r="I38" s="3">
        <f>Scoresheet!BP39</f>
        <v>39</v>
      </c>
      <c r="J38" s="3">
        <f>Scoresheet!BX39</f>
        <v>30</v>
      </c>
      <c r="K38" s="3">
        <f>Scoresheet!CF39</f>
        <v>24</v>
      </c>
      <c r="L38" s="3">
        <f>Scoresheet!CN39</f>
        <v>32</v>
      </c>
      <c r="M38" s="3">
        <f>Scoresheet!CV39</f>
        <v>36</v>
      </c>
      <c r="N38" s="3">
        <f>Scoresheet!DD39</f>
        <v>46</v>
      </c>
      <c r="O38" s="3">
        <f>Scoresheet!DL39</f>
        <v>11</v>
      </c>
      <c r="P38" s="3">
        <f>Scoresheet!DT39</f>
        <v>22</v>
      </c>
      <c r="Q38" s="3">
        <f>Scoresheet!EB39</f>
        <v>0</v>
      </c>
      <c r="R38" s="3">
        <f>Scoresheet!EJ39</f>
        <v>40</v>
      </c>
      <c r="S38" s="3">
        <f>Scoresheet!ER39</f>
        <v>32</v>
      </c>
      <c r="T38" s="3">
        <f t="shared" si="0"/>
        <v>491</v>
      </c>
      <c r="U38" s="106">
        <f t="shared" si="1"/>
        <v>30.6875</v>
      </c>
      <c r="V38" s="174">
        <f t="shared" si="2"/>
        <v>37</v>
      </c>
    </row>
    <row r="39" spans="1:22">
      <c r="A39" s="212">
        <v>38</v>
      </c>
      <c r="B39" s="3">
        <f>Scoresheet!I40</f>
        <v>74</v>
      </c>
      <c r="C39" s="3">
        <f>Scoresheet!Q40</f>
        <v>54</v>
      </c>
      <c r="D39" s="3">
        <f>Scoresheet!Y40</f>
        <v>72</v>
      </c>
      <c r="E39" s="3">
        <f>Scoresheet!AJ40</f>
        <v>83</v>
      </c>
      <c r="F39" s="3">
        <f>Scoresheet!AR40</f>
        <v>54</v>
      </c>
      <c r="G39" s="3">
        <f>Scoresheet!AZ40</f>
        <v>62</v>
      </c>
      <c r="H39" s="3">
        <f>Scoresheet!BH40</f>
        <v>68</v>
      </c>
      <c r="I39" s="3">
        <f>Scoresheet!BP40</f>
        <v>74</v>
      </c>
      <c r="J39" s="3">
        <f>Scoresheet!BX40</f>
        <v>75</v>
      </c>
      <c r="K39" s="3">
        <f>Scoresheet!CF40</f>
        <v>89</v>
      </c>
      <c r="L39" s="3">
        <f>Scoresheet!CN40</f>
        <v>87</v>
      </c>
      <c r="M39" s="3">
        <f>Scoresheet!CV40</f>
        <v>75</v>
      </c>
      <c r="N39" s="3">
        <f>Scoresheet!DD40</f>
        <v>48</v>
      </c>
      <c r="O39" s="3">
        <f>Scoresheet!DL40</f>
        <v>67</v>
      </c>
      <c r="P39" s="3">
        <f>Scoresheet!DT40</f>
        <v>60</v>
      </c>
      <c r="Q39" s="3">
        <f>Scoresheet!EB40</f>
        <v>79</v>
      </c>
      <c r="R39" s="3">
        <f>Scoresheet!EJ40</f>
        <v>80</v>
      </c>
      <c r="S39" s="3">
        <f>Scoresheet!ER40</f>
        <v>0</v>
      </c>
      <c r="T39" s="3">
        <f t="shared" si="0"/>
        <v>1201</v>
      </c>
      <c r="U39" s="106">
        <f t="shared" si="1"/>
        <v>70.647058823529406</v>
      </c>
      <c r="V39" s="174">
        <f t="shared" si="2"/>
        <v>9</v>
      </c>
    </row>
    <row r="40" spans="1:22">
      <c r="A40" s="211">
        <v>39</v>
      </c>
      <c r="B40" s="3">
        <f>Scoresheet!I41</f>
        <v>60</v>
      </c>
      <c r="C40" s="3">
        <f>Scoresheet!Q41</f>
        <v>44</v>
      </c>
      <c r="D40" s="3">
        <f>Scoresheet!Y41</f>
        <v>53</v>
      </c>
      <c r="E40" s="3">
        <f>Scoresheet!AJ41</f>
        <v>63</v>
      </c>
      <c r="F40" s="3">
        <f>Scoresheet!AR41</f>
        <v>40</v>
      </c>
      <c r="G40" s="3">
        <f>Scoresheet!AZ41</f>
        <v>39</v>
      </c>
      <c r="H40" s="3">
        <f>Scoresheet!BH41</f>
        <v>60</v>
      </c>
      <c r="I40" s="3">
        <f>Scoresheet!BP41</f>
        <v>52</v>
      </c>
      <c r="J40" s="3">
        <f>Scoresheet!BX41</f>
        <v>50</v>
      </c>
      <c r="K40" s="3">
        <f>Scoresheet!CF41</f>
        <v>55</v>
      </c>
      <c r="L40" s="3">
        <f>Scoresheet!CN41</f>
        <v>57</v>
      </c>
      <c r="M40" s="3">
        <f>Scoresheet!CV41</f>
        <v>45</v>
      </c>
      <c r="N40" s="3">
        <f>Scoresheet!DD41</f>
        <v>44</v>
      </c>
      <c r="O40" s="3">
        <f>Scoresheet!DL41</f>
        <v>53</v>
      </c>
      <c r="P40" s="3">
        <f>Scoresheet!DT41</f>
        <v>26</v>
      </c>
      <c r="Q40" s="3">
        <f>Scoresheet!EB41</f>
        <v>45</v>
      </c>
      <c r="R40" s="3">
        <f>Scoresheet!EJ41</f>
        <v>51</v>
      </c>
      <c r="S40" s="3">
        <f>Scoresheet!ER41</f>
        <v>0</v>
      </c>
      <c r="T40" s="3">
        <f t="shared" si="0"/>
        <v>837</v>
      </c>
      <c r="U40" s="106">
        <f t="shared" si="1"/>
        <v>49.235294117647058</v>
      </c>
      <c r="V40" s="174">
        <f t="shared" si="2"/>
        <v>25</v>
      </c>
    </row>
    <row r="41" spans="1:22">
      <c r="A41" s="212">
        <v>40</v>
      </c>
      <c r="B41" s="3">
        <f>Scoresheet!I42</f>
        <v>0</v>
      </c>
      <c r="C41" s="3">
        <f>Scoresheet!Q42</f>
        <v>0</v>
      </c>
      <c r="D41" s="3">
        <f>Scoresheet!Y42</f>
        <v>0</v>
      </c>
      <c r="E41" s="3">
        <f>Scoresheet!AJ42</f>
        <v>0</v>
      </c>
      <c r="F41" s="3">
        <f>Scoresheet!AR42</f>
        <v>0</v>
      </c>
      <c r="G41" s="3">
        <f>Scoresheet!AZ42</f>
        <v>0</v>
      </c>
      <c r="H41" s="3">
        <f>Scoresheet!BH42</f>
        <v>0</v>
      </c>
      <c r="I41" s="3">
        <f>Scoresheet!BP42</f>
        <v>0</v>
      </c>
      <c r="J41" s="3">
        <f>Scoresheet!BX42</f>
        <v>0</v>
      </c>
      <c r="K41" s="3">
        <f>Scoresheet!CF42</f>
        <v>27</v>
      </c>
      <c r="L41" s="3">
        <f>Scoresheet!CN42</f>
        <v>0</v>
      </c>
      <c r="M41" s="3">
        <f>Scoresheet!CV42</f>
        <v>0</v>
      </c>
      <c r="N41" s="3">
        <f>Scoresheet!DD42</f>
        <v>24</v>
      </c>
      <c r="O41" s="3">
        <f>Scoresheet!DL42</f>
        <v>0</v>
      </c>
      <c r="P41" s="3">
        <f>Scoresheet!DT42</f>
        <v>0</v>
      </c>
      <c r="Q41" s="3">
        <f>Scoresheet!EB42</f>
        <v>0</v>
      </c>
      <c r="R41" s="3">
        <f>Scoresheet!EJ42</f>
        <v>0</v>
      </c>
      <c r="S41" s="3">
        <f>Scoresheet!ER42</f>
        <v>0</v>
      </c>
      <c r="T41" s="3">
        <f t="shared" si="0"/>
        <v>51</v>
      </c>
      <c r="U41" s="106">
        <f t="shared" si="1"/>
        <v>25.5</v>
      </c>
      <c r="V41" s="174">
        <f t="shared" si="2"/>
        <v>41</v>
      </c>
    </row>
    <row r="42" spans="1:22">
      <c r="A42" s="211"/>
      <c r="B42" s="3"/>
      <c r="C42" s="3"/>
      <c r="D42" s="3"/>
      <c r="E42" s="3"/>
      <c r="F42" s="3"/>
      <c r="G42" s="3"/>
      <c r="H42" s="3"/>
      <c r="I42" s="3"/>
      <c r="J42" s="3"/>
      <c r="K42" s="3"/>
      <c r="L42" s="3">
        <f>Scoresheet!CN43</f>
        <v>32</v>
      </c>
      <c r="M42" s="3">
        <f>Scoresheet!CV43</f>
        <v>49</v>
      </c>
      <c r="N42" s="3">
        <f>Scoresheet!DD43</f>
        <v>38</v>
      </c>
      <c r="O42" s="3">
        <f>Scoresheet!DL43</f>
        <v>15</v>
      </c>
      <c r="P42" s="3">
        <f>Scoresheet!DT43</f>
        <v>15</v>
      </c>
      <c r="Q42" s="3">
        <f>Scoresheet!EB43</f>
        <v>18</v>
      </c>
      <c r="R42" s="3">
        <f>Scoresheet!EJ43</f>
        <v>20</v>
      </c>
      <c r="S42" s="3">
        <f>Scoresheet!ER43</f>
        <v>33</v>
      </c>
      <c r="T42" s="3">
        <f t="shared" si="0"/>
        <v>220</v>
      </c>
      <c r="U42" s="106">
        <f t="shared" si="1"/>
        <v>27.5</v>
      </c>
      <c r="V42" s="174">
        <f t="shared" si="2"/>
        <v>40</v>
      </c>
    </row>
    <row r="43" spans="1:22">
      <c r="A43" s="212"/>
      <c r="B43" s="3"/>
      <c r="C43" s="3"/>
      <c r="D43" s="3"/>
      <c r="E43" s="3"/>
      <c r="F43" s="3"/>
      <c r="G43" s="3"/>
      <c r="H43" s="3"/>
      <c r="I43" s="3"/>
      <c r="J43" s="3"/>
      <c r="K43" s="3"/>
      <c r="L43" s="3">
        <f>Scoresheet!CN44</f>
        <v>0</v>
      </c>
      <c r="M43" s="3">
        <f>Scoresheet!CV44</f>
        <v>0</v>
      </c>
      <c r="N43" s="3">
        <f>Scoresheet!DD44</f>
        <v>0</v>
      </c>
      <c r="O43" s="3">
        <f>Scoresheet!DL44</f>
        <v>0</v>
      </c>
      <c r="P43" s="3">
        <f>Scoresheet!DT44</f>
        <v>0</v>
      </c>
      <c r="Q43" s="3">
        <f>Scoresheet!EB44</f>
        <v>0</v>
      </c>
      <c r="R43" s="3">
        <f>Scoresheet!EJ44</f>
        <v>0</v>
      </c>
      <c r="S43" s="3">
        <f>Scoresheet!ER44</f>
        <v>0</v>
      </c>
      <c r="T43" s="3">
        <f t="shared" si="0"/>
        <v>0</v>
      </c>
      <c r="U43" s="106" t="str">
        <f t="shared" si="1"/>
        <v/>
      </c>
      <c r="V43" s="174" t="e">
        <f t="shared" si="2"/>
        <v>#VALUE!</v>
      </c>
    </row>
    <row r="44" spans="1:22">
      <c r="A44" s="211"/>
      <c r="B44" s="3"/>
      <c r="C44" s="3"/>
      <c r="D44" s="3"/>
      <c r="E44" s="3"/>
      <c r="F44" s="3"/>
      <c r="G44" s="3"/>
      <c r="H44" s="3"/>
      <c r="I44" s="3"/>
      <c r="J44" s="3"/>
      <c r="K44" s="3"/>
      <c r="L44" s="3">
        <f>Scoresheet!CN45</f>
        <v>0</v>
      </c>
      <c r="M44" s="3">
        <f>Scoresheet!CV45</f>
        <v>0</v>
      </c>
      <c r="N44" s="3">
        <f>Scoresheet!DD45</f>
        <v>0</v>
      </c>
      <c r="O44" s="3">
        <f>Scoresheet!DL45</f>
        <v>0</v>
      </c>
      <c r="P44" s="3">
        <f>Scoresheet!DT45</f>
        <v>0</v>
      </c>
      <c r="Q44" s="3">
        <f>Scoresheet!EB45</f>
        <v>0</v>
      </c>
      <c r="R44" s="3">
        <f>Scoresheet!EJ45</f>
        <v>0</v>
      </c>
      <c r="S44" s="3">
        <f>Scoresheet!ER45</f>
        <v>0</v>
      </c>
      <c r="T44" s="3">
        <f t="shared" si="0"/>
        <v>0</v>
      </c>
      <c r="U44" s="106" t="str">
        <f t="shared" si="1"/>
        <v/>
      </c>
      <c r="V44" s="174" t="e">
        <f t="shared" si="2"/>
        <v>#VALUE!</v>
      </c>
    </row>
    <row r="45" spans="1:22">
      <c r="A45" s="212"/>
      <c r="B45" s="3"/>
      <c r="C45" s="3"/>
      <c r="D45" s="3"/>
      <c r="E45" s="3"/>
      <c r="F45" s="3"/>
      <c r="G45" s="3"/>
      <c r="H45" s="3"/>
      <c r="I45" s="3"/>
      <c r="J45" s="3"/>
      <c r="K45" s="3"/>
      <c r="L45" s="3">
        <f>Scoresheet!CN46</f>
        <v>0</v>
      </c>
      <c r="M45" s="3">
        <f>Scoresheet!CV46</f>
        <v>0</v>
      </c>
      <c r="N45" s="3">
        <f>Scoresheet!DD46</f>
        <v>0</v>
      </c>
      <c r="O45" s="3">
        <f>Scoresheet!DL46</f>
        <v>0</v>
      </c>
      <c r="P45" s="3">
        <f>Scoresheet!DT46</f>
        <v>0</v>
      </c>
      <c r="Q45" s="3">
        <f>Scoresheet!EB46</f>
        <v>0</v>
      </c>
      <c r="R45" s="3">
        <f>Scoresheet!EJ46</f>
        <v>0</v>
      </c>
      <c r="S45" s="3">
        <f>Scoresheet!ER46</f>
        <v>0</v>
      </c>
      <c r="T45" s="3">
        <f t="shared" si="0"/>
        <v>0</v>
      </c>
      <c r="U45" s="106" t="str">
        <f t="shared" si="1"/>
        <v/>
      </c>
      <c r="V45" s="174" t="e">
        <f t="shared" si="2"/>
        <v>#VALUE!</v>
      </c>
    </row>
    <row r="46" spans="1:22">
      <c r="A46" s="211"/>
      <c r="B46" s="3"/>
      <c r="C46" s="3"/>
      <c r="D46" s="3"/>
      <c r="E46" s="3"/>
      <c r="F46" s="3"/>
      <c r="G46" s="3"/>
      <c r="H46" s="3"/>
      <c r="I46" s="3"/>
      <c r="J46" s="3"/>
      <c r="K46" s="3"/>
      <c r="L46" s="3">
        <f>Scoresheet!CN47</f>
        <v>0</v>
      </c>
      <c r="M46" s="3">
        <f>Scoresheet!CV47</f>
        <v>0</v>
      </c>
      <c r="N46" s="3">
        <f>Scoresheet!DD47</f>
        <v>0</v>
      </c>
      <c r="O46" s="3">
        <f>Scoresheet!DL47</f>
        <v>0</v>
      </c>
      <c r="P46" s="3">
        <f>Scoresheet!DT47</f>
        <v>0</v>
      </c>
      <c r="Q46" s="3">
        <f>Scoresheet!EB47</f>
        <v>0</v>
      </c>
      <c r="R46" s="3">
        <f>Scoresheet!EJ47</f>
        <v>0</v>
      </c>
      <c r="S46" s="3">
        <f>Scoresheet!ER47</f>
        <v>0</v>
      </c>
      <c r="T46" s="3">
        <f t="shared" si="0"/>
        <v>0</v>
      </c>
      <c r="U46" s="106" t="str">
        <f t="shared" si="1"/>
        <v/>
      </c>
      <c r="V46" s="174" t="e">
        <f t="shared" si="2"/>
        <v>#VALUE!</v>
      </c>
    </row>
    <row r="47" spans="1:22">
      <c r="A47" s="212"/>
      <c r="B47" s="3"/>
      <c r="C47" s="3"/>
      <c r="D47" s="3"/>
      <c r="E47" s="3"/>
      <c r="F47" s="3"/>
      <c r="G47" s="3"/>
      <c r="H47" s="3"/>
      <c r="I47" s="3"/>
      <c r="J47" s="3"/>
      <c r="K47" s="3"/>
      <c r="L47" s="3">
        <f>Scoresheet!CN48</f>
        <v>0</v>
      </c>
      <c r="M47" s="3">
        <f>Scoresheet!CV48</f>
        <v>0</v>
      </c>
      <c r="N47" s="3">
        <f>Scoresheet!DD48</f>
        <v>0</v>
      </c>
      <c r="O47" s="3">
        <f>Scoresheet!DL48</f>
        <v>0</v>
      </c>
      <c r="P47" s="3">
        <f>Scoresheet!DT48</f>
        <v>0</v>
      </c>
      <c r="Q47" s="3">
        <f>Scoresheet!EB48</f>
        <v>0</v>
      </c>
      <c r="R47" s="3">
        <f>Scoresheet!EJ48</f>
        <v>0</v>
      </c>
      <c r="S47" s="3">
        <f>Scoresheet!ER48</f>
        <v>0</v>
      </c>
      <c r="T47" s="3">
        <f t="shared" si="0"/>
        <v>0</v>
      </c>
      <c r="U47" s="106" t="str">
        <f t="shared" si="1"/>
        <v/>
      </c>
      <c r="V47" s="174" t="e">
        <f t="shared" si="2"/>
        <v>#VALUE!</v>
      </c>
    </row>
    <row r="48" spans="1:22">
      <c r="A48" s="211"/>
      <c r="B48" s="3"/>
      <c r="C48" s="3"/>
      <c r="D48" s="3"/>
      <c r="E48" s="3"/>
      <c r="F48" s="3"/>
      <c r="G48" s="3"/>
      <c r="H48" s="3"/>
      <c r="I48" s="3"/>
      <c r="J48" s="3"/>
      <c r="K48" s="3"/>
      <c r="L48" s="3">
        <f>Scoresheet!CN49</f>
        <v>0</v>
      </c>
      <c r="M48" s="3">
        <f>Scoresheet!CV49</f>
        <v>0</v>
      </c>
      <c r="N48" s="3">
        <f>Scoresheet!DD49</f>
        <v>0</v>
      </c>
      <c r="O48" s="3">
        <f>Scoresheet!DL49</f>
        <v>0</v>
      </c>
      <c r="P48" s="3">
        <f>Scoresheet!DT49</f>
        <v>0</v>
      </c>
      <c r="Q48" s="3">
        <f>Scoresheet!EB49</f>
        <v>0</v>
      </c>
      <c r="R48" s="3">
        <f>Scoresheet!EJ49</f>
        <v>0</v>
      </c>
      <c r="S48" s="3">
        <f>Scoresheet!ER49</f>
        <v>0</v>
      </c>
      <c r="T48" s="3">
        <f t="shared" si="0"/>
        <v>0</v>
      </c>
      <c r="U48" s="106" t="str">
        <f t="shared" si="1"/>
        <v/>
      </c>
      <c r="V48" s="174" t="e">
        <f t="shared" si="2"/>
        <v>#VALUE!</v>
      </c>
    </row>
    <row r="49" spans="1:22">
      <c r="A49" s="212"/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f>Scoresheet!CN50</f>
        <v>0</v>
      </c>
      <c r="M49" s="3">
        <f>Scoresheet!CV50</f>
        <v>0</v>
      </c>
      <c r="N49" s="3">
        <f>Scoresheet!DD50</f>
        <v>0</v>
      </c>
      <c r="O49" s="3">
        <f>Scoresheet!DL50</f>
        <v>0</v>
      </c>
      <c r="P49" s="3">
        <f>Scoresheet!DT50</f>
        <v>0</v>
      </c>
      <c r="Q49" s="3">
        <f>Scoresheet!EB50</f>
        <v>0</v>
      </c>
      <c r="R49" s="3">
        <f>Scoresheet!EJ50</f>
        <v>0</v>
      </c>
      <c r="S49" s="3">
        <f>Scoresheet!ER50</f>
        <v>0</v>
      </c>
      <c r="T49" s="3">
        <f t="shared" si="0"/>
        <v>0</v>
      </c>
      <c r="U49" s="106" t="str">
        <f t="shared" si="1"/>
        <v/>
      </c>
      <c r="V49" s="174" t="e">
        <f t="shared" si="2"/>
        <v>#VALUE!</v>
      </c>
    </row>
    <row r="50" spans="1:22">
      <c r="A50" s="211"/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f>Scoresheet!CN51</f>
        <v>0</v>
      </c>
      <c r="M50" s="3">
        <f>Scoresheet!CV51</f>
        <v>0</v>
      </c>
      <c r="N50" s="3">
        <f>Scoresheet!DD51</f>
        <v>0</v>
      </c>
      <c r="O50" s="3">
        <f>Scoresheet!DL51</f>
        <v>0</v>
      </c>
      <c r="P50" s="3">
        <f>Scoresheet!DT51</f>
        <v>0</v>
      </c>
      <c r="Q50" s="3">
        <f>Scoresheet!EB51</f>
        <v>0</v>
      </c>
      <c r="R50" s="3">
        <f>Scoresheet!EJ51</f>
        <v>0</v>
      </c>
      <c r="S50" s="3">
        <f>Scoresheet!ER51</f>
        <v>0</v>
      </c>
      <c r="T50" s="3">
        <f t="shared" si="0"/>
        <v>0</v>
      </c>
      <c r="U50" s="106" t="str">
        <f t="shared" si="1"/>
        <v/>
      </c>
      <c r="V50" s="174" t="e">
        <f t="shared" si="2"/>
        <v>#VALUE!</v>
      </c>
    </row>
    <row r="51" spans="1:22">
      <c r="A51" s="21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>
        <f>Scoresheet!CN52</f>
        <v>0</v>
      </c>
      <c r="M51" s="182">
        <f>Scoresheet!CV52</f>
        <v>0</v>
      </c>
      <c r="N51" s="182">
        <f>Scoresheet!DD52</f>
        <v>0</v>
      </c>
      <c r="O51" s="182">
        <f>Scoresheet!DL52</f>
        <v>0</v>
      </c>
      <c r="P51" s="182">
        <f>Scoresheet!DT52</f>
        <v>0</v>
      </c>
      <c r="Q51" s="182">
        <f>Scoresheet!EB52</f>
        <v>0</v>
      </c>
      <c r="R51" s="182">
        <f>Scoresheet!EJ52</f>
        <v>0</v>
      </c>
      <c r="S51" s="182">
        <f>Scoresheet!ER52</f>
        <v>0</v>
      </c>
      <c r="T51" s="182">
        <f t="shared" si="0"/>
        <v>0</v>
      </c>
      <c r="U51" s="183" t="str">
        <f t="shared" si="1"/>
        <v/>
      </c>
      <c r="V51" s="184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2026-02-23T07:55:04Z</cp:lastPrinted>
  <dcterms:created xsi:type="dcterms:W3CDTF">2023-12-29T19:21:00Z</dcterms:created>
  <dcterms:modified xsi:type="dcterms:W3CDTF">2026-04-07T11:00:05Z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