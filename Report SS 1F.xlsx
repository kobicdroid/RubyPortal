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IY39" i="6" l="1"/>
  <c r="IY38" i="6"/>
  <c r="IY37" i="6"/>
  <c r="IY36" i="6"/>
  <c r="IY35" i="6"/>
  <c r="IY34" i="6"/>
  <c r="IY33" i="6"/>
  <c r="IY32" i="6"/>
  <c r="IY31" i="6"/>
  <c r="IY30" i="6"/>
  <c r="IY29" i="6"/>
  <c r="IY28" i="6"/>
  <c r="IY27" i="6"/>
  <c r="IY26" i="6"/>
  <c r="IY25" i="6"/>
  <c r="IY24" i="6"/>
  <c r="IY23" i="6"/>
  <c r="IY22" i="6"/>
  <c r="IY21" i="6"/>
  <c r="IY20" i="6"/>
  <c r="IY19" i="6"/>
  <c r="IY18" i="6"/>
  <c r="IY17" i="6"/>
  <c r="IY16" i="6"/>
  <c r="IY15" i="6"/>
  <c r="IY14" i="6"/>
  <c r="IY13" i="6"/>
  <c r="IY12" i="6"/>
  <c r="IY11" i="6"/>
  <c r="IY10" i="6"/>
  <c r="IY9" i="6"/>
  <c r="IY8" i="6"/>
  <c r="IY7" i="6"/>
  <c r="IY6" i="6"/>
  <c r="IY5" i="6"/>
  <c r="IY4" i="6"/>
  <c r="BO39" i="6"/>
  <c r="BO38" i="6"/>
  <c r="BO37" i="6"/>
  <c r="BO36" i="6"/>
  <c r="BO35" i="6"/>
  <c r="BO34" i="6"/>
  <c r="BO33" i="6"/>
  <c r="BO32" i="6"/>
  <c r="BO31" i="6"/>
  <c r="BO30" i="6"/>
  <c r="BO29" i="6"/>
  <c r="BO28" i="6"/>
  <c r="BO27" i="6"/>
  <c r="BO26" i="6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53" i="6"/>
  <c r="AE52" i="6"/>
  <c r="AE51" i="6"/>
  <c r="AE50" i="6"/>
  <c r="AE49" i="6"/>
  <c r="AE48" i="6"/>
  <c r="AE46" i="6"/>
  <c r="AE45" i="6"/>
  <c r="AE44" i="6"/>
  <c r="AE43" i="6"/>
  <c r="AE42" i="6"/>
  <c r="AE41" i="6"/>
  <c r="AE40" i="6"/>
  <c r="AE39" i="6"/>
  <c r="AE38" i="6"/>
  <c r="AE37" i="6"/>
  <c r="AE36" i="6"/>
  <c r="AE35" i="6"/>
  <c r="AE34" i="6"/>
  <c r="AE33" i="6"/>
  <c r="AE32" i="6"/>
  <c r="AE31" i="6"/>
  <c r="AE4" i="6"/>
  <c r="G53" i="6"/>
  <c r="G52" i="6"/>
  <c r="I52" i="6" s="1"/>
  <c r="G51" i="6"/>
  <c r="I51" i="6" s="1"/>
  <c r="G50" i="6"/>
  <c r="I50" i="6" s="1"/>
  <c r="G49" i="6"/>
  <c r="I49" i="6" s="1"/>
  <c r="G48" i="6"/>
  <c r="I48" i="6" s="1"/>
  <c r="I47" i="6"/>
  <c r="G46" i="6"/>
  <c r="I46" i="6" s="1"/>
  <c r="I45" i="6"/>
  <c r="G45" i="6"/>
  <c r="G44" i="6"/>
  <c r="I44" i="6" s="1"/>
  <c r="I43" i="6"/>
  <c r="G43" i="6"/>
  <c r="G42" i="6"/>
  <c r="I42" i="6" s="1"/>
  <c r="I41" i="6"/>
  <c r="G41" i="6"/>
  <c r="G40" i="6"/>
  <c r="I40" i="6" s="1"/>
  <c r="I39" i="6"/>
  <c r="G39" i="6"/>
  <c r="G38" i="6"/>
  <c r="I38" i="6" s="1"/>
  <c r="G37" i="6"/>
  <c r="I37" i="6" s="1"/>
  <c r="G36" i="6"/>
  <c r="I36" i="6" s="1"/>
  <c r="G35" i="6"/>
  <c r="I35" i="6" s="1"/>
  <c r="G34" i="6"/>
  <c r="I34" i="6" s="1"/>
  <c r="G33" i="6"/>
  <c r="I33" i="6" s="1"/>
  <c r="G32" i="6"/>
  <c r="I32" i="6" s="1"/>
  <c r="G31" i="6"/>
  <c r="I31" i="6" s="1"/>
  <c r="G30" i="6"/>
  <c r="I30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20" i="6"/>
  <c r="I20" i="6" s="1"/>
  <c r="G19" i="6"/>
  <c r="I19" i="6" s="1"/>
  <c r="G18" i="6"/>
  <c r="I18" i="6" s="1"/>
  <c r="G17" i="6"/>
  <c r="I17" i="6" s="1"/>
  <c r="G16" i="6"/>
  <c r="I16" i="6" s="1"/>
  <c r="G15" i="6"/>
  <c r="I15" i="6" s="1"/>
  <c r="G14" i="6"/>
  <c r="I14" i="6" s="1"/>
  <c r="G13" i="6"/>
  <c r="I13" i="6" s="1"/>
  <c r="I12" i="6"/>
  <c r="G11" i="6"/>
  <c r="I11" i="6" s="1"/>
  <c r="I10" i="6"/>
  <c r="G10" i="6"/>
  <c r="G9" i="6"/>
  <c r="I9" i="6" s="1"/>
  <c r="I8" i="6"/>
  <c r="G8" i="6"/>
  <c r="G7" i="6"/>
  <c r="I7" i="6" s="1"/>
  <c r="I6" i="6"/>
  <c r="G6" i="6"/>
  <c r="G5" i="6"/>
  <c r="I5" i="6" s="1"/>
  <c r="I4" i="6"/>
  <c r="G4" i="6"/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V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Y58" i="6"/>
  <c r="JW58" i="6"/>
  <c r="JP58" i="6"/>
  <c r="JO58" i="6"/>
  <c r="JK58" i="6"/>
  <c r="JM58" i="6" s="1"/>
  <c r="JN58" i="6" s="1"/>
  <c r="JC58" i="6"/>
  <c r="JA58" i="6"/>
  <c r="IY58" i="6"/>
  <c r="IQ58" i="6"/>
  <c r="IO58" i="6"/>
  <c r="IM58" i="6"/>
  <c r="IH58" i="6"/>
  <c r="IT58" i="6" s="1"/>
  <c r="JF58" i="6" s="1"/>
  <c r="JR58" i="6" s="1"/>
  <c r="IF58" i="6"/>
  <c r="IE58" i="6"/>
  <c r="IA58" i="6"/>
  <c r="IC58" i="6" s="1"/>
  <c r="ID58" i="6" s="1"/>
  <c r="HV58" i="6"/>
  <c r="HT58" i="6"/>
  <c r="HO58" i="6"/>
  <c r="HQ58" i="6" s="1"/>
  <c r="HJ58" i="6"/>
  <c r="HC58" i="6"/>
  <c r="HE58" i="6" s="1"/>
  <c r="GX58" i="6"/>
  <c r="GS58" i="6"/>
  <c r="GQ58" i="6"/>
  <c r="GL58" i="6"/>
  <c r="GJ58" i="6"/>
  <c r="GI58" i="6"/>
  <c r="GE58" i="6"/>
  <c r="GG58" i="6" s="1"/>
  <c r="GH58" i="6" s="1"/>
  <c r="FZ58" i="6"/>
  <c r="FS58" i="6"/>
  <c r="FU58" i="6" s="1"/>
  <c r="FN58" i="6"/>
  <c r="FG58" i="6"/>
  <c r="FI58" i="6" s="1"/>
  <c r="FB58" i="6"/>
  <c r="EX58" i="6"/>
  <c r="EW58" i="6"/>
  <c r="EU58" i="6"/>
  <c r="EP58" i="6"/>
  <c r="EN58" i="6"/>
  <c r="EM58" i="6"/>
  <c r="EI58" i="6"/>
  <c r="EK58" i="6" s="1"/>
  <c r="EL58" i="6" s="1"/>
  <c r="ED58" i="6"/>
  <c r="EB58" i="6"/>
  <c r="DW58" i="6"/>
  <c r="DY58" i="6" s="1"/>
  <c r="DR58" i="6"/>
  <c r="DK58" i="6"/>
  <c r="DM58" i="6" s="1"/>
  <c r="DF58" i="6"/>
  <c r="DA58" i="6"/>
  <c r="CY58" i="6"/>
  <c r="CT58" i="6"/>
  <c r="CR58" i="6"/>
  <c r="CQ58" i="6"/>
  <c r="CM58" i="6"/>
  <c r="CO58" i="6" s="1"/>
  <c r="CP58" i="6" s="1"/>
  <c r="CH58" i="6"/>
  <c r="CA58" i="6"/>
  <c r="CC58" i="6" s="1"/>
  <c r="BV58" i="6"/>
  <c r="BO58" i="6"/>
  <c r="BQ58" i="6" s="1"/>
  <c r="BJ58" i="6"/>
  <c r="JZ57" i="6"/>
  <c r="JY57" i="6"/>
  <c r="JW57" i="6"/>
  <c r="JP57" i="6"/>
  <c r="JO57" i="6"/>
  <c r="JN57" i="6"/>
  <c r="JK57" i="6"/>
  <c r="JM57" i="6" s="1"/>
  <c r="JD57" i="6"/>
  <c r="JB57" i="6"/>
  <c r="IY57" i="6"/>
  <c r="JA57" i="6" s="1"/>
  <c r="JC57" i="6" s="1"/>
  <c r="IR57" i="6"/>
  <c r="IQ57" i="6"/>
  <c r="IM57" i="6"/>
  <c r="IO57" i="6" s="1"/>
  <c r="IP57" i="6" s="1"/>
  <c r="IH57" i="6"/>
  <c r="IT57" i="6" s="1"/>
  <c r="JF57" i="6" s="1"/>
  <c r="JR57" i="6" s="1"/>
  <c r="IA57" i="6"/>
  <c r="IC57" i="6" s="1"/>
  <c r="HV57" i="6"/>
  <c r="HO57" i="6"/>
  <c r="HQ57" i="6" s="1"/>
  <c r="HJ57" i="6"/>
  <c r="HF57" i="6"/>
  <c r="HE57" i="6"/>
  <c r="HC57" i="6"/>
  <c r="GX57" i="6"/>
  <c r="GV57" i="6"/>
  <c r="GU57" i="6"/>
  <c r="GQ57" i="6"/>
  <c r="GS57" i="6" s="1"/>
  <c r="GT57" i="6" s="1"/>
  <c r="GL57" i="6"/>
  <c r="GJ57" i="6"/>
  <c r="GE57" i="6"/>
  <c r="GG57" i="6" s="1"/>
  <c r="FZ57" i="6"/>
  <c r="FS57" i="6"/>
  <c r="FU57" i="6" s="1"/>
  <c r="FN57" i="6"/>
  <c r="FI57" i="6"/>
  <c r="FG57" i="6"/>
  <c r="FB57" i="6"/>
  <c r="EZ57" i="6"/>
  <c r="EY57" i="6"/>
  <c r="EU57" i="6"/>
  <c r="EW57" i="6" s="1"/>
  <c r="EX57" i="6" s="1"/>
  <c r="EP57" i="6"/>
  <c r="EI57" i="6"/>
  <c r="EK57" i="6" s="1"/>
  <c r="ED57" i="6"/>
  <c r="DZ57" i="6"/>
  <c r="DW57" i="6"/>
  <c r="DY57" i="6" s="1"/>
  <c r="DR57" i="6"/>
  <c r="DN57" i="6"/>
  <c r="DM57" i="6"/>
  <c r="DK57" i="6"/>
  <c r="DF57" i="6"/>
  <c r="DD57" i="6"/>
  <c r="DC57" i="6"/>
  <c r="CY57" i="6"/>
  <c r="DA57" i="6" s="1"/>
  <c r="DB57" i="6" s="1"/>
  <c r="CT57" i="6"/>
  <c r="CR57" i="6"/>
  <c r="CM57" i="6"/>
  <c r="CO57" i="6" s="1"/>
  <c r="CH57" i="6"/>
  <c r="CA57" i="6"/>
  <c r="CC57" i="6" s="1"/>
  <c r="BV57" i="6"/>
  <c r="BQ57" i="6"/>
  <c r="BO57" i="6"/>
  <c r="BJ57" i="6"/>
  <c r="BH57" i="6"/>
  <c r="BG57" i="6"/>
  <c r="BC57" i="6"/>
  <c r="BE57" i="6" s="1"/>
  <c r="BF57" i="6" s="1"/>
  <c r="AX57" i="6"/>
  <c r="AQ57" i="6"/>
  <c r="AS57" i="6" s="1"/>
  <c r="AL57" i="6"/>
  <c r="AH57" i="6"/>
  <c r="AE57" i="6"/>
  <c r="AG57" i="6" s="1"/>
  <c r="Z57" i="6"/>
  <c r="V57" i="6"/>
  <c r="U57" i="6"/>
  <c r="S57" i="6"/>
  <c r="N57" i="6"/>
  <c r="L57" i="6"/>
  <c r="K57" i="6"/>
  <c r="J57" i="6"/>
  <c r="B57" i="6"/>
  <c r="KB56" i="6"/>
  <c r="JW56" i="6"/>
  <c r="JY56" i="6" s="1"/>
  <c r="JK56" i="6"/>
  <c r="JM56" i="6" s="1"/>
  <c r="JA56" i="6"/>
  <c r="IY56" i="6"/>
  <c r="IM56" i="6"/>
  <c r="IO56" i="6" s="1"/>
  <c r="IH56" i="6"/>
  <c r="IT56" i="6" s="1"/>
  <c r="JF56" i="6" s="1"/>
  <c r="JR56" i="6" s="1"/>
  <c r="IC56" i="6"/>
  <c r="IA56" i="6"/>
  <c r="HV56" i="6"/>
  <c r="HT56" i="6"/>
  <c r="HS56" i="6"/>
  <c r="HO56" i="6"/>
  <c r="HQ56" i="6" s="1"/>
  <c r="HR56" i="6" s="1"/>
  <c r="HJ56" i="6"/>
  <c r="HC56" i="6"/>
  <c r="HE56" i="6" s="1"/>
  <c r="GX56" i="6"/>
  <c r="GT56" i="6"/>
  <c r="GQ56" i="6"/>
  <c r="GS56" i="6" s="1"/>
  <c r="GL56" i="6"/>
  <c r="GH56" i="6"/>
  <c r="GG56" i="6"/>
  <c r="GE56" i="6"/>
  <c r="FZ56" i="6"/>
  <c r="FX56" i="6"/>
  <c r="FW56" i="6"/>
  <c r="FS56" i="6"/>
  <c r="FU56" i="6" s="1"/>
  <c r="FV56" i="6" s="1"/>
  <c r="FN56" i="6"/>
  <c r="FL56" i="6"/>
  <c r="FG56" i="6"/>
  <c r="FI56" i="6" s="1"/>
  <c r="FB56" i="6"/>
  <c r="EU56" i="6"/>
  <c r="EW56" i="6" s="1"/>
  <c r="EP56" i="6"/>
  <c r="EK56" i="6"/>
  <c r="EI56" i="6"/>
  <c r="ED56" i="6"/>
  <c r="EB56" i="6"/>
  <c r="EA56" i="6"/>
  <c r="DW56" i="6"/>
  <c r="DY56" i="6" s="1"/>
  <c r="DZ56" i="6" s="1"/>
  <c r="DR56" i="6"/>
  <c r="DK56" i="6"/>
  <c r="DM56" i="6" s="1"/>
  <c r="DF56" i="6"/>
  <c r="CY56" i="6"/>
  <c r="DA56" i="6" s="1"/>
  <c r="CT56" i="6"/>
  <c r="CP56" i="6"/>
  <c r="CO56" i="6"/>
  <c r="CM56" i="6"/>
  <c r="CH56" i="6"/>
  <c r="CF56" i="6"/>
  <c r="CE56" i="6"/>
  <c r="CA56" i="6"/>
  <c r="CC56" i="6" s="1"/>
  <c r="CD56" i="6" s="1"/>
  <c r="BV56" i="6"/>
  <c r="BT56" i="6"/>
  <c r="BO56" i="6"/>
  <c r="BQ56" i="6" s="1"/>
  <c r="BJ56" i="6"/>
  <c r="BC56" i="6"/>
  <c r="BE56" i="6" s="1"/>
  <c r="AX56" i="6"/>
  <c r="AS56" i="6"/>
  <c r="AQ56" i="6"/>
  <c r="AL56" i="6"/>
  <c r="AJ56" i="6"/>
  <c r="AI56" i="6"/>
  <c r="AE56" i="6"/>
  <c r="AG56" i="6" s="1"/>
  <c r="AH56" i="6" s="1"/>
  <c r="Z56" i="6"/>
  <c r="S56" i="6"/>
  <c r="U56" i="6" s="1"/>
  <c r="N56" i="6"/>
  <c r="B56" i="6"/>
  <c r="JZ55" i="6"/>
  <c r="JY55" i="6"/>
  <c r="JW55" i="6"/>
  <c r="JP55" i="6"/>
  <c r="JO55" i="6"/>
  <c r="JN55" i="6"/>
  <c r="JK55" i="6"/>
  <c r="JM55" i="6" s="1"/>
  <c r="JD55" i="6"/>
  <c r="JB55" i="6"/>
  <c r="IY55" i="6"/>
  <c r="JA55" i="6" s="1"/>
  <c r="JC55" i="6" s="1"/>
  <c r="IR55" i="6"/>
  <c r="IQ55" i="6"/>
  <c r="IM55" i="6"/>
  <c r="IO55" i="6" s="1"/>
  <c r="IP55" i="6" s="1"/>
  <c r="IH55" i="6"/>
  <c r="IT55" i="6" s="1"/>
  <c r="JF55" i="6" s="1"/>
  <c r="JR55" i="6" s="1"/>
  <c r="IA55" i="6"/>
  <c r="IC55" i="6" s="1"/>
  <c r="HV55" i="6"/>
  <c r="HO55" i="6"/>
  <c r="HQ55" i="6" s="1"/>
  <c r="HJ55" i="6"/>
  <c r="HF55" i="6"/>
  <c r="HE55" i="6"/>
  <c r="HC55" i="6"/>
  <c r="GX55" i="6"/>
  <c r="GV55" i="6"/>
  <c r="GU55" i="6"/>
  <c r="GQ55" i="6"/>
  <c r="GS55" i="6" s="1"/>
  <c r="GT55" i="6" s="1"/>
  <c r="GL55" i="6"/>
  <c r="GJ55" i="6"/>
  <c r="GE55" i="6"/>
  <c r="GG55" i="6" s="1"/>
  <c r="FZ55" i="6"/>
  <c r="FS55" i="6"/>
  <c r="FU55" i="6" s="1"/>
  <c r="FN55" i="6"/>
  <c r="FI55" i="6"/>
  <c r="FG55" i="6"/>
  <c r="FB55" i="6"/>
  <c r="EZ55" i="6"/>
  <c r="EY55" i="6"/>
  <c r="EU55" i="6"/>
  <c r="EW55" i="6" s="1"/>
  <c r="EX55" i="6" s="1"/>
  <c r="EP55" i="6"/>
  <c r="EI55" i="6"/>
  <c r="EK55" i="6" s="1"/>
  <c r="ED55" i="6"/>
  <c r="DW55" i="6"/>
  <c r="DY55" i="6" s="1"/>
  <c r="DR55" i="6"/>
  <c r="DN55" i="6"/>
  <c r="DM55" i="6"/>
  <c r="DK55" i="6"/>
  <c r="DF55" i="6"/>
  <c r="DD55" i="6"/>
  <c r="DC55" i="6"/>
  <c r="CY55" i="6"/>
  <c r="DA55" i="6" s="1"/>
  <c r="DB55" i="6" s="1"/>
  <c r="CT55" i="6"/>
  <c r="CR55" i="6"/>
  <c r="CM55" i="6"/>
  <c r="CO55" i="6" s="1"/>
  <c r="CH55" i="6"/>
  <c r="CA55" i="6"/>
  <c r="CC55" i="6" s="1"/>
  <c r="BV55" i="6"/>
  <c r="BQ55" i="6"/>
  <c r="BO55" i="6"/>
  <c r="BJ55" i="6"/>
  <c r="BH55" i="6"/>
  <c r="BG55" i="6"/>
  <c r="BC55" i="6"/>
  <c r="BE55" i="6" s="1"/>
  <c r="BF55" i="6" s="1"/>
  <c r="AX55" i="6"/>
  <c r="AQ55" i="6"/>
  <c r="AS55" i="6" s="1"/>
  <c r="AL55" i="6"/>
  <c r="AE55" i="6"/>
  <c r="AG55" i="6" s="1"/>
  <c r="Z55" i="6"/>
  <c r="V55" i="6"/>
  <c r="U55" i="6"/>
  <c r="S55" i="6"/>
  <c r="N55" i="6"/>
  <c r="L55" i="6"/>
  <c r="K55" i="6"/>
  <c r="J55" i="6"/>
  <c r="B55" i="6"/>
  <c r="KB54" i="6"/>
  <c r="JW54" i="6"/>
  <c r="JY54" i="6" s="1"/>
  <c r="JK54" i="6"/>
  <c r="JM54" i="6" s="1"/>
  <c r="IY54" i="6"/>
  <c r="JA54" i="6" s="1"/>
  <c r="IM54" i="6"/>
  <c r="IO54" i="6" s="1"/>
  <c r="IH54" i="6"/>
  <c r="IT54" i="6" s="1"/>
  <c r="JF54" i="6" s="1"/>
  <c r="JR54" i="6" s="1"/>
  <c r="IC54" i="6"/>
  <c r="IA54" i="6"/>
  <c r="HV54" i="6"/>
  <c r="HT54" i="6"/>
  <c r="HS54" i="6"/>
  <c r="HO54" i="6"/>
  <c r="HQ54" i="6" s="1"/>
  <c r="HR54" i="6" s="1"/>
  <c r="HJ54" i="6"/>
  <c r="HC54" i="6"/>
  <c r="HE54" i="6" s="1"/>
  <c r="GX54" i="6"/>
  <c r="GQ54" i="6"/>
  <c r="GS54" i="6" s="1"/>
  <c r="GL54" i="6"/>
  <c r="GH54" i="6"/>
  <c r="GG54" i="6"/>
  <c r="GE54" i="6"/>
  <c r="FZ54" i="6"/>
  <c r="FX54" i="6"/>
  <c r="FW54" i="6"/>
  <c r="FS54" i="6"/>
  <c r="FU54" i="6" s="1"/>
  <c r="FV54" i="6" s="1"/>
  <c r="FN54" i="6"/>
  <c r="FL54" i="6"/>
  <c r="FG54" i="6"/>
  <c r="FI54" i="6" s="1"/>
  <c r="FB54" i="6"/>
  <c r="EU54" i="6"/>
  <c r="EW54" i="6" s="1"/>
  <c r="EP54" i="6"/>
  <c r="EK54" i="6"/>
  <c r="EI54" i="6"/>
  <c r="ED54" i="6"/>
  <c r="EB54" i="6"/>
  <c r="EA54" i="6"/>
  <c r="DW54" i="6"/>
  <c r="DY54" i="6" s="1"/>
  <c r="DZ54" i="6" s="1"/>
  <c r="DR54" i="6"/>
  <c r="DK54" i="6"/>
  <c r="DM54" i="6" s="1"/>
  <c r="DF54" i="6"/>
  <c r="CY54" i="6"/>
  <c r="DA54" i="6" s="1"/>
  <c r="CT54" i="6"/>
  <c r="CP54" i="6"/>
  <c r="CO54" i="6"/>
  <c r="CM54" i="6"/>
  <c r="CH54" i="6"/>
  <c r="CF54" i="6"/>
  <c r="CE54" i="6"/>
  <c r="CA54" i="6"/>
  <c r="CC54" i="6" s="1"/>
  <c r="CD54" i="6" s="1"/>
  <c r="BV54" i="6"/>
  <c r="BT54" i="6"/>
  <c r="BO54" i="6"/>
  <c r="BQ54" i="6" s="1"/>
  <c r="BJ54" i="6"/>
  <c r="BC54" i="6"/>
  <c r="BE54" i="6" s="1"/>
  <c r="AX54" i="6"/>
  <c r="AS54" i="6"/>
  <c r="AQ54" i="6"/>
  <c r="AL54" i="6"/>
  <c r="AJ54" i="6"/>
  <c r="AI54" i="6"/>
  <c r="AE54" i="6"/>
  <c r="AG54" i="6" s="1"/>
  <c r="AH54" i="6" s="1"/>
  <c r="Z54" i="6"/>
  <c r="S54" i="6"/>
  <c r="U54" i="6" s="1"/>
  <c r="N54" i="6"/>
  <c r="B54" i="6"/>
  <c r="JZ53" i="6"/>
  <c r="JY53" i="6"/>
  <c r="JW53" i="6"/>
  <c r="JP53" i="6"/>
  <c r="JO53" i="6"/>
  <c r="JN53" i="6"/>
  <c r="JK53" i="6"/>
  <c r="JM53" i="6" s="1"/>
  <c r="X51" i="7" s="1"/>
  <c r="JD53" i="6"/>
  <c r="JB53" i="6"/>
  <c r="IY53" i="6"/>
  <c r="JA53" i="6" s="1"/>
  <c r="IR53" i="6"/>
  <c r="IQ53" i="6"/>
  <c r="IM53" i="6"/>
  <c r="IO53" i="6" s="1"/>
  <c r="IP53" i="6" s="1"/>
  <c r="IH53" i="6"/>
  <c r="IT53" i="6" s="1"/>
  <c r="JF53" i="6" s="1"/>
  <c r="JR53" i="6" s="1"/>
  <c r="IA53" i="6"/>
  <c r="IC53" i="6" s="1"/>
  <c r="HV53" i="6"/>
  <c r="HO53" i="6"/>
  <c r="HQ53" i="6" s="1"/>
  <c r="HJ53" i="6"/>
  <c r="HF53" i="6"/>
  <c r="HE53" i="6"/>
  <c r="HC53" i="6"/>
  <c r="GX53" i="6"/>
  <c r="GV53" i="6"/>
  <c r="GU53" i="6"/>
  <c r="GQ53" i="6"/>
  <c r="GS53" i="6" s="1"/>
  <c r="R51" i="7" s="1"/>
  <c r="GL53" i="6"/>
  <c r="GJ53" i="6"/>
  <c r="GE53" i="6"/>
  <c r="GG53" i="6" s="1"/>
  <c r="FZ53" i="6"/>
  <c r="FS53" i="6"/>
  <c r="FU53" i="6" s="1"/>
  <c r="FN53" i="6"/>
  <c r="FI53" i="6"/>
  <c r="FG53" i="6"/>
  <c r="FB53" i="6"/>
  <c r="EZ53" i="6"/>
  <c r="EY53" i="6"/>
  <c r="EU53" i="6"/>
  <c r="EW53" i="6" s="1"/>
  <c r="N51" i="7" s="1"/>
  <c r="EP53" i="6"/>
  <c r="EI53" i="6"/>
  <c r="EK53" i="6" s="1"/>
  <c r="ED53" i="6"/>
  <c r="DW53" i="6"/>
  <c r="DY53" i="6" s="1"/>
  <c r="DR53" i="6"/>
  <c r="DM53" i="6"/>
  <c r="DK53" i="6"/>
  <c r="DF53" i="6"/>
  <c r="DD53" i="6"/>
  <c r="DC53" i="6"/>
  <c r="CY53" i="6"/>
  <c r="DA53" i="6" s="1"/>
  <c r="J51" i="7" s="1"/>
  <c r="CT53" i="6"/>
  <c r="CR53" i="6"/>
  <c r="CM53" i="6"/>
  <c r="CO53" i="6" s="1"/>
  <c r="CH53" i="6"/>
  <c r="CA53" i="6"/>
  <c r="CC53" i="6" s="1"/>
  <c r="H51" i="7" s="1"/>
  <c r="BV53" i="6"/>
  <c r="BS53" i="6"/>
  <c r="BQ53" i="6"/>
  <c r="BO53" i="6"/>
  <c r="BJ53" i="6"/>
  <c r="BE53" i="6"/>
  <c r="BC53" i="6"/>
  <c r="AX53" i="6"/>
  <c r="AT53" i="6"/>
  <c r="AS53" i="6"/>
  <c r="AQ53" i="6"/>
  <c r="AL53" i="6"/>
  <c r="AI53" i="6"/>
  <c r="AG53" i="6"/>
  <c r="AJ53" i="6" s="1"/>
  <c r="Z53" i="6"/>
  <c r="W53" i="6"/>
  <c r="U53" i="6"/>
  <c r="S53" i="6"/>
  <c r="N53" i="6"/>
  <c r="B53" i="6"/>
  <c r="JY52" i="6"/>
  <c r="JW52" i="6"/>
  <c r="F51" i="9" s="1"/>
  <c r="JK52" i="6"/>
  <c r="F50" i="9" s="1"/>
  <c r="JC52" i="6"/>
  <c r="J49" i="9" s="1"/>
  <c r="JA52" i="6"/>
  <c r="IY52" i="6"/>
  <c r="F49" i="9" s="1"/>
  <c r="IM52" i="6"/>
  <c r="F48" i="9" s="1"/>
  <c r="IH52" i="6"/>
  <c r="IT52" i="6" s="1"/>
  <c r="JF52" i="6" s="1"/>
  <c r="JR52" i="6" s="1"/>
  <c r="IC52" i="6"/>
  <c r="IA52" i="6"/>
  <c r="F47" i="9" s="1"/>
  <c r="HV52" i="6"/>
  <c r="HO52" i="6"/>
  <c r="F46" i="9" s="1"/>
  <c r="HJ52" i="6"/>
  <c r="HG52" i="6"/>
  <c r="J45" i="9" s="1"/>
  <c r="HE52" i="6"/>
  <c r="HC52" i="6"/>
  <c r="F45" i="9" s="1"/>
  <c r="GX52" i="6"/>
  <c r="GS52" i="6"/>
  <c r="GQ52" i="6"/>
  <c r="F44" i="9" s="1"/>
  <c r="GL52" i="6"/>
  <c r="GG52" i="6"/>
  <c r="GE52" i="6"/>
  <c r="F43" i="9" s="1"/>
  <c r="FZ52" i="6"/>
  <c r="FS52" i="6"/>
  <c r="F42" i="9" s="1"/>
  <c r="FN52" i="6"/>
  <c r="FK52" i="6"/>
  <c r="J41" i="9" s="1"/>
  <c r="FI52" i="6"/>
  <c r="FG52" i="6"/>
  <c r="F41" i="9" s="1"/>
  <c r="FB52" i="6"/>
  <c r="EW52" i="6"/>
  <c r="EU52" i="6"/>
  <c r="F40" i="9" s="1"/>
  <c r="EP52" i="6"/>
  <c r="EK52" i="6"/>
  <c r="EI52" i="6"/>
  <c r="F39" i="9" s="1"/>
  <c r="ED52" i="6"/>
  <c r="DW52" i="6"/>
  <c r="F38" i="9" s="1"/>
  <c r="DR52" i="6"/>
  <c r="DO52" i="6"/>
  <c r="J37" i="9" s="1"/>
  <c r="DM52" i="6"/>
  <c r="DK52" i="6"/>
  <c r="F37" i="9" s="1"/>
  <c r="DF52" i="6"/>
  <c r="CY52" i="6"/>
  <c r="F36" i="9" s="1"/>
  <c r="CT52" i="6"/>
  <c r="CO52" i="6"/>
  <c r="CM52" i="6"/>
  <c r="F35" i="9" s="1"/>
  <c r="CH52" i="6"/>
  <c r="CA52" i="6"/>
  <c r="F34" i="9" s="1"/>
  <c r="BV52" i="6"/>
  <c r="BQ52" i="6"/>
  <c r="BO52" i="6"/>
  <c r="F33" i="9" s="1"/>
  <c r="BJ52" i="6"/>
  <c r="BE52" i="6"/>
  <c r="BC52" i="6"/>
  <c r="F32" i="9" s="1"/>
  <c r="AX52" i="6"/>
  <c r="AU52" i="6"/>
  <c r="J31" i="9" s="1"/>
  <c r="AT52" i="6"/>
  <c r="I31" i="9" s="1"/>
  <c r="AS52" i="6"/>
  <c r="AQ52" i="6"/>
  <c r="F31" i="9" s="1"/>
  <c r="AL52" i="6"/>
  <c r="Z52" i="6"/>
  <c r="U52" i="6"/>
  <c r="S52" i="6"/>
  <c r="F29" i="9" s="1"/>
  <c r="N52" i="6"/>
  <c r="F28" i="9"/>
  <c r="B52" i="6"/>
  <c r="KA51" i="6"/>
  <c r="JZ51" i="6"/>
  <c r="JY51" i="6"/>
  <c r="JW51" i="6"/>
  <c r="JK51" i="6"/>
  <c r="JM51" i="6" s="1"/>
  <c r="JA51" i="6"/>
  <c r="IY51" i="6"/>
  <c r="IQ51" i="6"/>
  <c r="IO51" i="6"/>
  <c r="IM51" i="6"/>
  <c r="IH51" i="6"/>
  <c r="IT51" i="6" s="1"/>
  <c r="JF51" i="6" s="1"/>
  <c r="JR51" i="6" s="1"/>
  <c r="IE51" i="6"/>
  <c r="ID51" i="6"/>
  <c r="IC51" i="6"/>
  <c r="IA51" i="6"/>
  <c r="HV51" i="6"/>
  <c r="HO51" i="6"/>
  <c r="HQ51" i="6" s="1"/>
  <c r="HJ51" i="6"/>
  <c r="HE51" i="6"/>
  <c r="HC51" i="6"/>
  <c r="GX51" i="6"/>
  <c r="GS51" i="6"/>
  <c r="GQ51" i="6"/>
  <c r="GL51" i="6"/>
  <c r="GI51" i="6"/>
  <c r="GG51" i="6"/>
  <c r="GE51" i="6"/>
  <c r="FZ51" i="6"/>
  <c r="FX51" i="6"/>
  <c r="FS51" i="6"/>
  <c r="FU51" i="6" s="1"/>
  <c r="FN51" i="6"/>
  <c r="FI51" i="6"/>
  <c r="FG51" i="6"/>
  <c r="FB51" i="6"/>
  <c r="EW51" i="6"/>
  <c r="EU51" i="6"/>
  <c r="EP51" i="6"/>
  <c r="EM51" i="6"/>
  <c r="EL51" i="6"/>
  <c r="EK51" i="6"/>
  <c r="EI51" i="6"/>
  <c r="ED51" i="6"/>
  <c r="DW51" i="6"/>
  <c r="DY51" i="6" s="1"/>
  <c r="DR51" i="6"/>
  <c r="DM51" i="6"/>
  <c r="DK51" i="6"/>
  <c r="DF51" i="6"/>
  <c r="DA51" i="6"/>
  <c r="CY51" i="6"/>
  <c r="CT51" i="6"/>
  <c r="CQ51" i="6"/>
  <c r="CP51" i="6"/>
  <c r="CO51" i="6"/>
  <c r="CM51" i="6"/>
  <c r="CH51" i="6"/>
  <c r="CA51" i="6"/>
  <c r="CC51" i="6" s="1"/>
  <c r="CF51" i="6" s="1"/>
  <c r="BV51" i="6"/>
  <c r="BR51" i="6"/>
  <c r="BQ51" i="6"/>
  <c r="BO51" i="6"/>
  <c r="BJ51" i="6"/>
  <c r="BH51" i="6"/>
  <c r="BC51" i="6"/>
  <c r="BE51" i="6" s="1"/>
  <c r="AX51" i="6"/>
  <c r="AU51" i="6"/>
  <c r="AS51" i="6"/>
  <c r="AQ51" i="6"/>
  <c r="AL51" i="6"/>
  <c r="AG51" i="6"/>
  <c r="Z51" i="6"/>
  <c r="U51" i="6"/>
  <c r="S51" i="6"/>
  <c r="N51" i="6"/>
  <c r="L51" i="6"/>
  <c r="K51" i="6"/>
  <c r="B51" i="6"/>
  <c r="KA50" i="6"/>
  <c r="JY50" i="6"/>
  <c r="JW50" i="6"/>
  <c r="JK50" i="6"/>
  <c r="JM50" i="6" s="1"/>
  <c r="JA50" i="6"/>
  <c r="IY50" i="6"/>
  <c r="IR50" i="6"/>
  <c r="IM50" i="6"/>
  <c r="IO50" i="6" s="1"/>
  <c r="IH50" i="6"/>
  <c r="IT50" i="6" s="1"/>
  <c r="JF50" i="6" s="1"/>
  <c r="JR50" i="6" s="1"/>
  <c r="IE50" i="6"/>
  <c r="IC50" i="6"/>
  <c r="IA50" i="6"/>
  <c r="HV50" i="6"/>
  <c r="HQ50" i="6"/>
  <c r="HO50" i="6"/>
  <c r="HJ50" i="6"/>
  <c r="HE50" i="6"/>
  <c r="HC50" i="6"/>
  <c r="GX50" i="6"/>
  <c r="GV50" i="6"/>
  <c r="GU50" i="6"/>
  <c r="GQ50" i="6"/>
  <c r="GS50" i="6" s="1"/>
  <c r="GL50" i="6"/>
  <c r="GI50" i="6"/>
  <c r="GG50" i="6"/>
  <c r="GE50" i="6"/>
  <c r="FZ50" i="6"/>
  <c r="FS50" i="6"/>
  <c r="FU50" i="6" s="1"/>
  <c r="FN50" i="6"/>
  <c r="FI50" i="6"/>
  <c r="FG50" i="6"/>
  <c r="FB50" i="6"/>
  <c r="EU50" i="6"/>
  <c r="EW50" i="6" s="1"/>
  <c r="EP50" i="6"/>
  <c r="EM50" i="6"/>
  <c r="EK50" i="6"/>
  <c r="EI50" i="6"/>
  <c r="ED50" i="6"/>
  <c r="DW50" i="6"/>
  <c r="DY50" i="6" s="1"/>
  <c r="DR50" i="6"/>
  <c r="DM50" i="6"/>
  <c r="DK50" i="6"/>
  <c r="DF50" i="6"/>
  <c r="CY50" i="6"/>
  <c r="DA50" i="6" s="1"/>
  <c r="CT50" i="6"/>
  <c r="CQ50" i="6"/>
  <c r="CO50" i="6"/>
  <c r="CM50" i="6"/>
  <c r="CH50" i="6"/>
  <c r="CA50" i="6"/>
  <c r="CC50" i="6" s="1"/>
  <c r="BV50" i="6"/>
  <c r="BS50" i="6"/>
  <c r="BR50" i="6"/>
  <c r="BQ50" i="6"/>
  <c r="BO50" i="6"/>
  <c r="BJ50" i="6"/>
  <c r="BH50" i="6"/>
  <c r="BC50" i="6"/>
  <c r="BE50" i="6" s="1"/>
  <c r="AX50" i="6"/>
  <c r="AS50" i="6"/>
  <c r="AQ50" i="6"/>
  <c r="AL50" i="6"/>
  <c r="AG50" i="6"/>
  <c r="Z50" i="6"/>
  <c r="W50" i="6"/>
  <c r="V50" i="6"/>
  <c r="U50" i="6"/>
  <c r="S50" i="6"/>
  <c r="N50" i="6"/>
  <c r="B50" i="6"/>
  <c r="JY49" i="6"/>
  <c r="JW49" i="6"/>
  <c r="JO49" i="6"/>
  <c r="JM49" i="6"/>
  <c r="JK49" i="6"/>
  <c r="JC49" i="6"/>
  <c r="JB49" i="6"/>
  <c r="JA49" i="6"/>
  <c r="IY49" i="6"/>
  <c r="IR49" i="6"/>
  <c r="IM49" i="6"/>
  <c r="IO49" i="6" s="1"/>
  <c r="IH49" i="6"/>
  <c r="IT49" i="6" s="1"/>
  <c r="JF49" i="6" s="1"/>
  <c r="JR49" i="6" s="1"/>
  <c r="IC49" i="6"/>
  <c r="IA49" i="6"/>
  <c r="HV49" i="6"/>
  <c r="HQ49" i="6"/>
  <c r="HO49" i="6"/>
  <c r="HJ49" i="6"/>
  <c r="HG49" i="6"/>
  <c r="HE49" i="6"/>
  <c r="HC49" i="6"/>
  <c r="GX49" i="6"/>
  <c r="GQ49" i="6"/>
  <c r="GS49" i="6" s="1"/>
  <c r="GL49" i="6"/>
  <c r="GG49" i="6"/>
  <c r="GE49" i="6"/>
  <c r="FZ49" i="6"/>
  <c r="FU49" i="6"/>
  <c r="FS49" i="6"/>
  <c r="FN49" i="6"/>
  <c r="FK49" i="6"/>
  <c r="FJ49" i="6"/>
  <c r="FI49" i="6"/>
  <c r="FG49" i="6"/>
  <c r="FB49" i="6"/>
  <c r="EU49" i="6"/>
  <c r="EW49" i="6" s="1"/>
  <c r="EP49" i="6"/>
  <c r="EK49" i="6"/>
  <c r="EI49" i="6"/>
  <c r="ED49" i="6"/>
  <c r="EA49" i="6"/>
  <c r="DY49" i="6"/>
  <c r="DW49" i="6"/>
  <c r="DR49" i="6"/>
  <c r="DO49" i="6"/>
  <c r="DN49" i="6"/>
  <c r="DM49" i="6"/>
  <c r="DK49" i="6"/>
  <c r="DF49" i="6"/>
  <c r="CY49" i="6"/>
  <c r="DA49" i="6" s="1"/>
  <c r="CT49" i="6"/>
  <c r="CO49" i="6"/>
  <c r="CM49" i="6"/>
  <c r="CH49" i="6"/>
  <c r="CA49" i="6"/>
  <c r="CC49" i="6" s="1"/>
  <c r="CF49" i="6" s="1"/>
  <c r="BV49" i="6"/>
  <c r="BS49" i="6"/>
  <c r="BQ49" i="6"/>
  <c r="BO49" i="6"/>
  <c r="BJ49" i="6"/>
  <c r="BC49" i="6"/>
  <c r="BE49" i="6" s="1"/>
  <c r="AX49" i="6"/>
  <c r="AT49" i="6"/>
  <c r="AS49" i="6"/>
  <c r="AQ49" i="6"/>
  <c r="AL49" i="6"/>
  <c r="AJ49" i="6"/>
  <c r="AG49" i="6"/>
  <c r="Z49" i="6"/>
  <c r="W49" i="6"/>
  <c r="U49" i="6"/>
  <c r="S49" i="6"/>
  <c r="N49" i="6"/>
  <c r="B49" i="6"/>
  <c r="JY48" i="6"/>
  <c r="JW48" i="6"/>
  <c r="JK48" i="6"/>
  <c r="JM48" i="6" s="1"/>
  <c r="JC48" i="6"/>
  <c r="JA48" i="6"/>
  <c r="JD48" i="6" s="1"/>
  <c r="IY48" i="6"/>
  <c r="IM48" i="6"/>
  <c r="IO48" i="6" s="1"/>
  <c r="IH48" i="6"/>
  <c r="IT48" i="6" s="1"/>
  <c r="JF48" i="6" s="1"/>
  <c r="JR48" i="6" s="1"/>
  <c r="IC48" i="6"/>
  <c r="IA48" i="6"/>
  <c r="HV48" i="6"/>
  <c r="HO48" i="6"/>
  <c r="HQ48" i="6" s="1"/>
  <c r="HJ48" i="6"/>
  <c r="HC48" i="6"/>
  <c r="HE48" i="6" s="1"/>
  <c r="GX48" i="6"/>
  <c r="GQ48" i="6"/>
  <c r="GS48" i="6" s="1"/>
  <c r="GL48" i="6"/>
  <c r="GE48" i="6"/>
  <c r="GG48" i="6" s="1"/>
  <c r="FZ48" i="6"/>
  <c r="FS48" i="6"/>
  <c r="FU48" i="6" s="1"/>
  <c r="FN48" i="6"/>
  <c r="FG48" i="6"/>
  <c r="FI48" i="6" s="1"/>
  <c r="FB48" i="6"/>
  <c r="EU48" i="6"/>
  <c r="EW48" i="6" s="1"/>
  <c r="EP48" i="6"/>
  <c r="EI48" i="6"/>
  <c r="EK48" i="6" s="1"/>
  <c r="ED48" i="6"/>
  <c r="DW48" i="6"/>
  <c r="DY48" i="6" s="1"/>
  <c r="DR48" i="6"/>
  <c r="DK48" i="6"/>
  <c r="DM48" i="6" s="1"/>
  <c r="DF48" i="6"/>
  <c r="CY48" i="6"/>
  <c r="DA48" i="6" s="1"/>
  <c r="CT48" i="6"/>
  <c r="CM48" i="6"/>
  <c r="CO48" i="6" s="1"/>
  <c r="CH48" i="6"/>
  <c r="CA48" i="6"/>
  <c r="CC48" i="6" s="1"/>
  <c r="H46" i="7" s="1"/>
  <c r="BV48" i="6"/>
  <c r="BQ48" i="6"/>
  <c r="BO48" i="6"/>
  <c r="BJ48" i="6"/>
  <c r="BG48" i="6"/>
  <c r="BF48" i="6"/>
  <c r="BC48" i="6"/>
  <c r="BE48" i="6" s="1"/>
  <c r="AX48" i="6"/>
  <c r="AS48" i="6"/>
  <c r="AQ48" i="6"/>
  <c r="AL48" i="6"/>
  <c r="AI48" i="6"/>
  <c r="AG48" i="6"/>
  <c r="Z48" i="6"/>
  <c r="U48" i="6"/>
  <c r="S48" i="6"/>
  <c r="N48" i="6"/>
  <c r="K48" i="6"/>
  <c r="J48" i="6"/>
  <c r="B48" i="6"/>
  <c r="JY47" i="6"/>
  <c r="JW47" i="6"/>
  <c r="JN47" i="6"/>
  <c r="JK47" i="6"/>
  <c r="JM47" i="6" s="1"/>
  <c r="IY47" i="6"/>
  <c r="JA47" i="6" s="1"/>
  <c r="IM47" i="6"/>
  <c r="IO47" i="6" s="1"/>
  <c r="IH47" i="6"/>
  <c r="IT47" i="6" s="1"/>
  <c r="JF47" i="6" s="1"/>
  <c r="JR47" i="6" s="1"/>
  <c r="IA47" i="6"/>
  <c r="IC47" i="6" s="1"/>
  <c r="HV47" i="6"/>
  <c r="HO47" i="6"/>
  <c r="HQ47" i="6" s="1"/>
  <c r="HJ47" i="6"/>
  <c r="HC47" i="6"/>
  <c r="HE47" i="6" s="1"/>
  <c r="GX47" i="6"/>
  <c r="GQ47" i="6"/>
  <c r="GS47" i="6" s="1"/>
  <c r="GL47" i="6"/>
  <c r="GE47" i="6"/>
  <c r="GG47" i="6" s="1"/>
  <c r="FZ47" i="6"/>
  <c r="FS47" i="6"/>
  <c r="FU47" i="6" s="1"/>
  <c r="FN47" i="6"/>
  <c r="FG47" i="6"/>
  <c r="FI47" i="6" s="1"/>
  <c r="FB47" i="6"/>
  <c r="EU47" i="6"/>
  <c r="EW47" i="6" s="1"/>
  <c r="EP47" i="6"/>
  <c r="EI47" i="6"/>
  <c r="EK47" i="6" s="1"/>
  <c r="ED47" i="6"/>
  <c r="DW47" i="6"/>
  <c r="DY47" i="6" s="1"/>
  <c r="DR47" i="6"/>
  <c r="DK47" i="6"/>
  <c r="DM47" i="6" s="1"/>
  <c r="DF47" i="6"/>
  <c r="CY47" i="6"/>
  <c r="DA47" i="6" s="1"/>
  <c r="CT47" i="6"/>
  <c r="CM47" i="6"/>
  <c r="CO47" i="6" s="1"/>
  <c r="CH47" i="6"/>
  <c r="CA47" i="6"/>
  <c r="CC47" i="6" s="1"/>
  <c r="CF47" i="6" s="1"/>
  <c r="BV47" i="6"/>
  <c r="BQ47" i="6"/>
  <c r="BO47" i="6"/>
  <c r="BJ47" i="6"/>
  <c r="BG47" i="6"/>
  <c r="BF47" i="6"/>
  <c r="BC47" i="6"/>
  <c r="BE47" i="6" s="1"/>
  <c r="AX47" i="6"/>
  <c r="AS47" i="6"/>
  <c r="AQ47" i="6"/>
  <c r="AL47" i="6"/>
  <c r="AG47" i="6"/>
  <c r="AI47" i="6" s="1"/>
  <c r="Z47" i="6"/>
  <c r="U47" i="6"/>
  <c r="S47" i="6"/>
  <c r="N47" i="6"/>
  <c r="K47" i="6"/>
  <c r="J47" i="6"/>
  <c r="B47" i="6"/>
  <c r="JY46" i="6"/>
  <c r="JW46" i="6"/>
  <c r="JK46" i="6"/>
  <c r="JM46" i="6" s="1"/>
  <c r="JA46" i="6"/>
  <c r="IY46" i="6"/>
  <c r="IM46" i="6"/>
  <c r="IO46" i="6" s="1"/>
  <c r="IH46" i="6"/>
  <c r="IT46" i="6" s="1"/>
  <c r="JF46" i="6" s="1"/>
  <c r="JR46" i="6" s="1"/>
  <c r="IA46" i="6"/>
  <c r="IC46" i="6" s="1"/>
  <c r="HV46" i="6"/>
  <c r="HO46" i="6"/>
  <c r="HQ46" i="6" s="1"/>
  <c r="HJ46" i="6"/>
  <c r="HC46" i="6"/>
  <c r="HE46" i="6" s="1"/>
  <c r="GX46" i="6"/>
  <c r="GQ46" i="6"/>
  <c r="GS46" i="6" s="1"/>
  <c r="GL46" i="6"/>
  <c r="GE46" i="6"/>
  <c r="GG46" i="6" s="1"/>
  <c r="FZ46" i="6"/>
  <c r="FS46" i="6"/>
  <c r="FU46" i="6" s="1"/>
  <c r="FN46" i="6"/>
  <c r="FG46" i="6"/>
  <c r="FI46" i="6" s="1"/>
  <c r="FB46" i="6"/>
  <c r="EU46" i="6"/>
  <c r="EW46" i="6" s="1"/>
  <c r="EP46" i="6"/>
  <c r="EI46" i="6"/>
  <c r="EK46" i="6" s="1"/>
  <c r="ED46" i="6"/>
  <c r="DW46" i="6"/>
  <c r="DY46" i="6" s="1"/>
  <c r="DR46" i="6"/>
  <c r="DK46" i="6"/>
  <c r="DM46" i="6" s="1"/>
  <c r="DF46" i="6"/>
  <c r="CY46" i="6"/>
  <c r="DA46" i="6" s="1"/>
  <c r="CT46" i="6"/>
  <c r="CM46" i="6"/>
  <c r="CO46" i="6" s="1"/>
  <c r="CH46" i="6"/>
  <c r="CA46" i="6"/>
  <c r="CC46" i="6" s="1"/>
  <c r="H44" i="7" s="1"/>
  <c r="BV46" i="6"/>
  <c r="BT46" i="6"/>
  <c r="BQ46" i="6"/>
  <c r="BO46" i="6"/>
  <c r="BJ46" i="6"/>
  <c r="BG46" i="6"/>
  <c r="BF46" i="6"/>
  <c r="BC46" i="6"/>
  <c r="BE46" i="6" s="1"/>
  <c r="AX46" i="6"/>
  <c r="AV46" i="6"/>
  <c r="AS46" i="6"/>
  <c r="AQ46" i="6"/>
  <c r="AL46" i="6"/>
  <c r="AI46" i="6"/>
  <c r="AG46" i="6"/>
  <c r="Z46" i="6"/>
  <c r="X46" i="6"/>
  <c r="U46" i="6"/>
  <c r="S46" i="6"/>
  <c r="N46" i="6"/>
  <c r="K46" i="6"/>
  <c r="J46" i="6"/>
  <c r="B46" i="6"/>
  <c r="KB45" i="6"/>
  <c r="JY45" i="6"/>
  <c r="JW45" i="6"/>
  <c r="JK45" i="6"/>
  <c r="JM45" i="6" s="1"/>
  <c r="JA45" i="6"/>
  <c r="IY45" i="6"/>
  <c r="IM45" i="6"/>
  <c r="IO45" i="6" s="1"/>
  <c r="IH45" i="6"/>
  <c r="IT45" i="6" s="1"/>
  <c r="JF45" i="6" s="1"/>
  <c r="JR45" i="6" s="1"/>
  <c r="IA45" i="6"/>
  <c r="IC45" i="6" s="1"/>
  <c r="HV45" i="6"/>
  <c r="HO45" i="6"/>
  <c r="HQ45" i="6" s="1"/>
  <c r="HJ45" i="6"/>
  <c r="HC45" i="6"/>
  <c r="HE45" i="6" s="1"/>
  <c r="GX45" i="6"/>
  <c r="GQ45" i="6"/>
  <c r="GS45" i="6" s="1"/>
  <c r="GL45" i="6"/>
  <c r="GE45" i="6"/>
  <c r="GG45" i="6" s="1"/>
  <c r="FZ45" i="6"/>
  <c r="FS45" i="6"/>
  <c r="FU45" i="6" s="1"/>
  <c r="FN45" i="6"/>
  <c r="FG45" i="6"/>
  <c r="FI45" i="6" s="1"/>
  <c r="FB45" i="6"/>
  <c r="EU45" i="6"/>
  <c r="EW45" i="6" s="1"/>
  <c r="EP45" i="6"/>
  <c r="EI45" i="6"/>
  <c r="EK45" i="6" s="1"/>
  <c r="ED45" i="6"/>
  <c r="DW45" i="6"/>
  <c r="DY45" i="6" s="1"/>
  <c r="DR45" i="6"/>
  <c r="DK45" i="6"/>
  <c r="DM45" i="6" s="1"/>
  <c r="DF45" i="6"/>
  <c r="CY45" i="6"/>
  <c r="DA45" i="6" s="1"/>
  <c r="CT45" i="6"/>
  <c r="CM45" i="6"/>
  <c r="CO45" i="6" s="1"/>
  <c r="CH45" i="6"/>
  <c r="CA45" i="6"/>
  <c r="CC45" i="6" s="1"/>
  <c r="BV45" i="6"/>
  <c r="BT45" i="6"/>
  <c r="BQ45" i="6"/>
  <c r="BO45" i="6"/>
  <c r="BJ45" i="6"/>
  <c r="BG45" i="6"/>
  <c r="BF45" i="6"/>
  <c r="BC45" i="6"/>
  <c r="BE45" i="6" s="1"/>
  <c r="AX45" i="6"/>
  <c r="AV45" i="6"/>
  <c r="AS45" i="6"/>
  <c r="AQ45" i="6"/>
  <c r="AL45" i="6"/>
  <c r="AG45" i="6"/>
  <c r="AI45" i="6" s="1"/>
  <c r="Z45" i="6"/>
  <c r="X45" i="6"/>
  <c r="U45" i="6"/>
  <c r="S45" i="6"/>
  <c r="N45" i="6"/>
  <c r="K45" i="6"/>
  <c r="B45" i="6"/>
  <c r="KB44" i="6"/>
  <c r="JY44" i="6"/>
  <c r="JW44" i="6"/>
  <c r="JN44" i="6"/>
  <c r="JK44" i="6"/>
  <c r="JM44" i="6" s="1"/>
  <c r="IY44" i="6"/>
  <c r="JA44" i="6" s="1"/>
  <c r="IM44" i="6"/>
  <c r="IO44" i="6" s="1"/>
  <c r="IH44" i="6"/>
  <c r="IT44" i="6" s="1"/>
  <c r="JF44" i="6" s="1"/>
  <c r="JR44" i="6" s="1"/>
  <c r="IA44" i="6"/>
  <c r="IC44" i="6" s="1"/>
  <c r="HV44" i="6"/>
  <c r="HO44" i="6"/>
  <c r="HQ44" i="6" s="1"/>
  <c r="HJ44" i="6"/>
  <c r="HC44" i="6"/>
  <c r="HE44" i="6" s="1"/>
  <c r="GX44" i="6"/>
  <c r="GQ44" i="6"/>
  <c r="GS44" i="6" s="1"/>
  <c r="GL44" i="6"/>
  <c r="GE44" i="6"/>
  <c r="GG44" i="6" s="1"/>
  <c r="FZ44" i="6"/>
  <c r="FX44" i="6"/>
  <c r="FW44" i="6"/>
  <c r="FV44" i="6"/>
  <c r="FS44" i="6"/>
  <c r="FU44" i="6" s="1"/>
  <c r="P42" i="7" s="1"/>
  <c r="FN44" i="6"/>
  <c r="FG44" i="6"/>
  <c r="FI44" i="6" s="1"/>
  <c r="FB44" i="6"/>
  <c r="EU44" i="6"/>
  <c r="EW44" i="6" s="1"/>
  <c r="EP44" i="6"/>
  <c r="EI44" i="6"/>
  <c r="EK44" i="6" s="1"/>
  <c r="ED44" i="6"/>
  <c r="EB44" i="6"/>
  <c r="EA44" i="6"/>
  <c r="DZ44" i="6"/>
  <c r="DW44" i="6"/>
  <c r="DY44" i="6" s="1"/>
  <c r="L42" i="7" s="1"/>
  <c r="DR44" i="6"/>
  <c r="DP44" i="6"/>
  <c r="DN44" i="6"/>
  <c r="DK44" i="6"/>
  <c r="DM44" i="6" s="1"/>
  <c r="DF44" i="6"/>
  <c r="DD44" i="6"/>
  <c r="DB44" i="6"/>
  <c r="CY44" i="6"/>
  <c r="DA44" i="6" s="1"/>
  <c r="CT44" i="6"/>
  <c r="CO44" i="6"/>
  <c r="CM44" i="6"/>
  <c r="CH44" i="6"/>
  <c r="CA44" i="6"/>
  <c r="CC44" i="6" s="1"/>
  <c r="BV44" i="6"/>
  <c r="BO44" i="6"/>
  <c r="BQ44" i="6" s="1"/>
  <c r="BJ44" i="6"/>
  <c r="BC44" i="6"/>
  <c r="BE44" i="6" s="1"/>
  <c r="AX44" i="6"/>
  <c r="AS44" i="6"/>
  <c r="AQ44" i="6"/>
  <c r="AL44" i="6"/>
  <c r="AG44" i="6"/>
  <c r="Z44" i="6"/>
  <c r="S44" i="6"/>
  <c r="U44" i="6" s="1"/>
  <c r="N44" i="6"/>
  <c r="B44" i="6"/>
  <c r="JY43" i="6"/>
  <c r="JW43" i="6"/>
  <c r="JP43" i="6"/>
  <c r="JO43" i="6"/>
  <c r="JN43" i="6"/>
  <c r="JK43" i="6"/>
  <c r="JM43" i="6" s="1"/>
  <c r="X41" i="7" s="1"/>
  <c r="JD43" i="6"/>
  <c r="JB43" i="6"/>
  <c r="IY43" i="6"/>
  <c r="JA43" i="6" s="1"/>
  <c r="IM43" i="6"/>
  <c r="IO43" i="6" s="1"/>
  <c r="IH43" i="6"/>
  <c r="IT43" i="6" s="1"/>
  <c r="JF43" i="6" s="1"/>
  <c r="JR43" i="6" s="1"/>
  <c r="IA43" i="6"/>
  <c r="IC43" i="6" s="1"/>
  <c r="HV43" i="6"/>
  <c r="HO43" i="6"/>
  <c r="HQ43" i="6" s="1"/>
  <c r="HJ43" i="6"/>
  <c r="HE43" i="6"/>
  <c r="HC43" i="6"/>
  <c r="GX43" i="6"/>
  <c r="GV43" i="6"/>
  <c r="GU43" i="6"/>
  <c r="GQ43" i="6"/>
  <c r="GS43" i="6" s="1"/>
  <c r="GL43" i="6"/>
  <c r="GG43" i="6"/>
  <c r="GE43" i="6"/>
  <c r="FZ43" i="6"/>
  <c r="FW43" i="6"/>
  <c r="FV43" i="6"/>
  <c r="FS43" i="6"/>
  <c r="FU43" i="6" s="1"/>
  <c r="FN43" i="6"/>
  <c r="FL43" i="6"/>
  <c r="FJ43" i="6"/>
  <c r="FI43" i="6"/>
  <c r="FG43" i="6"/>
  <c r="FB43" i="6"/>
  <c r="EZ43" i="6"/>
  <c r="EY43" i="6"/>
  <c r="EU43" i="6"/>
  <c r="EW43" i="6" s="1"/>
  <c r="EP43" i="6"/>
  <c r="EN43" i="6"/>
  <c r="EK43" i="6"/>
  <c r="EI43" i="6"/>
  <c r="ED43" i="6"/>
  <c r="EA43" i="6"/>
  <c r="DZ43" i="6"/>
  <c r="DW43" i="6"/>
  <c r="DY43" i="6" s="1"/>
  <c r="DR43" i="6"/>
  <c r="DP43" i="6"/>
  <c r="DN43" i="6"/>
  <c r="DM43" i="6"/>
  <c r="DK43" i="6"/>
  <c r="DF43" i="6"/>
  <c r="CY43" i="6"/>
  <c r="DA43" i="6" s="1"/>
  <c r="CT43" i="6"/>
  <c r="CM43" i="6"/>
  <c r="CO43" i="6" s="1"/>
  <c r="CH43" i="6"/>
  <c r="CA43" i="6"/>
  <c r="CC43" i="6" s="1"/>
  <c r="CF43" i="6" s="1"/>
  <c r="BV43" i="6"/>
  <c r="BT43" i="6"/>
  <c r="BR43" i="6"/>
  <c r="BO43" i="6"/>
  <c r="BQ43" i="6" s="1"/>
  <c r="BJ43" i="6"/>
  <c r="BH43" i="6"/>
  <c r="BF43" i="6"/>
  <c r="BC43" i="6"/>
  <c r="BE43" i="6" s="1"/>
  <c r="AX43" i="6"/>
  <c r="AS43" i="6"/>
  <c r="AQ43" i="6"/>
  <c r="AL43" i="6"/>
  <c r="AG43" i="6"/>
  <c r="D41" i="7" s="1"/>
  <c r="Z43" i="6"/>
  <c r="X43" i="6"/>
  <c r="V43" i="6"/>
  <c r="S43" i="6"/>
  <c r="U43" i="6" s="1"/>
  <c r="N43" i="6"/>
  <c r="L43" i="6"/>
  <c r="J43" i="6"/>
  <c r="B43" i="6"/>
  <c r="JZ42" i="6"/>
  <c r="JY42" i="6"/>
  <c r="JW42" i="6"/>
  <c r="JO42" i="6"/>
  <c r="JN42" i="6"/>
  <c r="JK42" i="6"/>
  <c r="JM42" i="6" s="1"/>
  <c r="JA42" i="6"/>
  <c r="IY42" i="6"/>
  <c r="IR42" i="6"/>
  <c r="IQ42" i="6"/>
  <c r="IP42" i="6"/>
  <c r="IM42" i="6"/>
  <c r="IO42" i="6" s="1"/>
  <c r="V40" i="7" s="1"/>
  <c r="IH42" i="6"/>
  <c r="IT42" i="6" s="1"/>
  <c r="JF42" i="6" s="1"/>
  <c r="JR42" i="6" s="1"/>
  <c r="IF42" i="6"/>
  <c r="ID42" i="6"/>
  <c r="IA42" i="6"/>
  <c r="IC42" i="6" s="1"/>
  <c r="HV42" i="6"/>
  <c r="HT42" i="6"/>
  <c r="HO42" i="6"/>
  <c r="HQ42" i="6" s="1"/>
  <c r="HJ42" i="6"/>
  <c r="HE42" i="6"/>
  <c r="HC42" i="6"/>
  <c r="GX42" i="6"/>
  <c r="GV42" i="6"/>
  <c r="GU42" i="6"/>
  <c r="GT42" i="6"/>
  <c r="GQ42" i="6"/>
  <c r="GS42" i="6" s="1"/>
  <c r="R40" i="7" s="1"/>
  <c r="GL42" i="6"/>
  <c r="GJ42" i="6"/>
  <c r="GE42" i="6"/>
  <c r="GG42" i="6" s="1"/>
  <c r="FZ42" i="6"/>
  <c r="FX42" i="6"/>
  <c r="FV42" i="6"/>
  <c r="FS42" i="6"/>
  <c r="FU42" i="6" s="1"/>
  <c r="FN42" i="6"/>
  <c r="FJ42" i="6"/>
  <c r="FI42" i="6"/>
  <c r="FG42" i="6"/>
  <c r="FB42" i="6"/>
  <c r="EZ42" i="6"/>
  <c r="EY42" i="6"/>
  <c r="EX42" i="6"/>
  <c r="EU42" i="6"/>
  <c r="EW42" i="6" s="1"/>
  <c r="N40" i="7" s="1"/>
  <c r="EP42" i="6"/>
  <c r="EI42" i="6"/>
  <c r="EK42" i="6" s="1"/>
  <c r="ED42" i="6"/>
  <c r="EA42" i="6"/>
  <c r="DZ42" i="6"/>
  <c r="DW42" i="6"/>
  <c r="DY42" i="6" s="1"/>
  <c r="L40" i="7" s="1"/>
  <c r="DR42" i="6"/>
  <c r="DP42" i="6"/>
  <c r="DN42" i="6"/>
  <c r="DM42" i="6"/>
  <c r="DK42" i="6"/>
  <c r="DF42" i="6"/>
  <c r="DD42" i="6"/>
  <c r="CY42" i="6"/>
  <c r="DA42" i="6" s="1"/>
  <c r="J40" i="7" s="1"/>
  <c r="CT42" i="6"/>
  <c r="CM42" i="6"/>
  <c r="CO42" i="6" s="1"/>
  <c r="CH42" i="6"/>
  <c r="CA42" i="6"/>
  <c r="CC42" i="6" s="1"/>
  <c r="BV42" i="6"/>
  <c r="BO42" i="6"/>
  <c r="BQ42" i="6" s="1"/>
  <c r="BJ42" i="6"/>
  <c r="BC42" i="6"/>
  <c r="BE42" i="6" s="1"/>
  <c r="AX42" i="6"/>
  <c r="AS42" i="6"/>
  <c r="AQ42" i="6"/>
  <c r="AL42" i="6"/>
  <c r="AG42" i="6"/>
  <c r="D40" i="7" s="1"/>
  <c r="Z42" i="6"/>
  <c r="X42" i="6"/>
  <c r="S42" i="6"/>
  <c r="U42" i="6" s="1"/>
  <c r="N42" i="6"/>
  <c r="B42" i="6"/>
  <c r="JY41" i="6"/>
  <c r="JW41" i="6"/>
  <c r="JO41" i="6"/>
  <c r="JN41" i="6"/>
  <c r="JK41" i="6"/>
  <c r="JM41" i="6" s="1"/>
  <c r="X39" i="7" s="1"/>
  <c r="JD41" i="6"/>
  <c r="JB41" i="6"/>
  <c r="JA41" i="6"/>
  <c r="IY41" i="6"/>
  <c r="IR41" i="6"/>
  <c r="IQ41" i="6"/>
  <c r="IP41" i="6"/>
  <c r="IM41" i="6"/>
  <c r="IO41" i="6" s="1"/>
  <c r="V39" i="7" s="1"/>
  <c r="IH41" i="6"/>
  <c r="IT41" i="6" s="1"/>
  <c r="JF41" i="6" s="1"/>
  <c r="JR41" i="6" s="1"/>
  <c r="IA41" i="6"/>
  <c r="IC41" i="6" s="1"/>
  <c r="HV41" i="6"/>
  <c r="HO41" i="6"/>
  <c r="HQ41" i="6" s="1"/>
  <c r="HJ41" i="6"/>
  <c r="HE41" i="6"/>
  <c r="HC41" i="6"/>
  <c r="GX41" i="6"/>
  <c r="GV41" i="6"/>
  <c r="GU41" i="6"/>
  <c r="GT41" i="6"/>
  <c r="GQ41" i="6"/>
  <c r="GS41" i="6" s="1"/>
  <c r="R39" i="7" s="1"/>
  <c r="GL41" i="6"/>
  <c r="GJ41" i="6"/>
  <c r="GE41" i="6"/>
  <c r="GG41" i="6" s="1"/>
  <c r="FZ41" i="6"/>
  <c r="FS41" i="6"/>
  <c r="FU41" i="6" s="1"/>
  <c r="FN41" i="6"/>
  <c r="FI41" i="6"/>
  <c r="FG41" i="6"/>
  <c r="FB41" i="6"/>
  <c r="EZ41" i="6"/>
  <c r="EY41" i="6"/>
  <c r="EX41" i="6"/>
  <c r="EU41" i="6"/>
  <c r="EW41" i="6" s="1"/>
  <c r="N39" i="7" s="1"/>
  <c r="EP41" i="6"/>
  <c r="EI41" i="6"/>
  <c r="EK41" i="6" s="1"/>
  <c r="ED41" i="6"/>
  <c r="DW41" i="6"/>
  <c r="DY41" i="6" s="1"/>
  <c r="DR41" i="6"/>
  <c r="DM41" i="6"/>
  <c r="DK41" i="6"/>
  <c r="DF41" i="6"/>
  <c r="DD41" i="6"/>
  <c r="DC41" i="6"/>
  <c r="DB41" i="6"/>
  <c r="CY41" i="6"/>
  <c r="DA41" i="6" s="1"/>
  <c r="J39" i="7" s="1"/>
  <c r="CT41" i="6"/>
  <c r="CR41" i="6"/>
  <c r="CM41" i="6"/>
  <c r="CO41" i="6" s="1"/>
  <c r="CH41" i="6"/>
  <c r="CA41" i="6"/>
  <c r="CC41" i="6" s="1"/>
  <c r="BV41" i="6"/>
  <c r="BT41" i="6"/>
  <c r="BR41" i="6"/>
  <c r="BQ41" i="6"/>
  <c r="BO41" i="6"/>
  <c r="BJ41" i="6"/>
  <c r="BH41" i="6"/>
  <c r="BC41" i="6"/>
  <c r="BE41" i="6" s="1"/>
  <c r="F39" i="7" s="1"/>
  <c r="AX41" i="6"/>
  <c r="AQ41" i="6"/>
  <c r="AS41" i="6" s="1"/>
  <c r="AL41" i="6"/>
  <c r="AI41" i="6"/>
  <c r="AG41" i="6"/>
  <c r="D39" i="7" s="1"/>
  <c r="Z41" i="6"/>
  <c r="X41" i="6"/>
  <c r="V41" i="6"/>
  <c r="U41" i="6"/>
  <c r="S41" i="6"/>
  <c r="N41" i="6"/>
  <c r="L41" i="6"/>
  <c r="B39" i="7"/>
  <c r="B41" i="6"/>
  <c r="JW40" i="6"/>
  <c r="JY40" i="6" s="1"/>
  <c r="JK40" i="6"/>
  <c r="JM40" i="6" s="1"/>
  <c r="JA40" i="6"/>
  <c r="IY40" i="6"/>
  <c r="IQ40" i="6"/>
  <c r="IP40" i="6"/>
  <c r="IM40" i="6"/>
  <c r="IO40" i="6" s="1"/>
  <c r="V38" i="7" s="1"/>
  <c r="IH40" i="6"/>
  <c r="IT40" i="6" s="1"/>
  <c r="JF40" i="6" s="1"/>
  <c r="JR40" i="6" s="1"/>
  <c r="IF40" i="6"/>
  <c r="ID40" i="6"/>
  <c r="IC40" i="6"/>
  <c r="IA40" i="6"/>
  <c r="HV40" i="6"/>
  <c r="HO40" i="6"/>
  <c r="HQ40" i="6" s="1"/>
  <c r="HJ40" i="6"/>
  <c r="HG40" i="6"/>
  <c r="HF40" i="6"/>
  <c r="HE40" i="6"/>
  <c r="S38" i="7" s="1"/>
  <c r="HC40" i="6"/>
  <c r="GX40" i="6"/>
  <c r="GQ40" i="6"/>
  <c r="GS40" i="6" s="1"/>
  <c r="GL40" i="6"/>
  <c r="GI40" i="6"/>
  <c r="GG40" i="6"/>
  <c r="Q38" i="7" s="1"/>
  <c r="GE40" i="6"/>
  <c r="FZ40" i="6"/>
  <c r="FS40" i="6"/>
  <c r="FU40" i="6" s="1"/>
  <c r="FN40" i="6"/>
  <c r="FK40" i="6"/>
  <c r="FJ40" i="6"/>
  <c r="FI40" i="6"/>
  <c r="O38" i="7" s="1"/>
  <c r="FG40" i="6"/>
  <c r="FB40" i="6"/>
  <c r="EU40" i="6"/>
  <c r="EW40" i="6" s="1"/>
  <c r="EP40" i="6"/>
  <c r="EM40" i="6"/>
  <c r="EL40" i="6"/>
  <c r="EK40" i="6"/>
  <c r="M38" i="7" s="1"/>
  <c r="EI40" i="6"/>
  <c r="ED40" i="6"/>
  <c r="DW40" i="6"/>
  <c r="DY40" i="6" s="1"/>
  <c r="DR40" i="6"/>
  <c r="DO40" i="6"/>
  <c r="DN40" i="6"/>
  <c r="DM40" i="6"/>
  <c r="K38" i="7" s="1"/>
  <c r="DK40" i="6"/>
  <c r="DF40" i="6"/>
  <c r="CY40" i="6"/>
  <c r="DA40" i="6" s="1"/>
  <c r="CT40" i="6"/>
  <c r="CQ40" i="6"/>
  <c r="CP40" i="6"/>
  <c r="CO40" i="6"/>
  <c r="I38" i="7" s="1"/>
  <c r="CM40" i="6"/>
  <c r="CH40" i="6"/>
  <c r="CA40" i="6"/>
  <c r="CC40" i="6" s="1"/>
  <c r="BV40" i="6"/>
  <c r="BS40" i="6"/>
  <c r="BR40" i="6"/>
  <c r="BQ40" i="6"/>
  <c r="G38" i="7" s="1"/>
  <c r="BO40" i="6"/>
  <c r="BJ40" i="6"/>
  <c r="BH40" i="6"/>
  <c r="BC40" i="6"/>
  <c r="BE40" i="6" s="1"/>
  <c r="AX40" i="6"/>
  <c r="AU40" i="6"/>
  <c r="AT40" i="6"/>
  <c r="AS40" i="6"/>
  <c r="E38" i="7" s="1"/>
  <c r="AQ40" i="6"/>
  <c r="AL40" i="6"/>
  <c r="AJ40" i="6"/>
  <c r="AG40" i="6"/>
  <c r="Z40" i="6"/>
  <c r="W40" i="6"/>
  <c r="V40" i="6"/>
  <c r="U40" i="6"/>
  <c r="C38" i="7" s="1"/>
  <c r="S40" i="6"/>
  <c r="N40" i="6"/>
  <c r="L40" i="6"/>
  <c r="B40" i="6"/>
  <c r="KA39" i="6"/>
  <c r="JZ39" i="6"/>
  <c r="JY39" i="6"/>
  <c r="Y37" i="7" s="1"/>
  <c r="JW39" i="6"/>
  <c r="JK39" i="6"/>
  <c r="JM39" i="6" s="1"/>
  <c r="JA39" i="6"/>
  <c r="W37" i="7" s="1"/>
  <c r="IR39" i="6"/>
  <c r="IM39" i="6"/>
  <c r="IO39" i="6" s="1"/>
  <c r="IH39" i="6"/>
  <c r="IT39" i="6" s="1"/>
  <c r="JF39" i="6" s="1"/>
  <c r="JR39" i="6" s="1"/>
  <c r="IE39" i="6"/>
  <c r="ID39" i="6"/>
  <c r="IC39" i="6"/>
  <c r="U37" i="7" s="1"/>
  <c r="IA39" i="6"/>
  <c r="HV39" i="6"/>
  <c r="HT39" i="6"/>
  <c r="HO39" i="6"/>
  <c r="HQ39" i="6" s="1"/>
  <c r="HJ39" i="6"/>
  <c r="HG39" i="6"/>
  <c r="HF39" i="6"/>
  <c r="HE39" i="6"/>
  <c r="S37" i="7" s="1"/>
  <c r="HC39" i="6"/>
  <c r="GX39" i="6"/>
  <c r="GV39" i="6"/>
  <c r="GQ39" i="6"/>
  <c r="GS39" i="6" s="1"/>
  <c r="GL39" i="6"/>
  <c r="GI39" i="6"/>
  <c r="GG39" i="6"/>
  <c r="Q37" i="7" s="1"/>
  <c r="GE39" i="6"/>
  <c r="FZ39" i="6"/>
  <c r="FX39" i="6"/>
  <c r="FS39" i="6"/>
  <c r="FU39" i="6" s="1"/>
  <c r="FN39" i="6"/>
  <c r="FK39" i="6"/>
  <c r="FJ39" i="6"/>
  <c r="FI39" i="6"/>
  <c r="O37" i="7" s="1"/>
  <c r="FG39" i="6"/>
  <c r="FB39" i="6"/>
  <c r="EU39" i="6"/>
  <c r="EW39" i="6" s="1"/>
  <c r="EP39" i="6"/>
  <c r="EM39" i="6"/>
  <c r="EL39" i="6"/>
  <c r="EK39" i="6"/>
  <c r="M37" i="7" s="1"/>
  <c r="EI39" i="6"/>
  <c r="ED39" i="6"/>
  <c r="DY39" i="6"/>
  <c r="DW39" i="6"/>
  <c r="DR39" i="6"/>
  <c r="DO39" i="6"/>
  <c r="DN39" i="6"/>
  <c r="DM39" i="6"/>
  <c r="K37" i="7" s="1"/>
  <c r="DK39" i="6"/>
  <c r="DF39" i="6"/>
  <c r="CY39" i="6"/>
  <c r="DA39" i="6" s="1"/>
  <c r="CT39" i="6"/>
  <c r="CQ39" i="6"/>
  <c r="CP39" i="6"/>
  <c r="CO39" i="6"/>
  <c r="I37" i="7" s="1"/>
  <c r="CM39" i="6"/>
  <c r="CH39" i="6"/>
  <c r="CA39" i="6"/>
  <c r="CC39" i="6" s="1"/>
  <c r="BV39" i="6"/>
  <c r="BQ39" i="6"/>
  <c r="G37" i="7" s="1"/>
  <c r="BJ39" i="6"/>
  <c r="BC39" i="6"/>
  <c r="BE39" i="6" s="1"/>
  <c r="AX39" i="6"/>
  <c r="AU39" i="6"/>
  <c r="AT39" i="6"/>
  <c r="AS39" i="6"/>
  <c r="E37" i="7" s="1"/>
  <c r="AQ39" i="6"/>
  <c r="AL39" i="6"/>
  <c r="AG39" i="6"/>
  <c r="Z39" i="6"/>
  <c r="W39" i="6"/>
  <c r="V39" i="6"/>
  <c r="U39" i="6"/>
  <c r="C37" i="7" s="1"/>
  <c r="S39" i="6"/>
  <c r="N39" i="6"/>
  <c r="B39" i="6"/>
  <c r="KA38" i="6"/>
  <c r="JZ38" i="6"/>
  <c r="JY38" i="6"/>
  <c r="Y36" i="7" s="1"/>
  <c r="JW38" i="6"/>
  <c r="JM38" i="6"/>
  <c r="JK38" i="6"/>
  <c r="JC38" i="6"/>
  <c r="JA38" i="6"/>
  <c r="W36" i="7" s="1"/>
  <c r="IO38" i="6"/>
  <c r="IM38" i="6"/>
  <c r="IH38" i="6"/>
  <c r="IT38" i="6" s="1"/>
  <c r="JF38" i="6" s="1"/>
  <c r="JR38" i="6" s="1"/>
  <c r="IE38" i="6"/>
  <c r="ID38" i="6"/>
  <c r="IC38" i="6"/>
  <c r="U36" i="7" s="1"/>
  <c r="IA38" i="6"/>
  <c r="HV38" i="6"/>
  <c r="HO38" i="6"/>
  <c r="HQ38" i="6" s="1"/>
  <c r="HJ38" i="6"/>
  <c r="HG38" i="6"/>
  <c r="HF38" i="6"/>
  <c r="HE38" i="6"/>
  <c r="S36" i="7" s="1"/>
  <c r="HC38" i="6"/>
  <c r="GX38" i="6"/>
  <c r="GS38" i="6"/>
  <c r="GQ38" i="6"/>
  <c r="GL38" i="6"/>
  <c r="GI38" i="6"/>
  <c r="GG38" i="6"/>
  <c r="Q36" i="7" s="1"/>
  <c r="GE38" i="6"/>
  <c r="FZ38" i="6"/>
  <c r="FS38" i="6"/>
  <c r="FU38" i="6" s="1"/>
  <c r="FN38" i="6"/>
  <c r="FK38" i="6"/>
  <c r="FJ38" i="6"/>
  <c r="FI38" i="6"/>
  <c r="O36" i="7" s="1"/>
  <c r="FG38" i="6"/>
  <c r="FB38" i="6"/>
  <c r="EW38" i="6"/>
  <c r="EU38" i="6"/>
  <c r="EP38" i="6"/>
  <c r="EM38" i="6"/>
  <c r="EL38" i="6"/>
  <c r="EK38" i="6"/>
  <c r="M36" i="7" s="1"/>
  <c r="EI38" i="6"/>
  <c r="ED38" i="6"/>
  <c r="DW38" i="6"/>
  <c r="DY38" i="6" s="1"/>
  <c r="DR38" i="6"/>
  <c r="DO38" i="6"/>
  <c r="DM38" i="6"/>
  <c r="K36" i="7" s="1"/>
  <c r="DK38" i="6"/>
  <c r="DF38" i="6"/>
  <c r="DA38" i="6"/>
  <c r="CY38" i="6"/>
  <c r="CT38" i="6"/>
  <c r="CQ38" i="6"/>
  <c r="CP38" i="6"/>
  <c r="CO38" i="6"/>
  <c r="I36" i="7" s="1"/>
  <c r="CM38" i="6"/>
  <c r="CH38" i="6"/>
  <c r="CA38" i="6"/>
  <c r="CC38" i="6" s="1"/>
  <c r="BV38" i="6"/>
  <c r="BS38" i="6"/>
  <c r="BQ38" i="6"/>
  <c r="G36" i="7" s="1"/>
  <c r="BJ38" i="6"/>
  <c r="BE38" i="6"/>
  <c r="BC38" i="6"/>
  <c r="AX38" i="6"/>
  <c r="AU38" i="6"/>
  <c r="AT38" i="6"/>
  <c r="AS38" i="6"/>
  <c r="E36" i="7" s="1"/>
  <c r="AQ38" i="6"/>
  <c r="AL38" i="6"/>
  <c r="AG38" i="6"/>
  <c r="Z38" i="6"/>
  <c r="W38" i="6"/>
  <c r="U38" i="6"/>
  <c r="C36" i="7" s="1"/>
  <c r="S38" i="6"/>
  <c r="N38" i="6"/>
  <c r="B38" i="6"/>
  <c r="KA37" i="6"/>
  <c r="JZ37" i="6"/>
  <c r="JY37" i="6"/>
  <c r="Y35" i="7" s="1"/>
  <c r="JW37" i="6"/>
  <c r="JK37" i="6"/>
  <c r="JM37" i="6" s="1"/>
  <c r="JA37" i="6"/>
  <c r="W35" i="7" s="1"/>
  <c r="IM37" i="6"/>
  <c r="IO37" i="6" s="1"/>
  <c r="IH37" i="6"/>
  <c r="IT37" i="6" s="1"/>
  <c r="JF37" i="6" s="1"/>
  <c r="JR37" i="6" s="1"/>
  <c r="IE37" i="6"/>
  <c r="ID37" i="6"/>
  <c r="IC37" i="6"/>
  <c r="U35" i="7" s="1"/>
  <c r="IA37" i="6"/>
  <c r="HV37" i="6"/>
  <c r="HQ37" i="6"/>
  <c r="HO37" i="6"/>
  <c r="HJ37" i="6"/>
  <c r="HG37" i="6"/>
  <c r="HF37" i="6"/>
  <c r="HE37" i="6"/>
  <c r="S35" i="7" s="1"/>
  <c r="HC37" i="6"/>
  <c r="GX37" i="6"/>
  <c r="GQ37" i="6"/>
  <c r="GS37" i="6" s="1"/>
  <c r="GL37" i="6"/>
  <c r="GI37" i="6"/>
  <c r="GG37" i="6"/>
  <c r="Q35" i="7" s="1"/>
  <c r="GE37" i="6"/>
  <c r="FZ37" i="6"/>
  <c r="FU37" i="6"/>
  <c r="FS37" i="6"/>
  <c r="FN37" i="6"/>
  <c r="FK37" i="6"/>
  <c r="FJ37" i="6"/>
  <c r="FI37" i="6"/>
  <c r="O35" i="7" s="1"/>
  <c r="FG37" i="6"/>
  <c r="FB37" i="6"/>
  <c r="EU37" i="6"/>
  <c r="EW37" i="6" s="1"/>
  <c r="EP37" i="6"/>
  <c r="EM37" i="6"/>
  <c r="EL37" i="6"/>
  <c r="EK37" i="6"/>
  <c r="M35" i="7" s="1"/>
  <c r="EI37" i="6"/>
  <c r="ED37" i="6"/>
  <c r="DY37" i="6"/>
  <c r="DW37" i="6"/>
  <c r="DR37" i="6"/>
  <c r="DO37" i="6"/>
  <c r="DN37" i="6"/>
  <c r="DM37" i="6"/>
  <c r="K35" i="7" s="1"/>
  <c r="DK37" i="6"/>
  <c r="DF37" i="6"/>
  <c r="CY37" i="6"/>
  <c r="DA37" i="6" s="1"/>
  <c r="CT37" i="6"/>
  <c r="CQ37" i="6"/>
  <c r="CP37" i="6"/>
  <c r="CO37" i="6"/>
  <c r="I35" i="7" s="1"/>
  <c r="CM37" i="6"/>
  <c r="CH37" i="6"/>
  <c r="CA37" i="6"/>
  <c r="CC37" i="6" s="1"/>
  <c r="BV37" i="6"/>
  <c r="BS37" i="6"/>
  <c r="BQ37" i="6"/>
  <c r="G35" i="7" s="1"/>
  <c r="BJ37" i="6"/>
  <c r="BC37" i="6"/>
  <c r="BE37" i="6" s="1"/>
  <c r="AX37" i="6"/>
  <c r="AU37" i="6"/>
  <c r="AT37" i="6"/>
  <c r="AS37" i="6"/>
  <c r="E35" i="7" s="1"/>
  <c r="AQ37" i="6"/>
  <c r="AL37" i="6"/>
  <c r="AG37" i="6"/>
  <c r="Z37" i="6"/>
  <c r="W37" i="6"/>
  <c r="U37" i="6"/>
  <c r="C35" i="7" s="1"/>
  <c r="S37" i="6"/>
  <c r="N37" i="6"/>
  <c r="B37" i="6"/>
  <c r="KA36" i="6"/>
  <c r="JZ36" i="6"/>
  <c r="JY36" i="6"/>
  <c r="Y34" i="7" s="1"/>
  <c r="JW36" i="6"/>
  <c r="JM36" i="6"/>
  <c r="JK36" i="6"/>
  <c r="JA36" i="6"/>
  <c r="W34" i="7" s="1"/>
  <c r="IO36" i="6"/>
  <c r="IM36" i="6"/>
  <c r="IH36" i="6"/>
  <c r="IT36" i="6" s="1"/>
  <c r="JF36" i="6" s="1"/>
  <c r="JR36" i="6" s="1"/>
  <c r="IE36" i="6"/>
  <c r="ID36" i="6"/>
  <c r="IC36" i="6"/>
  <c r="U34" i="7" s="1"/>
  <c r="IA36" i="6"/>
  <c r="HV36" i="6"/>
  <c r="HO36" i="6"/>
  <c r="HQ36" i="6" s="1"/>
  <c r="HJ36" i="6"/>
  <c r="HG36" i="6"/>
  <c r="HF36" i="6"/>
  <c r="HE36" i="6"/>
  <c r="S34" i="7" s="1"/>
  <c r="HC36" i="6"/>
  <c r="GX36" i="6"/>
  <c r="GS36" i="6"/>
  <c r="GQ36" i="6"/>
  <c r="GL36" i="6"/>
  <c r="GI36" i="6"/>
  <c r="GG36" i="6"/>
  <c r="Q34" i="7" s="1"/>
  <c r="GE36" i="6"/>
  <c r="FZ36" i="6"/>
  <c r="FS36" i="6"/>
  <c r="FU36" i="6" s="1"/>
  <c r="FN36" i="6"/>
  <c r="FK36" i="6"/>
  <c r="FJ36" i="6"/>
  <c r="FI36" i="6"/>
  <c r="O34" i="7" s="1"/>
  <c r="FG36" i="6"/>
  <c r="FB36" i="6"/>
  <c r="EW36" i="6"/>
  <c r="EU36" i="6"/>
  <c r="EP36" i="6"/>
  <c r="EM36" i="6"/>
  <c r="EL36" i="6"/>
  <c r="EK36" i="6"/>
  <c r="M34" i="7" s="1"/>
  <c r="EI36" i="6"/>
  <c r="ED36" i="6"/>
  <c r="DW36" i="6"/>
  <c r="DY36" i="6" s="1"/>
  <c r="DR36" i="6"/>
  <c r="DO36" i="6"/>
  <c r="DN36" i="6"/>
  <c r="DM36" i="6"/>
  <c r="K34" i="7" s="1"/>
  <c r="DK36" i="6"/>
  <c r="DF36" i="6"/>
  <c r="DA36" i="6"/>
  <c r="CY36" i="6"/>
  <c r="CT36" i="6"/>
  <c r="CQ36" i="6"/>
  <c r="CP36" i="6"/>
  <c r="CO36" i="6"/>
  <c r="I34" i="7" s="1"/>
  <c r="CM36" i="6"/>
  <c r="CH36" i="6"/>
  <c r="CA36" i="6"/>
  <c r="CC36" i="6" s="1"/>
  <c r="BV36" i="6"/>
  <c r="BQ36" i="6"/>
  <c r="G34" i="7" s="1"/>
  <c r="BJ36" i="6"/>
  <c r="BE36" i="6"/>
  <c r="BC36" i="6"/>
  <c r="AX36" i="6"/>
  <c r="AU36" i="6"/>
  <c r="AT36" i="6"/>
  <c r="AS36" i="6"/>
  <c r="E34" i="7" s="1"/>
  <c r="AQ36" i="6"/>
  <c r="AL36" i="6"/>
  <c r="AG36" i="6"/>
  <c r="Z36" i="6"/>
  <c r="W36" i="6"/>
  <c r="V36" i="6"/>
  <c r="U36" i="6"/>
  <c r="C34" i="7" s="1"/>
  <c r="S36" i="6"/>
  <c r="N36" i="6"/>
  <c r="B36" i="6"/>
  <c r="KA35" i="6"/>
  <c r="JZ35" i="6"/>
  <c r="JY35" i="6"/>
  <c r="Y33" i="7" s="1"/>
  <c r="JW35" i="6"/>
  <c r="JK35" i="6"/>
  <c r="JM35" i="6" s="1"/>
  <c r="JA35" i="6"/>
  <c r="W33" i="7" s="1"/>
  <c r="IM35" i="6"/>
  <c r="IO35" i="6" s="1"/>
  <c r="IH35" i="6"/>
  <c r="IT35" i="6" s="1"/>
  <c r="JF35" i="6" s="1"/>
  <c r="JR35" i="6" s="1"/>
  <c r="IE35" i="6"/>
  <c r="ID35" i="6"/>
  <c r="IC35" i="6"/>
  <c r="U33" i="7" s="1"/>
  <c r="IA35" i="6"/>
  <c r="HV35" i="6"/>
  <c r="HQ35" i="6"/>
  <c r="HO35" i="6"/>
  <c r="HJ35" i="6"/>
  <c r="HG35" i="6"/>
  <c r="HE35" i="6"/>
  <c r="S33" i="7" s="1"/>
  <c r="HC35" i="6"/>
  <c r="GX35" i="6"/>
  <c r="GQ35" i="6"/>
  <c r="GS35" i="6" s="1"/>
  <c r="GL35" i="6"/>
  <c r="GI35" i="6"/>
  <c r="GG35" i="6"/>
  <c r="Q33" i="7" s="1"/>
  <c r="GE35" i="6"/>
  <c r="FZ35" i="6"/>
  <c r="FU35" i="6"/>
  <c r="FS35" i="6"/>
  <c r="FN35" i="6"/>
  <c r="FK35" i="6"/>
  <c r="FJ35" i="6"/>
  <c r="FI35" i="6"/>
  <c r="O33" i="7" s="1"/>
  <c r="FG35" i="6"/>
  <c r="FB35" i="6"/>
  <c r="EU35" i="6"/>
  <c r="EW35" i="6" s="1"/>
  <c r="EP35" i="6"/>
  <c r="EM35" i="6"/>
  <c r="EL35" i="6"/>
  <c r="EK35" i="6"/>
  <c r="M33" i="7" s="1"/>
  <c r="EI35" i="6"/>
  <c r="ED35" i="6"/>
  <c r="DY35" i="6"/>
  <c r="DW35" i="6"/>
  <c r="DR35" i="6"/>
  <c r="DO35" i="6"/>
  <c r="DN35" i="6"/>
  <c r="DM35" i="6"/>
  <c r="K33" i="7" s="1"/>
  <c r="DK35" i="6"/>
  <c r="DF35" i="6"/>
  <c r="CY35" i="6"/>
  <c r="DA35" i="6" s="1"/>
  <c r="CT35" i="6"/>
  <c r="CQ35" i="6"/>
  <c r="CP35" i="6"/>
  <c r="CO35" i="6"/>
  <c r="I33" i="7" s="1"/>
  <c r="CM35" i="6"/>
  <c r="CH35" i="6"/>
  <c r="CA35" i="6"/>
  <c r="CC35" i="6" s="1"/>
  <c r="BV35" i="6"/>
  <c r="BS35" i="6"/>
  <c r="BQ35" i="6"/>
  <c r="G33" i="7" s="1"/>
  <c r="BJ35" i="6"/>
  <c r="BC35" i="6"/>
  <c r="BE35" i="6" s="1"/>
  <c r="AX35" i="6"/>
  <c r="AU35" i="6"/>
  <c r="AT35" i="6"/>
  <c r="AS35" i="6"/>
  <c r="E33" i="7" s="1"/>
  <c r="AQ35" i="6"/>
  <c r="AL35" i="6"/>
  <c r="AG35" i="6"/>
  <c r="Z35" i="6"/>
  <c r="W35" i="6"/>
  <c r="U35" i="6"/>
  <c r="C33" i="7" s="1"/>
  <c r="S35" i="6"/>
  <c r="N35" i="6"/>
  <c r="B35" i="6"/>
  <c r="KA34" i="6"/>
  <c r="JZ34" i="6"/>
  <c r="JY34" i="6"/>
  <c r="Y32" i="7" s="1"/>
  <c r="JW34" i="6"/>
  <c r="JM34" i="6"/>
  <c r="JK34" i="6"/>
  <c r="JC34" i="6"/>
  <c r="JA34" i="6"/>
  <c r="W32" i="7" s="1"/>
  <c r="IO34" i="6"/>
  <c r="IM34" i="6"/>
  <c r="IH34" i="6"/>
  <c r="IT34" i="6" s="1"/>
  <c r="JF34" i="6" s="1"/>
  <c r="JR34" i="6" s="1"/>
  <c r="IE34" i="6"/>
  <c r="ID34" i="6"/>
  <c r="IC34" i="6"/>
  <c r="U32" i="7" s="1"/>
  <c r="IA34" i="6"/>
  <c r="HV34" i="6"/>
  <c r="HO34" i="6"/>
  <c r="HQ34" i="6" s="1"/>
  <c r="HJ34" i="6"/>
  <c r="HG34" i="6"/>
  <c r="HF34" i="6"/>
  <c r="HE34" i="6"/>
  <c r="S32" i="7" s="1"/>
  <c r="HC34" i="6"/>
  <c r="GX34" i="6"/>
  <c r="GS34" i="6"/>
  <c r="GQ34" i="6"/>
  <c r="GL34" i="6"/>
  <c r="GI34" i="6"/>
  <c r="GG34" i="6"/>
  <c r="Q32" i="7" s="1"/>
  <c r="GE34" i="6"/>
  <c r="FZ34" i="6"/>
  <c r="FS34" i="6"/>
  <c r="FU34" i="6" s="1"/>
  <c r="FN34" i="6"/>
  <c r="FK34" i="6"/>
  <c r="FJ34" i="6"/>
  <c r="FI34" i="6"/>
  <c r="O32" i="7" s="1"/>
  <c r="FG34" i="6"/>
  <c r="FB34" i="6"/>
  <c r="EW34" i="6"/>
  <c r="EU34" i="6"/>
  <c r="EP34" i="6"/>
  <c r="EM34" i="6"/>
  <c r="EL34" i="6"/>
  <c r="EK34" i="6"/>
  <c r="M32" i="7" s="1"/>
  <c r="EI34" i="6"/>
  <c r="ED34" i="6"/>
  <c r="DW34" i="6"/>
  <c r="DY34" i="6" s="1"/>
  <c r="DR34" i="6"/>
  <c r="DO34" i="6"/>
  <c r="DN34" i="6"/>
  <c r="DM34" i="6"/>
  <c r="K32" i="7" s="1"/>
  <c r="DK34" i="6"/>
  <c r="DF34" i="6"/>
  <c r="DA34" i="6"/>
  <c r="CY34" i="6"/>
  <c r="CT34" i="6"/>
  <c r="CQ34" i="6"/>
  <c r="CP34" i="6"/>
  <c r="CO34" i="6"/>
  <c r="I32" i="7" s="1"/>
  <c r="CM34" i="6"/>
  <c r="CH34" i="6"/>
  <c r="CA34" i="6"/>
  <c r="CC34" i="6" s="1"/>
  <c r="BV34" i="6"/>
  <c r="BQ34" i="6"/>
  <c r="G32" i="7" s="1"/>
  <c r="BJ34" i="6"/>
  <c r="BE34" i="6"/>
  <c r="BC34" i="6"/>
  <c r="AX34" i="6"/>
  <c r="AU34" i="6"/>
  <c r="AT34" i="6"/>
  <c r="AS34" i="6"/>
  <c r="E32" i="7" s="1"/>
  <c r="AQ34" i="6"/>
  <c r="AL34" i="6"/>
  <c r="AG34" i="6"/>
  <c r="Z34" i="6"/>
  <c r="W34" i="6"/>
  <c r="U34" i="6"/>
  <c r="C32" i="7" s="1"/>
  <c r="S34" i="6"/>
  <c r="N34" i="6"/>
  <c r="B34" i="6"/>
  <c r="KA33" i="6"/>
  <c r="JZ33" i="6"/>
  <c r="JY33" i="6"/>
  <c r="Y31" i="7" s="1"/>
  <c r="JW33" i="6"/>
  <c r="JK33" i="6"/>
  <c r="JM33" i="6" s="1"/>
  <c r="JA33" i="6"/>
  <c r="W31" i="7" s="1"/>
  <c r="IM33" i="6"/>
  <c r="IO33" i="6" s="1"/>
  <c r="IH33" i="6"/>
  <c r="IT33" i="6" s="1"/>
  <c r="JF33" i="6" s="1"/>
  <c r="JR33" i="6" s="1"/>
  <c r="IE33" i="6"/>
  <c r="ID33" i="6"/>
  <c r="IC33" i="6"/>
  <c r="U31" i="7" s="1"/>
  <c r="IA33" i="6"/>
  <c r="HV33" i="6"/>
  <c r="HQ33" i="6"/>
  <c r="HO33" i="6"/>
  <c r="HJ33" i="6"/>
  <c r="HG33" i="6"/>
  <c r="HF33" i="6"/>
  <c r="HE33" i="6"/>
  <c r="S31" i="7" s="1"/>
  <c r="HC33" i="6"/>
  <c r="GX33" i="6"/>
  <c r="GQ33" i="6"/>
  <c r="GS33" i="6" s="1"/>
  <c r="GL33" i="6"/>
  <c r="GI33" i="6"/>
  <c r="GG33" i="6"/>
  <c r="Q31" i="7" s="1"/>
  <c r="GE33" i="6"/>
  <c r="FZ33" i="6"/>
  <c r="FU33" i="6"/>
  <c r="FS33" i="6"/>
  <c r="FN33" i="6"/>
  <c r="FK33" i="6"/>
  <c r="FJ33" i="6"/>
  <c r="FI33" i="6"/>
  <c r="O31" i="7" s="1"/>
  <c r="FG33" i="6"/>
  <c r="FB33" i="6"/>
  <c r="EU33" i="6"/>
  <c r="EW33" i="6" s="1"/>
  <c r="EP33" i="6"/>
  <c r="EM33" i="6"/>
  <c r="EL33" i="6"/>
  <c r="EK33" i="6"/>
  <c r="M31" i="7" s="1"/>
  <c r="EI33" i="6"/>
  <c r="ED33" i="6"/>
  <c r="DY33" i="6"/>
  <c r="DW33" i="6"/>
  <c r="DR33" i="6"/>
  <c r="DO33" i="6"/>
  <c r="DN33" i="6"/>
  <c r="DM33" i="6"/>
  <c r="K31" i="7" s="1"/>
  <c r="DK33" i="6"/>
  <c r="DF33" i="6"/>
  <c r="CY33" i="6"/>
  <c r="DA33" i="6" s="1"/>
  <c r="CT33" i="6"/>
  <c r="CQ33" i="6"/>
  <c r="CP33" i="6"/>
  <c r="CO33" i="6"/>
  <c r="I31" i="7" s="1"/>
  <c r="CM33" i="6"/>
  <c r="CH33" i="6"/>
  <c r="CA33" i="6"/>
  <c r="CC33" i="6" s="1"/>
  <c r="CF33" i="6" s="1"/>
  <c r="BV33" i="6"/>
  <c r="BQ33" i="6"/>
  <c r="G31" i="7" s="1"/>
  <c r="BJ33" i="6"/>
  <c r="BC33" i="6"/>
  <c r="BE33" i="6" s="1"/>
  <c r="AX33" i="6"/>
  <c r="AU33" i="6"/>
  <c r="AT33" i="6"/>
  <c r="AS33" i="6"/>
  <c r="E31" i="7" s="1"/>
  <c r="AQ33" i="6"/>
  <c r="AL33" i="6"/>
  <c r="AG33" i="6"/>
  <c r="Z33" i="6"/>
  <c r="W33" i="6"/>
  <c r="V33" i="6"/>
  <c r="U33" i="6"/>
  <c r="C31" i="7" s="1"/>
  <c r="S33" i="6"/>
  <c r="N33" i="6"/>
  <c r="B33" i="6"/>
  <c r="KA32" i="6"/>
  <c r="JZ32" i="6"/>
  <c r="JY32" i="6"/>
  <c r="Y30" i="7" s="1"/>
  <c r="JW32" i="6"/>
  <c r="JM32" i="6"/>
  <c r="JK32" i="6"/>
  <c r="JA32" i="6"/>
  <c r="W30" i="7" s="1"/>
  <c r="IO32" i="6"/>
  <c r="IM32" i="6"/>
  <c r="IH32" i="6"/>
  <c r="IT32" i="6" s="1"/>
  <c r="JF32" i="6" s="1"/>
  <c r="JR32" i="6" s="1"/>
  <c r="IE32" i="6"/>
  <c r="ID32" i="6"/>
  <c r="IC32" i="6"/>
  <c r="U30" i="7" s="1"/>
  <c r="IA32" i="6"/>
  <c r="HV32" i="6"/>
  <c r="HO32" i="6"/>
  <c r="HQ32" i="6" s="1"/>
  <c r="HJ32" i="6"/>
  <c r="HG32" i="6"/>
  <c r="HF32" i="6"/>
  <c r="HE32" i="6"/>
  <c r="S30" i="7" s="1"/>
  <c r="HC32" i="6"/>
  <c r="GX32" i="6"/>
  <c r="GS32" i="6"/>
  <c r="GQ32" i="6"/>
  <c r="GL32" i="6"/>
  <c r="GI32" i="6"/>
  <c r="GG32" i="6"/>
  <c r="Q30" i="7" s="1"/>
  <c r="GE32" i="6"/>
  <c r="FZ32" i="6"/>
  <c r="FS32" i="6"/>
  <c r="FU32" i="6" s="1"/>
  <c r="FN32" i="6"/>
  <c r="FK32" i="6"/>
  <c r="FJ32" i="6"/>
  <c r="FI32" i="6"/>
  <c r="O30" i="7" s="1"/>
  <c r="FG32" i="6"/>
  <c r="FB32" i="6"/>
  <c r="EW32" i="6"/>
  <c r="EU32" i="6"/>
  <c r="EP32" i="6"/>
  <c r="EM32" i="6"/>
  <c r="EL32" i="6"/>
  <c r="EK32" i="6"/>
  <c r="M30" i="7" s="1"/>
  <c r="EI32" i="6"/>
  <c r="ED32" i="6"/>
  <c r="DW32" i="6"/>
  <c r="DY32" i="6" s="1"/>
  <c r="DR32" i="6"/>
  <c r="DO32" i="6"/>
  <c r="DN32" i="6"/>
  <c r="DM32" i="6"/>
  <c r="K30" i="7" s="1"/>
  <c r="DK32" i="6"/>
  <c r="DF32" i="6"/>
  <c r="DA32" i="6"/>
  <c r="CY32" i="6"/>
  <c r="CT32" i="6"/>
  <c r="CQ32" i="6"/>
  <c r="CP32" i="6"/>
  <c r="CO32" i="6"/>
  <c r="I30" i="7" s="1"/>
  <c r="CM32" i="6"/>
  <c r="CH32" i="6"/>
  <c r="CA32" i="6"/>
  <c r="CC32" i="6" s="1"/>
  <c r="H30" i="7" s="1"/>
  <c r="BV32" i="6"/>
  <c r="BQ32" i="6"/>
  <c r="G30" i="7" s="1"/>
  <c r="BJ32" i="6"/>
  <c r="BE32" i="6"/>
  <c r="BC32" i="6"/>
  <c r="AX32" i="6"/>
  <c r="AU32" i="6"/>
  <c r="AT32" i="6"/>
  <c r="AS32" i="6"/>
  <c r="E30" i="7" s="1"/>
  <c r="AQ32" i="6"/>
  <c r="AL32" i="6"/>
  <c r="AG32" i="6"/>
  <c r="Z32" i="6"/>
  <c r="W32" i="6"/>
  <c r="V32" i="6"/>
  <c r="U32" i="6"/>
  <c r="C30" i="7" s="1"/>
  <c r="S32" i="6"/>
  <c r="N32" i="6"/>
  <c r="B32" i="6"/>
  <c r="KA31" i="6"/>
  <c r="JZ31" i="6"/>
  <c r="JY31" i="6"/>
  <c r="Y29" i="7" s="1"/>
  <c r="JW31" i="6"/>
  <c r="JK31" i="6"/>
  <c r="JM31" i="6" s="1"/>
  <c r="JA31" i="6"/>
  <c r="W29" i="7" s="1"/>
  <c r="IM31" i="6"/>
  <c r="IO31" i="6" s="1"/>
  <c r="IH31" i="6"/>
  <c r="IT31" i="6" s="1"/>
  <c r="JF31" i="6" s="1"/>
  <c r="JR31" i="6" s="1"/>
  <c r="IE31" i="6"/>
  <c r="ID31" i="6"/>
  <c r="IC31" i="6"/>
  <c r="U29" i="7" s="1"/>
  <c r="IA31" i="6"/>
  <c r="HV31" i="6"/>
  <c r="HQ31" i="6"/>
  <c r="HO31" i="6"/>
  <c r="HJ31" i="6"/>
  <c r="HG31" i="6"/>
  <c r="HF31" i="6"/>
  <c r="HE31" i="6"/>
  <c r="S29" i="7" s="1"/>
  <c r="HC31" i="6"/>
  <c r="GX31" i="6"/>
  <c r="GQ31" i="6"/>
  <c r="GS31" i="6" s="1"/>
  <c r="GL31" i="6"/>
  <c r="GI31" i="6"/>
  <c r="GH31" i="6"/>
  <c r="GG31" i="6"/>
  <c r="Q29" i="7" s="1"/>
  <c r="GE31" i="6"/>
  <c r="FZ31" i="6"/>
  <c r="FU31" i="6"/>
  <c r="FS31" i="6"/>
  <c r="FN31" i="6"/>
  <c r="FK31" i="6"/>
  <c r="FJ31" i="6"/>
  <c r="FI31" i="6"/>
  <c r="O29" i="7" s="1"/>
  <c r="FG31" i="6"/>
  <c r="FB31" i="6"/>
  <c r="EU31" i="6"/>
  <c r="EW31" i="6" s="1"/>
  <c r="EP31" i="6"/>
  <c r="EM31" i="6"/>
  <c r="EL31" i="6"/>
  <c r="EK31" i="6"/>
  <c r="M29" i="7" s="1"/>
  <c r="EI31" i="6"/>
  <c r="ED31" i="6"/>
  <c r="DY31" i="6"/>
  <c r="DW31" i="6"/>
  <c r="DR31" i="6"/>
  <c r="DO31" i="6"/>
  <c r="DN31" i="6"/>
  <c r="DM31" i="6"/>
  <c r="K29" i="7" s="1"/>
  <c r="DK31" i="6"/>
  <c r="DF31" i="6"/>
  <c r="CY31" i="6"/>
  <c r="DA31" i="6" s="1"/>
  <c r="CT31" i="6"/>
  <c r="CQ31" i="6"/>
  <c r="CP31" i="6"/>
  <c r="CO31" i="6"/>
  <c r="I29" i="7" s="1"/>
  <c r="CM31" i="6"/>
  <c r="CH31" i="6"/>
  <c r="CC31" i="6"/>
  <c r="CA31" i="6"/>
  <c r="BV31" i="6"/>
  <c r="BQ31" i="6"/>
  <c r="BS31" i="6" s="1"/>
  <c r="BJ31" i="6"/>
  <c r="BH31" i="6"/>
  <c r="BE31" i="6"/>
  <c r="BC31" i="6"/>
  <c r="AX31" i="6"/>
  <c r="AT31" i="6"/>
  <c r="AS31" i="6"/>
  <c r="AU31" i="6" s="1"/>
  <c r="AQ31" i="6"/>
  <c r="AL31" i="6"/>
  <c r="AG31" i="6"/>
  <c r="AJ31" i="6" s="1"/>
  <c r="Z31" i="6"/>
  <c r="W31" i="6"/>
  <c r="V31" i="6"/>
  <c r="U31" i="6"/>
  <c r="S31" i="6"/>
  <c r="N31" i="6"/>
  <c r="L31" i="6"/>
  <c r="B31" i="6"/>
  <c r="JZ30" i="6"/>
  <c r="JY30" i="6"/>
  <c r="KA30" i="6" s="1"/>
  <c r="JW30" i="6"/>
  <c r="JM30" i="6"/>
  <c r="JP30" i="6" s="1"/>
  <c r="JK30" i="6"/>
  <c r="JC30" i="6"/>
  <c r="JA30" i="6"/>
  <c r="IR30" i="6"/>
  <c r="IO30" i="6"/>
  <c r="IM30" i="6"/>
  <c r="IH30" i="6"/>
  <c r="IT30" i="6" s="1"/>
  <c r="JF30" i="6" s="1"/>
  <c r="JR30" i="6" s="1"/>
  <c r="ID30" i="6"/>
  <c r="IC30" i="6"/>
  <c r="IE30" i="6" s="1"/>
  <c r="IA30" i="6"/>
  <c r="HV30" i="6"/>
  <c r="HQ30" i="6"/>
  <c r="HT30" i="6" s="1"/>
  <c r="HO30" i="6"/>
  <c r="HJ30" i="6"/>
  <c r="HG30" i="6"/>
  <c r="HF30" i="6"/>
  <c r="HE30" i="6"/>
  <c r="HC30" i="6"/>
  <c r="GX30" i="6"/>
  <c r="GV30" i="6"/>
  <c r="GS30" i="6"/>
  <c r="GQ30" i="6"/>
  <c r="GL30" i="6"/>
  <c r="GH30" i="6"/>
  <c r="GG30" i="6"/>
  <c r="GI30" i="6" s="1"/>
  <c r="GE30" i="6"/>
  <c r="FZ30" i="6"/>
  <c r="FU30" i="6"/>
  <c r="FX30" i="6" s="1"/>
  <c r="FS30" i="6"/>
  <c r="FN30" i="6"/>
  <c r="FK30" i="6"/>
  <c r="FJ30" i="6"/>
  <c r="FI30" i="6"/>
  <c r="FG30" i="6"/>
  <c r="FB30" i="6"/>
  <c r="EZ30" i="6"/>
  <c r="EW30" i="6"/>
  <c r="EU30" i="6"/>
  <c r="EP30" i="6"/>
  <c r="EL30" i="6"/>
  <c r="EK30" i="6"/>
  <c r="EM30" i="6" s="1"/>
  <c r="EI30" i="6"/>
  <c r="ED30" i="6"/>
  <c r="DY30" i="6"/>
  <c r="DW30" i="6"/>
  <c r="DR30" i="6"/>
  <c r="DO30" i="6"/>
  <c r="DN30" i="6"/>
  <c r="DM30" i="6"/>
  <c r="DK30" i="6"/>
  <c r="DF30" i="6"/>
  <c r="DD30" i="6"/>
  <c r="DA30" i="6"/>
  <c r="CY30" i="6"/>
  <c r="CT30" i="6"/>
  <c r="CP30" i="6"/>
  <c r="CO30" i="6"/>
  <c r="CQ30" i="6" s="1"/>
  <c r="CM30" i="6"/>
  <c r="CH30" i="6"/>
  <c r="CC30" i="6"/>
  <c r="CA30" i="6"/>
  <c r="BV30" i="6"/>
  <c r="BQ30" i="6"/>
  <c r="BS30" i="6" s="1"/>
  <c r="BJ30" i="6"/>
  <c r="BH30" i="6"/>
  <c r="BE30" i="6"/>
  <c r="BC30" i="6"/>
  <c r="AX30" i="6"/>
  <c r="AT30" i="6"/>
  <c r="AS30" i="6"/>
  <c r="AU30" i="6" s="1"/>
  <c r="AQ30" i="6"/>
  <c r="AL30" i="6"/>
  <c r="AG30" i="6"/>
  <c r="Z30" i="6"/>
  <c r="W30" i="6"/>
  <c r="V30" i="6"/>
  <c r="U30" i="6"/>
  <c r="S30" i="6"/>
  <c r="N30" i="6"/>
  <c r="L30" i="6"/>
  <c r="B30" i="6"/>
  <c r="JZ29" i="6"/>
  <c r="JY29" i="6"/>
  <c r="KA29" i="6" s="1"/>
  <c r="JW29" i="6"/>
  <c r="JM29" i="6"/>
  <c r="JK29" i="6"/>
  <c r="JA29" i="6"/>
  <c r="JC29" i="6" s="1"/>
  <c r="IR29" i="6"/>
  <c r="IO29" i="6"/>
  <c r="IM29" i="6"/>
  <c r="IH29" i="6"/>
  <c r="IT29" i="6" s="1"/>
  <c r="JF29" i="6" s="1"/>
  <c r="JR29" i="6" s="1"/>
  <c r="ID29" i="6"/>
  <c r="IC29" i="6"/>
  <c r="IE29" i="6" s="1"/>
  <c r="IA29" i="6"/>
  <c r="HV29" i="6"/>
  <c r="HQ29" i="6"/>
  <c r="HO29" i="6"/>
  <c r="HJ29" i="6"/>
  <c r="HG29" i="6"/>
  <c r="HF29" i="6"/>
  <c r="HE29" i="6"/>
  <c r="HC29" i="6"/>
  <c r="GX29" i="6"/>
  <c r="GV29" i="6"/>
  <c r="GS29" i="6"/>
  <c r="GQ29" i="6"/>
  <c r="GL29" i="6"/>
  <c r="GH29" i="6"/>
  <c r="GG29" i="6"/>
  <c r="GI29" i="6" s="1"/>
  <c r="GE29" i="6"/>
  <c r="FZ29" i="6"/>
  <c r="FU29" i="6"/>
  <c r="FS29" i="6"/>
  <c r="FN29" i="6"/>
  <c r="FK29" i="6"/>
  <c r="FJ29" i="6"/>
  <c r="FI29" i="6"/>
  <c r="FG29" i="6"/>
  <c r="FB29" i="6"/>
  <c r="EZ29" i="6"/>
  <c r="EW29" i="6"/>
  <c r="EU29" i="6"/>
  <c r="EP29" i="6"/>
  <c r="EL29" i="6"/>
  <c r="EK29" i="6"/>
  <c r="EM29" i="6" s="1"/>
  <c r="EI29" i="6"/>
  <c r="ED29" i="6"/>
  <c r="DY29" i="6"/>
  <c r="DW29" i="6"/>
  <c r="DR29" i="6"/>
  <c r="DO29" i="6"/>
  <c r="DN29" i="6"/>
  <c r="DM29" i="6"/>
  <c r="DK29" i="6"/>
  <c r="DF29" i="6"/>
  <c r="DD29" i="6"/>
  <c r="DA29" i="6"/>
  <c r="CY29" i="6"/>
  <c r="CT29" i="6"/>
  <c r="CP29" i="6"/>
  <c r="CO29" i="6"/>
  <c r="CQ29" i="6" s="1"/>
  <c r="CM29" i="6"/>
  <c r="CH29" i="6"/>
  <c r="CC29" i="6"/>
  <c r="CA29" i="6"/>
  <c r="BV29" i="6"/>
  <c r="BS29" i="6"/>
  <c r="BQ29" i="6"/>
  <c r="BJ29" i="6"/>
  <c r="BH29" i="6"/>
  <c r="BE29" i="6"/>
  <c r="BC29" i="6"/>
  <c r="AX29" i="6"/>
  <c r="AT29" i="6"/>
  <c r="AS29" i="6"/>
  <c r="AU29" i="6" s="1"/>
  <c r="AQ29" i="6"/>
  <c r="AL29" i="6"/>
  <c r="AG29" i="6"/>
  <c r="Z29" i="6"/>
  <c r="W29" i="6"/>
  <c r="V29" i="6"/>
  <c r="U29" i="6"/>
  <c r="S29" i="6"/>
  <c r="N29" i="6"/>
  <c r="L29" i="6"/>
  <c r="B29" i="6"/>
  <c r="JZ28" i="6"/>
  <c r="JY28" i="6"/>
  <c r="KA28" i="6" s="1"/>
  <c r="JW28" i="6"/>
  <c r="JP28" i="6"/>
  <c r="JM28" i="6"/>
  <c r="JK28" i="6"/>
  <c r="JA28" i="6"/>
  <c r="JC28" i="6" s="1"/>
  <c r="IR28" i="6"/>
  <c r="IO28" i="6"/>
  <c r="IM28" i="6"/>
  <c r="IH28" i="6"/>
  <c r="IT28" i="6" s="1"/>
  <c r="JF28" i="6" s="1"/>
  <c r="JR28" i="6" s="1"/>
  <c r="ID28" i="6"/>
  <c r="IC28" i="6"/>
  <c r="IE28" i="6" s="1"/>
  <c r="IA28" i="6"/>
  <c r="HV28" i="6"/>
  <c r="HT28" i="6"/>
  <c r="HQ28" i="6"/>
  <c r="HO28" i="6"/>
  <c r="HJ28" i="6"/>
  <c r="HG28" i="6"/>
  <c r="HF28" i="6"/>
  <c r="HE28" i="6"/>
  <c r="HC28" i="6"/>
  <c r="GX28" i="6"/>
  <c r="GS28" i="6"/>
  <c r="GV28" i="6" s="1"/>
  <c r="GQ28" i="6"/>
  <c r="GL28" i="6"/>
  <c r="GH28" i="6"/>
  <c r="GG28" i="6"/>
  <c r="GI28" i="6" s="1"/>
  <c r="GE28" i="6"/>
  <c r="FZ28" i="6"/>
  <c r="FU28" i="6"/>
  <c r="FX28" i="6" s="1"/>
  <c r="FS28" i="6"/>
  <c r="FN28" i="6"/>
  <c r="FK28" i="6"/>
  <c r="FJ28" i="6"/>
  <c r="FI28" i="6"/>
  <c r="FG28" i="6"/>
  <c r="FB28" i="6"/>
  <c r="EZ28" i="6"/>
  <c r="EW28" i="6"/>
  <c r="EU28" i="6"/>
  <c r="EP28" i="6"/>
  <c r="EL28" i="6"/>
  <c r="EK28" i="6"/>
  <c r="EM28" i="6" s="1"/>
  <c r="EI28" i="6"/>
  <c r="ED28" i="6"/>
  <c r="EB28" i="6"/>
  <c r="DY28" i="6"/>
  <c r="DW28" i="6"/>
  <c r="DR28" i="6"/>
  <c r="DO28" i="6"/>
  <c r="DN28" i="6"/>
  <c r="DM28" i="6"/>
  <c r="DK28" i="6"/>
  <c r="DF28" i="6"/>
  <c r="DA28" i="6"/>
  <c r="CY28" i="6"/>
  <c r="CT28" i="6"/>
  <c r="CP28" i="6"/>
  <c r="CO28" i="6"/>
  <c r="CQ28" i="6" s="1"/>
  <c r="CM28" i="6"/>
  <c r="CH28" i="6"/>
  <c r="CC28" i="6"/>
  <c r="CA28" i="6"/>
  <c r="BV28" i="6"/>
  <c r="BQ28" i="6"/>
  <c r="BS28" i="6" s="1"/>
  <c r="BJ28" i="6"/>
  <c r="BH28" i="6"/>
  <c r="BE28" i="6"/>
  <c r="BC28" i="6"/>
  <c r="AX28" i="6"/>
  <c r="AT28" i="6"/>
  <c r="AS28" i="6"/>
  <c r="AU28" i="6" s="1"/>
  <c r="AQ28" i="6"/>
  <c r="AL28" i="6"/>
  <c r="AG28" i="6"/>
  <c r="AJ28" i="6" s="1"/>
  <c r="Z28" i="6"/>
  <c r="W28" i="6"/>
  <c r="V28" i="6"/>
  <c r="U28" i="6"/>
  <c r="S28" i="6"/>
  <c r="N28" i="6"/>
  <c r="L28" i="6"/>
  <c r="B28" i="6"/>
  <c r="JZ27" i="6"/>
  <c r="JY27" i="6"/>
  <c r="KA27" i="6" s="1"/>
  <c r="JW27" i="6"/>
  <c r="JP27" i="6"/>
  <c r="JM27" i="6"/>
  <c r="JK27" i="6"/>
  <c r="JC27" i="6"/>
  <c r="JA27" i="6"/>
  <c r="JB27" i="6" s="1"/>
  <c r="IR27" i="6"/>
  <c r="IO27" i="6"/>
  <c r="IM27" i="6"/>
  <c r="IH27" i="6"/>
  <c r="IT27" i="6" s="1"/>
  <c r="JF27" i="6" s="1"/>
  <c r="JR27" i="6" s="1"/>
  <c r="ID27" i="6"/>
  <c r="IC27" i="6"/>
  <c r="IE27" i="6" s="1"/>
  <c r="IA27" i="6"/>
  <c r="HV27" i="6"/>
  <c r="HT27" i="6"/>
  <c r="HQ27" i="6"/>
  <c r="HO27" i="6"/>
  <c r="HE27" i="6"/>
  <c r="HC27" i="6"/>
  <c r="GX27" i="6"/>
  <c r="GQ27" i="6"/>
  <c r="GS27" i="6" s="1"/>
  <c r="GL27" i="6"/>
  <c r="GJ27" i="6"/>
  <c r="GG27" i="6"/>
  <c r="GE27" i="6"/>
  <c r="FZ27" i="6"/>
  <c r="FW27" i="6"/>
  <c r="FS27" i="6"/>
  <c r="FU27" i="6" s="1"/>
  <c r="FN27" i="6"/>
  <c r="FI27" i="6"/>
  <c r="FL27" i="6" s="1"/>
  <c r="FG27" i="6"/>
  <c r="FB27" i="6"/>
  <c r="EU27" i="6"/>
  <c r="EW27" i="6" s="1"/>
  <c r="EY27" i="6" s="1"/>
  <c r="EP27" i="6"/>
  <c r="EN27" i="6"/>
  <c r="EK27" i="6"/>
  <c r="EI27" i="6"/>
  <c r="ED27" i="6"/>
  <c r="EA27" i="6"/>
  <c r="DW27" i="6"/>
  <c r="DY27" i="6" s="1"/>
  <c r="DR27" i="6"/>
  <c r="DM27" i="6"/>
  <c r="DK27" i="6"/>
  <c r="DF27" i="6"/>
  <c r="CY27" i="6"/>
  <c r="DA27" i="6" s="1"/>
  <c r="CT27" i="6"/>
  <c r="CR27" i="6"/>
  <c r="CO27" i="6"/>
  <c r="CM27" i="6"/>
  <c r="CH27" i="6"/>
  <c r="CA27" i="6"/>
  <c r="CC27" i="6" s="1"/>
  <c r="CE27" i="6" s="1"/>
  <c r="BQ27" i="6"/>
  <c r="BJ27" i="6"/>
  <c r="BG27" i="6"/>
  <c r="BF27" i="6"/>
  <c r="BE27" i="6"/>
  <c r="BC27" i="6"/>
  <c r="AX27" i="6"/>
  <c r="AV27" i="6"/>
  <c r="AS27" i="6"/>
  <c r="AQ27" i="6"/>
  <c r="AL27" i="6"/>
  <c r="AG27" i="6"/>
  <c r="AI27" i="6" s="1"/>
  <c r="Z27" i="6"/>
  <c r="X27" i="6"/>
  <c r="U27" i="6"/>
  <c r="S27" i="6"/>
  <c r="N27" i="6"/>
  <c r="K27" i="6"/>
  <c r="J27" i="6"/>
  <c r="KB26" i="6"/>
  <c r="JW26" i="6"/>
  <c r="JY26" i="6" s="1"/>
  <c r="KA26" i="6" s="1"/>
  <c r="JK26" i="6"/>
  <c r="JM26" i="6" s="1"/>
  <c r="JA26" i="6"/>
  <c r="IO26" i="6"/>
  <c r="IM26" i="6"/>
  <c r="IH26" i="6"/>
  <c r="IT26" i="6" s="1"/>
  <c r="JF26" i="6" s="1"/>
  <c r="JR26" i="6" s="1"/>
  <c r="IF26" i="6"/>
  <c r="IE26" i="6"/>
  <c r="ID26" i="6"/>
  <c r="IA26" i="6"/>
  <c r="IC26" i="6" s="1"/>
  <c r="U24" i="7" s="1"/>
  <c r="HV26" i="6"/>
  <c r="HT26" i="6"/>
  <c r="HO26" i="6"/>
  <c r="HQ26" i="6" s="1"/>
  <c r="HR26" i="6" s="1"/>
  <c r="HJ26" i="6"/>
  <c r="HH26" i="6"/>
  <c r="HC26" i="6"/>
  <c r="HE26" i="6" s="1"/>
  <c r="HF26" i="6" s="1"/>
  <c r="GX26" i="6"/>
  <c r="GQ26" i="6"/>
  <c r="GS26" i="6" s="1"/>
  <c r="GL26" i="6"/>
  <c r="GJ26" i="6"/>
  <c r="GI26" i="6"/>
  <c r="GE26" i="6"/>
  <c r="GG26" i="6" s="1"/>
  <c r="Q24" i="7" s="1"/>
  <c r="FZ26" i="6"/>
  <c r="FX26" i="6"/>
  <c r="FV26" i="6"/>
  <c r="FS26" i="6"/>
  <c r="FU26" i="6" s="1"/>
  <c r="FN26" i="6"/>
  <c r="FL26" i="6"/>
  <c r="FJ26" i="6"/>
  <c r="FG26" i="6"/>
  <c r="FI26" i="6" s="1"/>
  <c r="FB26" i="6"/>
  <c r="EW26" i="6"/>
  <c r="EX26" i="6" s="1"/>
  <c r="EU26" i="6"/>
  <c r="EP26" i="6"/>
  <c r="EN26" i="6"/>
  <c r="EM26" i="6"/>
  <c r="EL26" i="6"/>
  <c r="EI26" i="6"/>
  <c r="EK26" i="6" s="1"/>
  <c r="M24" i="7" s="1"/>
  <c r="ED26" i="6"/>
  <c r="DW26" i="6"/>
  <c r="DY26" i="6" s="1"/>
  <c r="DR26" i="6"/>
  <c r="DK26" i="6"/>
  <c r="DM26" i="6" s="1"/>
  <c r="DF26" i="6"/>
  <c r="CY26" i="6"/>
  <c r="DA26" i="6" s="1"/>
  <c r="CT26" i="6"/>
  <c r="CR26" i="6"/>
  <c r="CQ26" i="6"/>
  <c r="CP26" i="6"/>
  <c r="CM26" i="6"/>
  <c r="CO26" i="6" s="1"/>
  <c r="I24" i="7" s="1"/>
  <c r="CH26" i="6"/>
  <c r="CA26" i="6"/>
  <c r="CC26" i="6" s="1"/>
  <c r="BV26" i="6"/>
  <c r="BQ26" i="6"/>
  <c r="BS26" i="6" s="1"/>
  <c r="BJ26" i="6"/>
  <c r="BH26" i="6"/>
  <c r="BF26" i="6"/>
  <c r="BE26" i="6"/>
  <c r="BC26" i="6"/>
  <c r="AX26" i="6"/>
  <c r="AQ26" i="6"/>
  <c r="AS26" i="6" s="1"/>
  <c r="AL26" i="6"/>
  <c r="AG26" i="6"/>
  <c r="Z26" i="6"/>
  <c r="S26" i="6"/>
  <c r="U26" i="6" s="1"/>
  <c r="N26" i="6"/>
  <c r="B26" i="6"/>
  <c r="KA25" i="6"/>
  <c r="JW25" i="6"/>
  <c r="JY25" i="6" s="1"/>
  <c r="JM25" i="6"/>
  <c r="JK25" i="6"/>
  <c r="JA25" i="6"/>
  <c r="IM25" i="6"/>
  <c r="IO25" i="6" s="1"/>
  <c r="IH25" i="6"/>
  <c r="IT25" i="6" s="1"/>
  <c r="JF25" i="6" s="1"/>
  <c r="JR25" i="6" s="1"/>
  <c r="IF25" i="6"/>
  <c r="IE25" i="6"/>
  <c r="ID25" i="6"/>
  <c r="IA25" i="6"/>
  <c r="IC25" i="6" s="1"/>
  <c r="U23" i="7" s="1"/>
  <c r="HV25" i="6"/>
  <c r="HR25" i="6"/>
  <c r="HO25" i="6"/>
  <c r="HQ25" i="6" s="1"/>
  <c r="HJ25" i="6"/>
  <c r="HF25" i="6"/>
  <c r="HC25" i="6"/>
  <c r="HE25" i="6" s="1"/>
  <c r="GX25" i="6"/>
  <c r="GS25" i="6"/>
  <c r="GQ25" i="6"/>
  <c r="GL25" i="6"/>
  <c r="GJ25" i="6"/>
  <c r="GI25" i="6"/>
  <c r="GH25" i="6"/>
  <c r="GE25" i="6"/>
  <c r="GG25" i="6" s="1"/>
  <c r="Q23" i="7" s="1"/>
  <c r="FZ25" i="6"/>
  <c r="FX25" i="6"/>
  <c r="FS25" i="6"/>
  <c r="FU25" i="6" s="1"/>
  <c r="FV25" i="6" s="1"/>
  <c r="FN25" i="6"/>
  <c r="FL25" i="6"/>
  <c r="FG25" i="6"/>
  <c r="FI25" i="6" s="1"/>
  <c r="FJ25" i="6" s="1"/>
  <c r="FB25" i="6"/>
  <c r="EU25" i="6"/>
  <c r="EW25" i="6" s="1"/>
  <c r="EP25" i="6"/>
  <c r="EN25" i="6"/>
  <c r="EM25" i="6"/>
  <c r="EL25" i="6"/>
  <c r="EI25" i="6"/>
  <c r="EK25" i="6" s="1"/>
  <c r="M23" i="7" s="1"/>
  <c r="ED25" i="6"/>
  <c r="EB25" i="6"/>
  <c r="DZ25" i="6"/>
  <c r="DW25" i="6"/>
  <c r="DY25" i="6" s="1"/>
  <c r="DR25" i="6"/>
  <c r="DP25" i="6"/>
  <c r="DN25" i="6"/>
  <c r="DK25" i="6"/>
  <c r="DM25" i="6" s="1"/>
  <c r="DF25" i="6"/>
  <c r="DA25" i="6"/>
  <c r="DB25" i="6" s="1"/>
  <c r="CY25" i="6"/>
  <c r="CT25" i="6"/>
  <c r="CR25" i="6"/>
  <c r="CQ25" i="6"/>
  <c r="CP25" i="6"/>
  <c r="CM25" i="6"/>
  <c r="CO25" i="6" s="1"/>
  <c r="I23" i="7" s="1"/>
  <c r="CH25" i="6"/>
  <c r="CA25" i="6"/>
  <c r="CC25" i="6" s="1"/>
  <c r="BV25" i="6"/>
  <c r="BQ25" i="6"/>
  <c r="BJ25" i="6"/>
  <c r="BH25" i="6"/>
  <c r="BE25" i="6"/>
  <c r="BF25" i="6" s="1"/>
  <c r="BC25" i="6"/>
  <c r="AX25" i="6"/>
  <c r="AV25" i="6"/>
  <c r="AU25" i="6"/>
  <c r="AQ25" i="6"/>
  <c r="AS25" i="6" s="1"/>
  <c r="AL25" i="6"/>
  <c r="AG25" i="6"/>
  <c r="AJ25" i="6" s="1"/>
  <c r="Z25" i="6"/>
  <c r="W25" i="6"/>
  <c r="V25" i="6"/>
  <c r="S25" i="6"/>
  <c r="U25" i="6" s="1"/>
  <c r="N25" i="6"/>
  <c r="L25" i="6"/>
  <c r="J25" i="6"/>
  <c r="B25" i="6"/>
  <c r="JW24" i="6"/>
  <c r="JY24" i="6" s="1"/>
  <c r="JK24" i="6"/>
  <c r="JM24" i="6" s="1"/>
  <c r="JA24" i="6"/>
  <c r="JD24" i="6" s="1"/>
  <c r="IO24" i="6"/>
  <c r="IP24" i="6" s="1"/>
  <c r="IM24" i="6"/>
  <c r="IH24" i="6"/>
  <c r="IT24" i="6" s="1"/>
  <c r="JF24" i="6" s="1"/>
  <c r="JR24" i="6" s="1"/>
  <c r="IF24" i="6"/>
  <c r="IE24" i="6"/>
  <c r="ID24" i="6"/>
  <c r="IA24" i="6"/>
  <c r="IC24" i="6" s="1"/>
  <c r="U22" i="7" s="1"/>
  <c r="HV24" i="6"/>
  <c r="HO24" i="6"/>
  <c r="HQ24" i="6" s="1"/>
  <c r="HJ24" i="6"/>
  <c r="HC24" i="6"/>
  <c r="HE24" i="6" s="1"/>
  <c r="GX24" i="6"/>
  <c r="GQ24" i="6"/>
  <c r="GS24" i="6" s="1"/>
  <c r="GL24" i="6"/>
  <c r="GJ24" i="6"/>
  <c r="GI24" i="6"/>
  <c r="GE24" i="6"/>
  <c r="GG24" i="6" s="1"/>
  <c r="Q22" i="7" s="1"/>
  <c r="FZ24" i="6"/>
  <c r="FV24" i="6"/>
  <c r="FS24" i="6"/>
  <c r="FU24" i="6" s="1"/>
  <c r="FN24" i="6"/>
  <c r="FJ24" i="6"/>
  <c r="FG24" i="6"/>
  <c r="FI24" i="6" s="1"/>
  <c r="FB24" i="6"/>
  <c r="EW24" i="6"/>
  <c r="EU24" i="6"/>
  <c r="EP24" i="6"/>
  <c r="EN24" i="6"/>
  <c r="EM24" i="6"/>
  <c r="EL24" i="6"/>
  <c r="EI24" i="6"/>
  <c r="EK24" i="6" s="1"/>
  <c r="M22" i="7" s="1"/>
  <c r="ED24" i="6"/>
  <c r="EB24" i="6"/>
  <c r="DW24" i="6"/>
  <c r="DY24" i="6" s="1"/>
  <c r="DZ24" i="6" s="1"/>
  <c r="DR24" i="6"/>
  <c r="DP24" i="6"/>
  <c r="DK24" i="6"/>
  <c r="DM24" i="6" s="1"/>
  <c r="DF24" i="6"/>
  <c r="DD24" i="6"/>
  <c r="DA24" i="6"/>
  <c r="DB24" i="6" s="1"/>
  <c r="CY24" i="6"/>
  <c r="CT24" i="6"/>
  <c r="CM24" i="6"/>
  <c r="CO24" i="6" s="1"/>
  <c r="CH24" i="6"/>
  <c r="CA24" i="6"/>
  <c r="CC24" i="6" s="1"/>
  <c r="BV24" i="6"/>
  <c r="BT24" i="6"/>
  <c r="BS24" i="6"/>
  <c r="BQ24" i="6"/>
  <c r="G22" i="7" s="1"/>
  <c r="BJ24" i="6"/>
  <c r="BC24" i="6"/>
  <c r="BE24" i="6" s="1"/>
  <c r="AX24" i="6"/>
  <c r="AV24" i="6"/>
  <c r="AT24" i="6"/>
  <c r="AQ24" i="6"/>
  <c r="AS24" i="6" s="1"/>
  <c r="E22" i="7" s="1"/>
  <c r="AL24" i="6"/>
  <c r="AG24" i="6"/>
  <c r="Z24" i="6"/>
  <c r="X24" i="6"/>
  <c r="W24" i="6"/>
  <c r="S24" i="6"/>
  <c r="U24" i="6" s="1"/>
  <c r="C22" i="7" s="1"/>
  <c r="N24" i="6"/>
  <c r="B24" i="6"/>
  <c r="KB23" i="6"/>
  <c r="JZ23" i="6"/>
  <c r="JW23" i="6"/>
  <c r="JY23" i="6" s="1"/>
  <c r="Y21" i="7" s="1"/>
  <c r="JN23" i="6"/>
  <c r="JK23" i="6"/>
  <c r="JM23" i="6" s="1"/>
  <c r="JC23" i="6"/>
  <c r="JA23" i="6"/>
  <c r="W21" i="7" s="1"/>
  <c r="IR23" i="6"/>
  <c r="IO23" i="6"/>
  <c r="IP23" i="6" s="1"/>
  <c r="IM23" i="6"/>
  <c r="IH23" i="6"/>
  <c r="IT23" i="6" s="1"/>
  <c r="JF23" i="6" s="1"/>
  <c r="JR23" i="6" s="1"/>
  <c r="IA23" i="6"/>
  <c r="IC23" i="6" s="1"/>
  <c r="HV23" i="6"/>
  <c r="HQ23" i="6"/>
  <c r="HO23" i="6"/>
  <c r="HJ23" i="6"/>
  <c r="HG23" i="6"/>
  <c r="HC23" i="6"/>
  <c r="HE23" i="6" s="1"/>
  <c r="S21" i="7" s="1"/>
  <c r="GX23" i="6"/>
  <c r="GV23" i="6"/>
  <c r="GS23" i="6"/>
  <c r="GT23" i="6" s="1"/>
  <c r="GQ23" i="6"/>
  <c r="GL23" i="6"/>
  <c r="GE23" i="6"/>
  <c r="GG23" i="6" s="1"/>
  <c r="FZ23" i="6"/>
  <c r="FU23" i="6"/>
  <c r="FS23" i="6"/>
  <c r="FN23" i="6"/>
  <c r="FK23" i="6"/>
  <c r="FG23" i="6"/>
  <c r="FI23" i="6" s="1"/>
  <c r="O21" i="7" s="1"/>
  <c r="FB23" i="6"/>
  <c r="EZ23" i="6"/>
  <c r="EW23" i="6"/>
  <c r="EX23" i="6" s="1"/>
  <c r="EU23" i="6"/>
  <c r="EP23" i="6"/>
  <c r="EI23" i="6"/>
  <c r="EK23" i="6" s="1"/>
  <c r="ED23" i="6"/>
  <c r="DY23" i="6"/>
  <c r="DW23" i="6"/>
  <c r="DR23" i="6"/>
  <c r="DO23" i="6"/>
  <c r="DK23" i="6"/>
  <c r="DM23" i="6" s="1"/>
  <c r="K21" i="7" s="1"/>
  <c r="DF23" i="6"/>
  <c r="DD23" i="6"/>
  <c r="DA23" i="6"/>
  <c r="DB23" i="6" s="1"/>
  <c r="CY23" i="6"/>
  <c r="CT23" i="6"/>
  <c r="CM23" i="6"/>
  <c r="CO23" i="6" s="1"/>
  <c r="CH23" i="6"/>
  <c r="CA23" i="6"/>
  <c r="CC23" i="6" s="1"/>
  <c r="BV23" i="6"/>
  <c r="BT23" i="6"/>
  <c r="BS23" i="6"/>
  <c r="BQ23" i="6"/>
  <c r="G21" i="7" s="1"/>
  <c r="BJ23" i="6"/>
  <c r="BC23" i="6"/>
  <c r="BE23" i="6" s="1"/>
  <c r="AX23" i="6"/>
  <c r="AV23" i="6"/>
  <c r="AT23" i="6"/>
  <c r="AQ23" i="6"/>
  <c r="AS23" i="6" s="1"/>
  <c r="E21" i="7" s="1"/>
  <c r="AL23" i="6"/>
  <c r="AG23" i="6"/>
  <c r="Z23" i="6"/>
  <c r="X23" i="6"/>
  <c r="W23" i="6"/>
  <c r="S23" i="6"/>
  <c r="U23" i="6" s="1"/>
  <c r="C21" i="7" s="1"/>
  <c r="N23" i="6"/>
  <c r="J23" i="6"/>
  <c r="B23" i="6"/>
  <c r="KB22" i="6"/>
  <c r="JZ22" i="6"/>
  <c r="JW22" i="6"/>
  <c r="JY22" i="6" s="1"/>
  <c r="Y20" i="7" s="1"/>
  <c r="JN22" i="6"/>
  <c r="JK22" i="6"/>
  <c r="JM22" i="6" s="1"/>
  <c r="JA22" i="6"/>
  <c r="IR22" i="6"/>
  <c r="IO22" i="6"/>
  <c r="IM22" i="6"/>
  <c r="IH22" i="6"/>
  <c r="IT22" i="6" s="1"/>
  <c r="JF22" i="6" s="1"/>
  <c r="JR22" i="6" s="1"/>
  <c r="IE22" i="6"/>
  <c r="IA22" i="6"/>
  <c r="IC22" i="6" s="1"/>
  <c r="HV22" i="6"/>
  <c r="HT22" i="6"/>
  <c r="HQ22" i="6"/>
  <c r="HO22" i="6"/>
  <c r="HJ22" i="6"/>
  <c r="HG22" i="6"/>
  <c r="HC22" i="6"/>
  <c r="HE22" i="6" s="1"/>
  <c r="GX22" i="6"/>
  <c r="GS22" i="6"/>
  <c r="GQ22" i="6"/>
  <c r="GL22" i="6"/>
  <c r="GE22" i="6"/>
  <c r="GG22" i="6" s="1"/>
  <c r="FZ22" i="6"/>
  <c r="FU22" i="6"/>
  <c r="FS22" i="6"/>
  <c r="FN22" i="6"/>
  <c r="FG22" i="6"/>
  <c r="FI22" i="6" s="1"/>
  <c r="FB22" i="6"/>
  <c r="EZ22" i="6"/>
  <c r="EW22" i="6"/>
  <c r="EU22" i="6"/>
  <c r="EP22" i="6"/>
  <c r="EM22" i="6"/>
  <c r="EI22" i="6"/>
  <c r="EK22" i="6" s="1"/>
  <c r="ED22" i="6"/>
  <c r="EB22" i="6"/>
  <c r="DY22" i="6"/>
  <c r="DW22" i="6"/>
  <c r="DR22" i="6"/>
  <c r="DO22" i="6"/>
  <c r="DK22" i="6"/>
  <c r="DM22" i="6" s="1"/>
  <c r="DF22" i="6"/>
  <c r="DA22" i="6"/>
  <c r="CY22" i="6"/>
  <c r="CT22" i="6"/>
  <c r="CM22" i="6"/>
  <c r="CO22" i="6" s="1"/>
  <c r="CH22" i="6"/>
  <c r="CA22" i="6"/>
  <c r="CC22" i="6" s="1"/>
  <c r="BV22" i="6"/>
  <c r="BQ22" i="6"/>
  <c r="G20" i="7" s="1"/>
  <c r="BJ22" i="6"/>
  <c r="BF22" i="6"/>
  <c r="BC22" i="6"/>
  <c r="BE22" i="6" s="1"/>
  <c r="AX22" i="6"/>
  <c r="AV22" i="6"/>
  <c r="AT22" i="6"/>
  <c r="AQ22" i="6"/>
  <c r="AS22" i="6" s="1"/>
  <c r="E20" i="7" s="1"/>
  <c r="AL22" i="6"/>
  <c r="AG22" i="6"/>
  <c r="Z22" i="6"/>
  <c r="X22" i="6"/>
  <c r="W22" i="6"/>
  <c r="S22" i="6"/>
  <c r="U22" i="6" s="1"/>
  <c r="C20" i="7" s="1"/>
  <c r="N22" i="6"/>
  <c r="B22" i="6"/>
  <c r="KB21" i="6"/>
  <c r="JZ21" i="6"/>
  <c r="JW21" i="6"/>
  <c r="JY21" i="6" s="1"/>
  <c r="Y19" i="7" s="1"/>
  <c r="JK21" i="6"/>
  <c r="JM21" i="6" s="1"/>
  <c r="JA21" i="6"/>
  <c r="JC21" i="6" s="1"/>
  <c r="IR21" i="6"/>
  <c r="IO21" i="6"/>
  <c r="IM21" i="6"/>
  <c r="IH21" i="6"/>
  <c r="IT21" i="6" s="1"/>
  <c r="JF21" i="6" s="1"/>
  <c r="JR21" i="6" s="1"/>
  <c r="IE21" i="6"/>
  <c r="IA21" i="6"/>
  <c r="IC21" i="6" s="1"/>
  <c r="HV21" i="6"/>
  <c r="HQ21" i="6"/>
  <c r="HO21" i="6"/>
  <c r="HJ21" i="6"/>
  <c r="HC21" i="6"/>
  <c r="HE21" i="6" s="1"/>
  <c r="GX21" i="6"/>
  <c r="GS21" i="6"/>
  <c r="GQ21" i="6"/>
  <c r="GL21" i="6"/>
  <c r="GE21" i="6"/>
  <c r="GG21" i="6" s="1"/>
  <c r="FZ21" i="6"/>
  <c r="FX21" i="6"/>
  <c r="FU21" i="6"/>
  <c r="FS21" i="6"/>
  <c r="FN21" i="6"/>
  <c r="FK21" i="6"/>
  <c r="FG21" i="6"/>
  <c r="FI21" i="6" s="1"/>
  <c r="FB21" i="6"/>
  <c r="EZ21" i="6"/>
  <c r="EW21" i="6"/>
  <c r="EU21" i="6"/>
  <c r="EP21" i="6"/>
  <c r="EM21" i="6"/>
  <c r="EI21" i="6"/>
  <c r="EK21" i="6" s="1"/>
  <c r="ED21" i="6"/>
  <c r="DY21" i="6"/>
  <c r="DW21" i="6"/>
  <c r="DR21" i="6"/>
  <c r="DK21" i="6"/>
  <c r="DM21" i="6" s="1"/>
  <c r="DF21" i="6"/>
  <c r="DA21" i="6"/>
  <c r="CY21" i="6"/>
  <c r="CT21" i="6"/>
  <c r="CM21" i="6"/>
  <c r="CO21" i="6" s="1"/>
  <c r="CH21" i="6"/>
  <c r="CA21" i="6"/>
  <c r="CC21" i="6" s="1"/>
  <c r="BV21" i="6"/>
  <c r="BQ21" i="6"/>
  <c r="G19" i="7" s="1"/>
  <c r="BJ21" i="6"/>
  <c r="BF21" i="6"/>
  <c r="BC21" i="6"/>
  <c r="BE21" i="6" s="1"/>
  <c r="AX21" i="6"/>
  <c r="AT21" i="6"/>
  <c r="AQ21" i="6"/>
  <c r="AS21" i="6" s="1"/>
  <c r="AL21" i="6"/>
  <c r="AG21" i="6"/>
  <c r="Z21" i="6"/>
  <c r="X21" i="6"/>
  <c r="W21" i="6"/>
  <c r="S21" i="6"/>
  <c r="U21" i="6" s="1"/>
  <c r="C19" i="7" s="1"/>
  <c r="N21" i="6"/>
  <c r="L21" i="6"/>
  <c r="B21" i="6"/>
  <c r="KB20" i="6"/>
  <c r="JZ20" i="6"/>
  <c r="JW20" i="6"/>
  <c r="JY20" i="6" s="1"/>
  <c r="JN20" i="6"/>
  <c r="JM20" i="6"/>
  <c r="JK20" i="6"/>
  <c r="JA20" i="6"/>
  <c r="IP20" i="6"/>
  <c r="IO20" i="6"/>
  <c r="IM20" i="6"/>
  <c r="IH20" i="6"/>
  <c r="IT20" i="6" s="1"/>
  <c r="JF20" i="6" s="1"/>
  <c r="JR20" i="6" s="1"/>
  <c r="IF20" i="6"/>
  <c r="IE20" i="6"/>
  <c r="IA20" i="6"/>
  <c r="IC20" i="6" s="1"/>
  <c r="HV20" i="6"/>
  <c r="HT20" i="6"/>
  <c r="HQ20" i="6"/>
  <c r="HO20" i="6"/>
  <c r="HJ20" i="6"/>
  <c r="HG20" i="6"/>
  <c r="HF20" i="6"/>
  <c r="HC20" i="6"/>
  <c r="HE20" i="6" s="1"/>
  <c r="GX20" i="6"/>
  <c r="GV20" i="6"/>
  <c r="GT20" i="6"/>
  <c r="GS20" i="6"/>
  <c r="GQ20" i="6"/>
  <c r="GL20" i="6"/>
  <c r="GJ20" i="6"/>
  <c r="GE20" i="6"/>
  <c r="GG20" i="6" s="1"/>
  <c r="FZ20" i="6"/>
  <c r="FS20" i="6"/>
  <c r="FU20" i="6" s="1"/>
  <c r="FN20" i="6"/>
  <c r="FK20" i="6"/>
  <c r="FG20" i="6"/>
  <c r="FI20" i="6" s="1"/>
  <c r="FB20" i="6"/>
  <c r="EZ20" i="6"/>
  <c r="EW20" i="6"/>
  <c r="EU20" i="6"/>
  <c r="EP20" i="6"/>
  <c r="EI20" i="6"/>
  <c r="EK20" i="6" s="1"/>
  <c r="ED20" i="6"/>
  <c r="DW20" i="6"/>
  <c r="DY20" i="6" s="1"/>
  <c r="DR20" i="6"/>
  <c r="DK20" i="6"/>
  <c r="DM20" i="6" s="1"/>
  <c r="DF20" i="6"/>
  <c r="DA20" i="6"/>
  <c r="CY20" i="6"/>
  <c r="CT20" i="6"/>
  <c r="CQ20" i="6"/>
  <c r="CM20" i="6"/>
  <c r="CO20" i="6" s="1"/>
  <c r="CH20" i="6"/>
  <c r="CA20" i="6"/>
  <c r="CC20" i="6" s="1"/>
  <c r="BV20" i="6"/>
  <c r="BT20" i="6"/>
  <c r="BS20" i="6"/>
  <c r="BQ20" i="6"/>
  <c r="G18" i="7" s="1"/>
  <c r="BJ20" i="6"/>
  <c r="BC20" i="6"/>
  <c r="BE20" i="6" s="1"/>
  <c r="AX20" i="6"/>
  <c r="AQ20" i="6"/>
  <c r="AS20" i="6" s="1"/>
  <c r="AL20" i="6"/>
  <c r="AG20" i="6"/>
  <c r="Z20" i="6"/>
  <c r="X20" i="6"/>
  <c r="W20" i="6"/>
  <c r="V20" i="6"/>
  <c r="S20" i="6"/>
  <c r="U20" i="6" s="1"/>
  <c r="C18" i="7" s="1"/>
  <c r="N20" i="6"/>
  <c r="B20" i="6"/>
  <c r="JZ19" i="6"/>
  <c r="JW19" i="6"/>
  <c r="JY19" i="6" s="1"/>
  <c r="JM19" i="6"/>
  <c r="JK19" i="6"/>
  <c r="JA19" i="6"/>
  <c r="IO19" i="6"/>
  <c r="IM19" i="6"/>
  <c r="IH19" i="6"/>
  <c r="IT19" i="6" s="1"/>
  <c r="JF19" i="6" s="1"/>
  <c r="JR19" i="6" s="1"/>
  <c r="IE19" i="6"/>
  <c r="IA19" i="6"/>
  <c r="IC19" i="6" s="1"/>
  <c r="HV19" i="6"/>
  <c r="HQ19" i="6"/>
  <c r="HO19" i="6"/>
  <c r="HJ19" i="6"/>
  <c r="HF19" i="6"/>
  <c r="HC19" i="6"/>
  <c r="HE19" i="6" s="1"/>
  <c r="GX19" i="6"/>
  <c r="GT19" i="6"/>
  <c r="GS19" i="6"/>
  <c r="GQ19" i="6"/>
  <c r="GL19" i="6"/>
  <c r="GJ19" i="6"/>
  <c r="GI19" i="6"/>
  <c r="GE19" i="6"/>
  <c r="GG19" i="6" s="1"/>
  <c r="FZ19" i="6"/>
  <c r="FX19" i="6"/>
  <c r="FU19" i="6"/>
  <c r="FS19" i="6"/>
  <c r="FN19" i="6"/>
  <c r="FK19" i="6"/>
  <c r="FJ19" i="6"/>
  <c r="FG19" i="6"/>
  <c r="FI19" i="6" s="1"/>
  <c r="FB19" i="6"/>
  <c r="EZ19" i="6"/>
  <c r="EX19" i="6"/>
  <c r="EW19" i="6"/>
  <c r="EU19" i="6"/>
  <c r="EP19" i="6"/>
  <c r="EN19" i="6"/>
  <c r="EI19" i="6"/>
  <c r="EK19" i="6" s="1"/>
  <c r="ED19" i="6"/>
  <c r="DW19" i="6"/>
  <c r="DY19" i="6" s="1"/>
  <c r="DR19" i="6"/>
  <c r="DO19" i="6"/>
  <c r="DK19" i="6"/>
  <c r="DM19" i="6" s="1"/>
  <c r="DF19" i="6"/>
  <c r="DD19" i="6"/>
  <c r="DA19" i="6"/>
  <c r="CY19" i="6"/>
  <c r="CT19" i="6"/>
  <c r="CM19" i="6"/>
  <c r="CO19" i="6" s="1"/>
  <c r="CH19" i="6"/>
  <c r="CA19" i="6"/>
  <c r="CC19" i="6" s="1"/>
  <c r="BV19" i="6"/>
  <c r="BT19" i="6"/>
  <c r="BS19" i="6"/>
  <c r="BQ19" i="6"/>
  <c r="G17" i="7" s="1"/>
  <c r="BJ19" i="6"/>
  <c r="BH19" i="6"/>
  <c r="BC19" i="6"/>
  <c r="BE19" i="6" s="1"/>
  <c r="AX19" i="6"/>
  <c r="AV19" i="6"/>
  <c r="AQ19" i="6"/>
  <c r="AS19" i="6" s="1"/>
  <c r="AL19" i="6"/>
  <c r="AG19" i="6"/>
  <c r="Z19" i="6"/>
  <c r="X19" i="6"/>
  <c r="W19" i="6"/>
  <c r="S19" i="6"/>
  <c r="U19" i="6" s="1"/>
  <c r="C17" i="7" s="1"/>
  <c r="N19" i="6"/>
  <c r="B19" i="6"/>
  <c r="JW18" i="6"/>
  <c r="JY18" i="6" s="1"/>
  <c r="JK18" i="6"/>
  <c r="JM18" i="6" s="1"/>
  <c r="JC18" i="6"/>
  <c r="JA18" i="6"/>
  <c r="IR18" i="6"/>
  <c r="IO18" i="6"/>
  <c r="IM18" i="6"/>
  <c r="IH18" i="6"/>
  <c r="IT18" i="6" s="1"/>
  <c r="JF18" i="6" s="1"/>
  <c r="JR18" i="6" s="1"/>
  <c r="IA18" i="6"/>
  <c r="IC18" i="6" s="1"/>
  <c r="HV18" i="6"/>
  <c r="HO18" i="6"/>
  <c r="HQ18" i="6" s="1"/>
  <c r="HJ18" i="6"/>
  <c r="HC18" i="6"/>
  <c r="HE18" i="6" s="1"/>
  <c r="GX18" i="6"/>
  <c r="GS18" i="6"/>
  <c r="GQ18" i="6"/>
  <c r="GL18" i="6"/>
  <c r="GI18" i="6"/>
  <c r="GE18" i="6"/>
  <c r="GG18" i="6" s="1"/>
  <c r="FZ18" i="6"/>
  <c r="FU18" i="6"/>
  <c r="FS18" i="6"/>
  <c r="FN18" i="6"/>
  <c r="FJ18" i="6"/>
  <c r="FG18" i="6"/>
  <c r="FI18" i="6" s="1"/>
  <c r="FB18" i="6"/>
  <c r="EX18" i="6"/>
  <c r="EW18" i="6"/>
  <c r="EU18" i="6"/>
  <c r="EP18" i="6"/>
  <c r="EN18" i="6"/>
  <c r="EM18" i="6"/>
  <c r="EI18" i="6"/>
  <c r="EK18" i="6" s="1"/>
  <c r="ED18" i="6"/>
  <c r="EB18" i="6"/>
  <c r="DY18" i="6"/>
  <c r="DW18" i="6"/>
  <c r="DR18" i="6"/>
  <c r="DO18" i="6"/>
  <c r="DN18" i="6"/>
  <c r="DK18" i="6"/>
  <c r="DM18" i="6" s="1"/>
  <c r="DF18" i="6"/>
  <c r="DD18" i="6"/>
  <c r="DB18" i="6"/>
  <c r="DA18" i="6"/>
  <c r="CY18" i="6"/>
  <c r="CT18" i="6"/>
  <c r="CR18" i="6"/>
  <c r="CM18" i="6"/>
  <c r="CO18" i="6" s="1"/>
  <c r="CH18" i="6"/>
  <c r="CA18" i="6"/>
  <c r="CC18" i="6" s="1"/>
  <c r="BV18" i="6"/>
  <c r="BT18" i="6"/>
  <c r="BQ18" i="6"/>
  <c r="G16" i="7" s="1"/>
  <c r="BJ18" i="6"/>
  <c r="BH18" i="6"/>
  <c r="BF18" i="6"/>
  <c r="BC18" i="6"/>
  <c r="BE18" i="6" s="1"/>
  <c r="AX18" i="6"/>
  <c r="AV18" i="6"/>
  <c r="AT18" i="6"/>
  <c r="AQ18" i="6"/>
  <c r="AS18" i="6" s="1"/>
  <c r="AL18" i="6"/>
  <c r="AG18" i="6"/>
  <c r="Z18" i="6"/>
  <c r="X18" i="6"/>
  <c r="W18" i="6"/>
  <c r="S18" i="6"/>
  <c r="U18" i="6" s="1"/>
  <c r="C16" i="7" s="1"/>
  <c r="N18" i="6"/>
  <c r="B18" i="6"/>
  <c r="JZ17" i="6"/>
  <c r="JW17" i="6"/>
  <c r="JY17" i="6" s="1"/>
  <c r="Y15" i="7" s="1"/>
  <c r="JN17" i="6"/>
  <c r="JM17" i="6"/>
  <c r="JK17" i="6"/>
  <c r="JA17" i="6"/>
  <c r="W15" i="7" s="1"/>
  <c r="IM17" i="6"/>
  <c r="IO17" i="6" s="1"/>
  <c r="IH17" i="6"/>
  <c r="IT17" i="6" s="1"/>
  <c r="JF17" i="6" s="1"/>
  <c r="JR17" i="6" s="1"/>
  <c r="IA17" i="6"/>
  <c r="IC17" i="6" s="1"/>
  <c r="U15" i="7" s="1"/>
  <c r="HV17" i="6"/>
  <c r="HQ17" i="6"/>
  <c r="HO17" i="6"/>
  <c r="HJ17" i="6"/>
  <c r="HH17" i="6"/>
  <c r="HG17" i="6"/>
  <c r="HF17" i="6"/>
  <c r="HC17" i="6"/>
  <c r="HE17" i="6" s="1"/>
  <c r="S15" i="7" s="1"/>
  <c r="GX17" i="6"/>
  <c r="GQ17" i="6"/>
  <c r="GS17" i="6" s="1"/>
  <c r="GL17" i="6"/>
  <c r="GE17" i="6"/>
  <c r="GG17" i="6" s="1"/>
  <c r="Q15" i="7" s="1"/>
  <c r="FZ17" i="6"/>
  <c r="FU17" i="6"/>
  <c r="FS17" i="6"/>
  <c r="FN17" i="6"/>
  <c r="FL17" i="6"/>
  <c r="FK17" i="6"/>
  <c r="FJ17" i="6"/>
  <c r="FG17" i="6"/>
  <c r="FI17" i="6" s="1"/>
  <c r="O15" i="7" s="1"/>
  <c r="FB17" i="6"/>
  <c r="EU17" i="6"/>
  <c r="EW17" i="6" s="1"/>
  <c r="EP17" i="6"/>
  <c r="EI17" i="6"/>
  <c r="EK17" i="6" s="1"/>
  <c r="M15" i="7" s="1"/>
  <c r="ED17" i="6"/>
  <c r="DY17" i="6"/>
  <c r="DW17" i="6"/>
  <c r="DR17" i="6"/>
  <c r="DP17" i="6"/>
  <c r="DO17" i="6"/>
  <c r="DK17" i="6"/>
  <c r="DM17" i="6" s="1"/>
  <c r="K15" i="7" s="1"/>
  <c r="DF17" i="6"/>
  <c r="CY17" i="6"/>
  <c r="DA17" i="6" s="1"/>
  <c r="CT17" i="6"/>
  <c r="CM17" i="6"/>
  <c r="CO17" i="6" s="1"/>
  <c r="I15" i="7" s="1"/>
  <c r="CH17" i="6"/>
  <c r="CA17" i="6"/>
  <c r="CC17" i="6" s="1"/>
  <c r="H15" i="7" s="1"/>
  <c r="BV17" i="6"/>
  <c r="BQ17" i="6"/>
  <c r="G15" i="7" s="1"/>
  <c r="BJ17" i="6"/>
  <c r="BC17" i="6"/>
  <c r="BE17" i="6" s="1"/>
  <c r="AX17" i="6"/>
  <c r="AT17" i="6"/>
  <c r="AQ17" i="6"/>
  <c r="AS17" i="6" s="1"/>
  <c r="E15" i="7" s="1"/>
  <c r="AL17" i="6"/>
  <c r="AG17" i="6"/>
  <c r="Z17" i="6"/>
  <c r="X17" i="6"/>
  <c r="W17" i="6"/>
  <c r="S17" i="6"/>
  <c r="U17" i="6" s="1"/>
  <c r="C15" i="7" s="1"/>
  <c r="N17" i="6"/>
  <c r="B17" i="6"/>
  <c r="JZ16" i="6"/>
  <c r="JW16" i="6"/>
  <c r="JY16" i="6" s="1"/>
  <c r="Y14" i="7" s="1"/>
  <c r="JN16" i="6"/>
  <c r="JM16" i="6"/>
  <c r="JK16" i="6"/>
  <c r="JA16" i="6"/>
  <c r="W14" i="7" s="1"/>
  <c r="IM16" i="6"/>
  <c r="IO16" i="6" s="1"/>
  <c r="IH16" i="6"/>
  <c r="IT16" i="6" s="1"/>
  <c r="JF16" i="6" s="1"/>
  <c r="JR16" i="6" s="1"/>
  <c r="IA16" i="6"/>
  <c r="IC16" i="6" s="1"/>
  <c r="U14" i="7" s="1"/>
  <c r="HV16" i="6"/>
  <c r="HQ16" i="6"/>
  <c r="HO16" i="6"/>
  <c r="HJ16" i="6"/>
  <c r="HH16" i="6"/>
  <c r="HG16" i="6"/>
  <c r="HF16" i="6"/>
  <c r="HC16" i="6"/>
  <c r="HE16" i="6" s="1"/>
  <c r="S14" i="7" s="1"/>
  <c r="GX16" i="6"/>
  <c r="GQ16" i="6"/>
  <c r="GS16" i="6" s="1"/>
  <c r="GL16" i="6"/>
  <c r="GE16" i="6"/>
  <c r="GG16" i="6" s="1"/>
  <c r="Q14" i="7" s="1"/>
  <c r="FZ16" i="6"/>
  <c r="FU16" i="6"/>
  <c r="FS16" i="6"/>
  <c r="FN16" i="6"/>
  <c r="FL16" i="6"/>
  <c r="FK16" i="6"/>
  <c r="FJ16" i="6"/>
  <c r="FG16" i="6"/>
  <c r="FI16" i="6" s="1"/>
  <c r="O14" i="7" s="1"/>
  <c r="FB16" i="6"/>
  <c r="EU16" i="6"/>
  <c r="EW16" i="6" s="1"/>
  <c r="EP16" i="6"/>
  <c r="EI16" i="6"/>
  <c r="EK16" i="6" s="1"/>
  <c r="M14" i="7" s="1"/>
  <c r="ED16" i="6"/>
  <c r="DY16" i="6"/>
  <c r="DW16" i="6"/>
  <c r="DR16" i="6"/>
  <c r="DP16" i="6"/>
  <c r="DO16" i="6"/>
  <c r="DN16" i="6"/>
  <c r="DK16" i="6"/>
  <c r="DM16" i="6" s="1"/>
  <c r="K14" i="7" s="1"/>
  <c r="DF16" i="6"/>
  <c r="CY16" i="6"/>
  <c r="DA16" i="6" s="1"/>
  <c r="CT16" i="6"/>
  <c r="CM16" i="6"/>
  <c r="CO16" i="6" s="1"/>
  <c r="I14" i="7" s="1"/>
  <c r="CH16" i="6"/>
  <c r="CA16" i="6"/>
  <c r="CC16" i="6" s="1"/>
  <c r="BV16" i="6"/>
  <c r="BQ16" i="6"/>
  <c r="G14" i="7" s="1"/>
  <c r="BJ16" i="6"/>
  <c r="BC16" i="6"/>
  <c r="BE16" i="6" s="1"/>
  <c r="AX16" i="6"/>
  <c r="AT16" i="6"/>
  <c r="AQ16" i="6"/>
  <c r="AS16" i="6" s="1"/>
  <c r="E14" i="7" s="1"/>
  <c r="AL16" i="6"/>
  <c r="AG16" i="6"/>
  <c r="Z16" i="6"/>
  <c r="X16" i="6"/>
  <c r="W16" i="6"/>
  <c r="S16" i="6"/>
  <c r="U16" i="6" s="1"/>
  <c r="C14" i="7" s="1"/>
  <c r="N16" i="6"/>
  <c r="B16" i="6"/>
  <c r="JZ15" i="6"/>
  <c r="JW15" i="6"/>
  <c r="JY15" i="6" s="1"/>
  <c r="Y13" i="7" s="1"/>
  <c r="JN15" i="6"/>
  <c r="JM15" i="6"/>
  <c r="JK15" i="6"/>
  <c r="JD15" i="6"/>
  <c r="JC15" i="6"/>
  <c r="JA15" i="6"/>
  <c r="W13" i="7" s="1"/>
  <c r="IM15" i="6"/>
  <c r="IO15" i="6" s="1"/>
  <c r="IH15" i="6"/>
  <c r="IT15" i="6" s="1"/>
  <c r="JF15" i="6" s="1"/>
  <c r="JR15" i="6" s="1"/>
  <c r="IA15" i="6"/>
  <c r="IC15" i="6" s="1"/>
  <c r="U13" i="7" s="1"/>
  <c r="HV15" i="6"/>
  <c r="HQ15" i="6"/>
  <c r="HO15" i="6"/>
  <c r="HJ15" i="6"/>
  <c r="HH15" i="6"/>
  <c r="HG15" i="6"/>
  <c r="HF15" i="6"/>
  <c r="HC15" i="6"/>
  <c r="HE15" i="6" s="1"/>
  <c r="S13" i="7" s="1"/>
  <c r="GX15" i="6"/>
  <c r="GQ15" i="6"/>
  <c r="GS15" i="6" s="1"/>
  <c r="GL15" i="6"/>
  <c r="GE15" i="6"/>
  <c r="GG15" i="6" s="1"/>
  <c r="Q13" i="7" s="1"/>
  <c r="FZ15" i="6"/>
  <c r="FU15" i="6"/>
  <c r="FS15" i="6"/>
  <c r="FN15" i="6"/>
  <c r="FL15" i="6"/>
  <c r="FK15" i="6"/>
  <c r="FJ15" i="6"/>
  <c r="FG15" i="6"/>
  <c r="FI15" i="6" s="1"/>
  <c r="O13" i="7" s="1"/>
  <c r="FB15" i="6"/>
  <c r="EU15" i="6"/>
  <c r="EW15" i="6" s="1"/>
  <c r="EP15" i="6"/>
  <c r="EI15" i="6"/>
  <c r="EK15" i="6" s="1"/>
  <c r="M13" i="7" s="1"/>
  <c r="ED15" i="6"/>
  <c r="DY15" i="6"/>
  <c r="DW15" i="6"/>
  <c r="DR15" i="6"/>
  <c r="DP15" i="6"/>
  <c r="DO15" i="6"/>
  <c r="DK15" i="6"/>
  <c r="DM15" i="6" s="1"/>
  <c r="K13" i="7" s="1"/>
  <c r="DF15" i="6"/>
  <c r="CY15" i="6"/>
  <c r="DA15" i="6" s="1"/>
  <c r="CT15" i="6"/>
  <c r="CM15" i="6"/>
  <c r="CO15" i="6" s="1"/>
  <c r="I13" i="7" s="1"/>
  <c r="CH15" i="6"/>
  <c r="CA15" i="6"/>
  <c r="CC15" i="6" s="1"/>
  <c r="BV15" i="6"/>
  <c r="BT15" i="6"/>
  <c r="BS15" i="6"/>
  <c r="BQ15" i="6"/>
  <c r="G13" i="7" s="1"/>
  <c r="BJ15" i="6"/>
  <c r="BC15" i="6"/>
  <c r="BE15" i="6" s="1"/>
  <c r="AX15" i="6"/>
  <c r="AT15" i="6"/>
  <c r="AQ15" i="6"/>
  <c r="AS15" i="6" s="1"/>
  <c r="E13" i="7" s="1"/>
  <c r="AL15" i="6"/>
  <c r="AG15" i="6"/>
  <c r="Z15" i="6"/>
  <c r="X15" i="6"/>
  <c r="W15" i="6"/>
  <c r="S15" i="6"/>
  <c r="U15" i="6" s="1"/>
  <c r="C13" i="7" s="1"/>
  <c r="N15" i="6"/>
  <c r="B15" i="6"/>
  <c r="JZ14" i="6"/>
  <c r="JW14" i="6"/>
  <c r="JY14" i="6" s="1"/>
  <c r="Y12" i="7" s="1"/>
  <c r="JN14" i="6"/>
  <c r="JM14" i="6"/>
  <c r="JK14" i="6"/>
  <c r="JD14" i="6"/>
  <c r="JA14" i="6"/>
  <c r="W12" i="7" s="1"/>
  <c r="IM14" i="6"/>
  <c r="IO14" i="6" s="1"/>
  <c r="IH14" i="6"/>
  <c r="IT14" i="6" s="1"/>
  <c r="JF14" i="6" s="1"/>
  <c r="JR14" i="6" s="1"/>
  <c r="IA14" i="6"/>
  <c r="IC14" i="6" s="1"/>
  <c r="U12" i="7" s="1"/>
  <c r="HV14" i="6"/>
  <c r="HQ14" i="6"/>
  <c r="HO14" i="6"/>
  <c r="HJ14" i="6"/>
  <c r="HC14" i="6"/>
  <c r="HE14" i="6" s="1"/>
  <c r="GX14" i="6"/>
  <c r="GS14" i="6"/>
  <c r="R12" i="7" s="1"/>
  <c r="GQ14" i="6"/>
  <c r="GL14" i="6"/>
  <c r="GE14" i="6"/>
  <c r="GG14" i="6" s="1"/>
  <c r="FZ14" i="6"/>
  <c r="FU14" i="6"/>
  <c r="P12" i="7" s="1"/>
  <c r="FS14" i="6"/>
  <c r="FN14" i="6"/>
  <c r="FG14" i="6"/>
  <c r="FI14" i="6" s="1"/>
  <c r="FB14" i="6"/>
  <c r="EW14" i="6"/>
  <c r="N12" i="7" s="1"/>
  <c r="EU14" i="6"/>
  <c r="EP14" i="6"/>
  <c r="EI14" i="6"/>
  <c r="EK14" i="6" s="1"/>
  <c r="ED14" i="6"/>
  <c r="DY14" i="6"/>
  <c r="L12" i="7" s="1"/>
  <c r="DW14" i="6"/>
  <c r="DR14" i="6"/>
  <c r="DK14" i="6"/>
  <c r="DM14" i="6" s="1"/>
  <c r="DF14" i="6"/>
  <c r="DA14" i="6"/>
  <c r="J12" i="7" s="1"/>
  <c r="CY14" i="6"/>
  <c r="CT14" i="6"/>
  <c r="CM14" i="6"/>
  <c r="CO14" i="6" s="1"/>
  <c r="CH14" i="6"/>
  <c r="CA14" i="6"/>
  <c r="CC14" i="6" s="1"/>
  <c r="BV14" i="6"/>
  <c r="BQ14" i="6"/>
  <c r="BJ14" i="6"/>
  <c r="BE14" i="6"/>
  <c r="F12" i="7" s="1"/>
  <c r="BC14" i="6"/>
  <c r="AX14" i="6"/>
  <c r="AQ14" i="6"/>
  <c r="AS14" i="6" s="1"/>
  <c r="AL14" i="6"/>
  <c r="AG14" i="6"/>
  <c r="D12" i="7" s="1"/>
  <c r="Z14" i="6"/>
  <c r="S14" i="6"/>
  <c r="U14" i="6" s="1"/>
  <c r="N14" i="6"/>
  <c r="B12" i="7"/>
  <c r="B14" i="6"/>
  <c r="JW13" i="6"/>
  <c r="JY13" i="6" s="1"/>
  <c r="JM13" i="6"/>
  <c r="X11" i="7" s="1"/>
  <c r="JK13" i="6"/>
  <c r="JA13" i="6"/>
  <c r="IO13" i="6"/>
  <c r="V11" i="7" s="1"/>
  <c r="IM13" i="6"/>
  <c r="IH13" i="6"/>
  <c r="IT13" i="6" s="1"/>
  <c r="JF13" i="6" s="1"/>
  <c r="JR13" i="6" s="1"/>
  <c r="IA13" i="6"/>
  <c r="IC13" i="6" s="1"/>
  <c r="HV13" i="6"/>
  <c r="HQ13" i="6"/>
  <c r="T11" i="7" s="1"/>
  <c r="HO13" i="6"/>
  <c r="HJ13" i="6"/>
  <c r="HC13" i="6"/>
  <c r="HE13" i="6" s="1"/>
  <c r="GX13" i="6"/>
  <c r="GS13" i="6"/>
  <c r="R11" i="7" s="1"/>
  <c r="GQ13" i="6"/>
  <c r="GL13" i="6"/>
  <c r="GE13" i="6"/>
  <c r="GG13" i="6" s="1"/>
  <c r="FZ13" i="6"/>
  <c r="FU13" i="6"/>
  <c r="P11" i="7" s="1"/>
  <c r="FS13" i="6"/>
  <c r="FN13" i="6"/>
  <c r="FG13" i="6"/>
  <c r="FI13" i="6" s="1"/>
  <c r="FB13" i="6"/>
  <c r="EW13" i="6"/>
  <c r="N11" i="7" s="1"/>
  <c r="EU13" i="6"/>
  <c r="EP13" i="6"/>
  <c r="EI13" i="6"/>
  <c r="EK13" i="6" s="1"/>
  <c r="ED13" i="6"/>
  <c r="DY13" i="6"/>
  <c r="L11" i="7" s="1"/>
  <c r="DW13" i="6"/>
  <c r="DR13" i="6"/>
  <c r="DK13" i="6"/>
  <c r="DM13" i="6" s="1"/>
  <c r="DF13" i="6"/>
  <c r="DA13" i="6"/>
  <c r="J11" i="7" s="1"/>
  <c r="CY13" i="6"/>
  <c r="CT13" i="6"/>
  <c r="CM13" i="6"/>
  <c r="CO13" i="6" s="1"/>
  <c r="CH13" i="6"/>
  <c r="CA13" i="6"/>
  <c r="CC13" i="6" s="1"/>
  <c r="BV13" i="6"/>
  <c r="BQ13" i="6"/>
  <c r="BJ13" i="6"/>
  <c r="BE13" i="6"/>
  <c r="F11" i="7" s="1"/>
  <c r="BC13" i="6"/>
  <c r="AX13" i="6"/>
  <c r="AQ13" i="6"/>
  <c r="AS13" i="6" s="1"/>
  <c r="AL13" i="6"/>
  <c r="AG13" i="6"/>
  <c r="D11" i="7" s="1"/>
  <c r="Z13" i="6"/>
  <c r="S13" i="6"/>
  <c r="U13" i="6" s="1"/>
  <c r="N13" i="6"/>
  <c r="B11" i="7"/>
  <c r="B13" i="6"/>
  <c r="JW12" i="6"/>
  <c r="JY12" i="6" s="1"/>
  <c r="JM12" i="6"/>
  <c r="X10" i="7" s="1"/>
  <c r="JK12" i="6"/>
  <c r="JA12" i="6"/>
  <c r="IO12" i="6"/>
  <c r="V10" i="7" s="1"/>
  <c r="IM12" i="6"/>
  <c r="IH12" i="6"/>
  <c r="IT12" i="6" s="1"/>
  <c r="JF12" i="6" s="1"/>
  <c r="JR12" i="6" s="1"/>
  <c r="IA12" i="6"/>
  <c r="IC12" i="6" s="1"/>
  <c r="HV12" i="6"/>
  <c r="HQ12" i="6"/>
  <c r="T10" i="7" s="1"/>
  <c r="HO12" i="6"/>
  <c r="HJ12" i="6"/>
  <c r="HC12" i="6"/>
  <c r="HE12" i="6" s="1"/>
  <c r="GX12" i="6"/>
  <c r="GS12" i="6"/>
  <c r="R10" i="7" s="1"/>
  <c r="GQ12" i="6"/>
  <c r="GL12" i="6"/>
  <c r="GE12" i="6"/>
  <c r="GG12" i="6" s="1"/>
  <c r="FZ12" i="6"/>
  <c r="FU12" i="6"/>
  <c r="P10" i="7" s="1"/>
  <c r="FS12" i="6"/>
  <c r="FN12" i="6"/>
  <c r="FG12" i="6"/>
  <c r="FI12" i="6" s="1"/>
  <c r="FB12" i="6"/>
  <c r="EW12" i="6"/>
  <c r="N10" i="7" s="1"/>
  <c r="EU12" i="6"/>
  <c r="EP12" i="6"/>
  <c r="EI12" i="6"/>
  <c r="EK12" i="6" s="1"/>
  <c r="ED12" i="6"/>
  <c r="DY12" i="6"/>
  <c r="L10" i="7" s="1"/>
  <c r="DW12" i="6"/>
  <c r="DR12" i="6"/>
  <c r="DK12" i="6"/>
  <c r="DM12" i="6" s="1"/>
  <c r="DF12" i="6"/>
  <c r="DA12" i="6"/>
  <c r="J10" i="7" s="1"/>
  <c r="CY12" i="6"/>
  <c r="CT12" i="6"/>
  <c r="CM12" i="6"/>
  <c r="CO12" i="6" s="1"/>
  <c r="CH12" i="6"/>
  <c r="CA12" i="6"/>
  <c r="CC12" i="6" s="1"/>
  <c r="BV12" i="6"/>
  <c r="BQ12" i="6"/>
  <c r="BJ12" i="6"/>
  <c r="BE12" i="6"/>
  <c r="F10" i="7" s="1"/>
  <c r="BC12" i="6"/>
  <c r="AX12" i="6"/>
  <c r="AQ12" i="6"/>
  <c r="AS12" i="6" s="1"/>
  <c r="AL12" i="6"/>
  <c r="AG12" i="6"/>
  <c r="D10" i="7" s="1"/>
  <c r="Z12" i="6"/>
  <c r="X12" i="6"/>
  <c r="W12" i="6"/>
  <c r="U12" i="6"/>
  <c r="C10" i="7" s="1"/>
  <c r="N12" i="6"/>
  <c r="B12" i="6"/>
  <c r="JZ11" i="6"/>
  <c r="JY11" i="6"/>
  <c r="Y9" i="7" s="1"/>
  <c r="JW11" i="6"/>
  <c r="JK11" i="6"/>
  <c r="JM11" i="6" s="1"/>
  <c r="JA11" i="6"/>
  <c r="W9" i="7" s="1"/>
  <c r="IM11" i="6"/>
  <c r="IO11" i="6" s="1"/>
  <c r="IH11" i="6"/>
  <c r="IT11" i="6" s="1"/>
  <c r="JF11" i="6" s="1"/>
  <c r="JR11" i="6" s="1"/>
  <c r="ID11" i="6"/>
  <c r="IC11" i="6"/>
  <c r="U9" i="7" s="1"/>
  <c r="IA11" i="6"/>
  <c r="HV11" i="6"/>
  <c r="HO11" i="6"/>
  <c r="HQ11" i="6" s="1"/>
  <c r="HJ11" i="6"/>
  <c r="HE11" i="6"/>
  <c r="S9" i="7" s="1"/>
  <c r="HC11" i="6"/>
  <c r="GX11" i="6"/>
  <c r="GQ11" i="6"/>
  <c r="GS11" i="6" s="1"/>
  <c r="GL11" i="6"/>
  <c r="GG11" i="6"/>
  <c r="Q9" i="7" s="1"/>
  <c r="GE11" i="6"/>
  <c r="FZ11" i="6"/>
  <c r="FS11" i="6"/>
  <c r="FU11" i="6" s="1"/>
  <c r="FN11" i="6"/>
  <c r="FJ11" i="6"/>
  <c r="FI11" i="6"/>
  <c r="O9" i="7" s="1"/>
  <c r="FG11" i="6"/>
  <c r="FB11" i="6"/>
  <c r="EU11" i="6"/>
  <c r="EW11" i="6" s="1"/>
  <c r="EP11" i="6"/>
  <c r="EL11" i="6"/>
  <c r="EK11" i="6"/>
  <c r="M9" i="7" s="1"/>
  <c r="EI11" i="6"/>
  <c r="ED11" i="6"/>
  <c r="DW11" i="6"/>
  <c r="DY11" i="6" s="1"/>
  <c r="DR11" i="6"/>
  <c r="DN11" i="6"/>
  <c r="DM11" i="6"/>
  <c r="K9" i="7" s="1"/>
  <c r="DK11" i="6"/>
  <c r="DF11" i="6"/>
  <c r="CY11" i="6"/>
  <c r="DA11" i="6" s="1"/>
  <c r="CT11" i="6"/>
  <c r="CP11" i="6"/>
  <c r="CO11" i="6"/>
  <c r="I9" i="7" s="1"/>
  <c r="CM11" i="6"/>
  <c r="CH11" i="6"/>
  <c r="CA11" i="6"/>
  <c r="CC11" i="6" s="1"/>
  <c r="H9" i="7" s="1"/>
  <c r="BV11" i="6"/>
  <c r="BQ11" i="6"/>
  <c r="G9" i="7" s="1"/>
  <c r="BJ11" i="6"/>
  <c r="BC11" i="6"/>
  <c r="BE11" i="6" s="1"/>
  <c r="AX11" i="6"/>
  <c r="AT11" i="6"/>
  <c r="AS11" i="6"/>
  <c r="E9" i="7" s="1"/>
  <c r="AQ11" i="6"/>
  <c r="AL11" i="6"/>
  <c r="AG11" i="6"/>
  <c r="Z11" i="6"/>
  <c r="U11" i="6"/>
  <c r="C9" i="7" s="1"/>
  <c r="S11" i="6"/>
  <c r="N11" i="6"/>
  <c r="B11" i="6"/>
  <c r="JZ10" i="6"/>
  <c r="JY10" i="6"/>
  <c r="Y8" i="7" s="1"/>
  <c r="JW10" i="6"/>
  <c r="JK10" i="6"/>
  <c r="JM10" i="6" s="1"/>
  <c r="JA10" i="6"/>
  <c r="W8" i="7" s="1"/>
  <c r="IM10" i="6"/>
  <c r="IO10" i="6" s="1"/>
  <c r="IH10" i="6"/>
  <c r="IT10" i="6" s="1"/>
  <c r="JF10" i="6" s="1"/>
  <c r="JR10" i="6" s="1"/>
  <c r="ID10" i="6"/>
  <c r="IC10" i="6"/>
  <c r="U8" i="7" s="1"/>
  <c r="IA10" i="6"/>
  <c r="HV10" i="6"/>
  <c r="HO10" i="6"/>
  <c r="HQ10" i="6" s="1"/>
  <c r="HJ10" i="6"/>
  <c r="HF10" i="6"/>
  <c r="HE10" i="6"/>
  <c r="S8" i="7" s="1"/>
  <c r="HC10" i="6"/>
  <c r="GX10" i="6"/>
  <c r="GQ10" i="6"/>
  <c r="GS10" i="6" s="1"/>
  <c r="GL10" i="6"/>
  <c r="GG10" i="6"/>
  <c r="Q8" i="7" s="1"/>
  <c r="GE10" i="6"/>
  <c r="FZ10" i="6"/>
  <c r="FS10" i="6"/>
  <c r="FU10" i="6" s="1"/>
  <c r="FN10" i="6"/>
  <c r="FJ10" i="6"/>
  <c r="FI10" i="6"/>
  <c r="O8" i="7" s="1"/>
  <c r="FG10" i="6"/>
  <c r="FB10" i="6"/>
  <c r="EU10" i="6"/>
  <c r="EW10" i="6" s="1"/>
  <c r="EP10" i="6"/>
  <c r="EL10" i="6"/>
  <c r="EK10" i="6"/>
  <c r="M8" i="7" s="1"/>
  <c r="EI10" i="6"/>
  <c r="ED10" i="6"/>
  <c r="DW10" i="6"/>
  <c r="DY10" i="6" s="1"/>
  <c r="DR10" i="6"/>
  <c r="DM10" i="6"/>
  <c r="K8" i="7" s="1"/>
  <c r="DK10" i="6"/>
  <c r="DF10" i="6"/>
  <c r="CY10" i="6"/>
  <c r="DA10" i="6" s="1"/>
  <c r="CT10" i="6"/>
  <c r="CP10" i="6"/>
  <c r="CO10" i="6"/>
  <c r="I8" i="7" s="1"/>
  <c r="CM10" i="6"/>
  <c r="CH10" i="6"/>
  <c r="CA10" i="6"/>
  <c r="CC10" i="6" s="1"/>
  <c r="CF10" i="6" s="1"/>
  <c r="BV10" i="6"/>
  <c r="BQ10" i="6"/>
  <c r="G8" i="7" s="1"/>
  <c r="BJ10" i="6"/>
  <c r="BH10" i="6"/>
  <c r="BC10" i="6"/>
  <c r="BE10" i="6" s="1"/>
  <c r="AX10" i="6"/>
  <c r="AT10" i="6"/>
  <c r="AS10" i="6"/>
  <c r="E8" i="7" s="1"/>
  <c r="AQ10" i="6"/>
  <c r="AL10" i="6"/>
  <c r="AG10" i="6"/>
  <c r="Z10" i="6"/>
  <c r="U10" i="6"/>
  <c r="C8" i="7" s="1"/>
  <c r="S10" i="6"/>
  <c r="N10" i="6"/>
  <c r="B10" i="6"/>
  <c r="JZ9" i="6"/>
  <c r="JY9" i="6"/>
  <c r="Y7" i="7" s="1"/>
  <c r="JW9" i="6"/>
  <c r="JP9" i="6"/>
  <c r="JK9" i="6"/>
  <c r="JM9" i="6" s="1"/>
  <c r="JA9" i="6"/>
  <c r="W7" i="7" s="1"/>
  <c r="IM9" i="6"/>
  <c r="IO9" i="6" s="1"/>
  <c r="IR9" i="6" s="1"/>
  <c r="IH9" i="6"/>
  <c r="IT9" i="6" s="1"/>
  <c r="JF9" i="6" s="1"/>
  <c r="JR9" i="6" s="1"/>
  <c r="ID9" i="6"/>
  <c r="IC9" i="6"/>
  <c r="U7" i="7" s="1"/>
  <c r="IA9" i="6"/>
  <c r="HV9" i="6"/>
  <c r="HT9" i="6"/>
  <c r="HO9" i="6"/>
  <c r="HQ9" i="6" s="1"/>
  <c r="HJ9" i="6"/>
  <c r="HF9" i="6"/>
  <c r="HE9" i="6"/>
  <c r="S7" i="7" s="1"/>
  <c r="HC9" i="6"/>
  <c r="GX9" i="6"/>
  <c r="GQ9" i="6"/>
  <c r="GS9" i="6" s="1"/>
  <c r="GL9" i="6"/>
  <c r="GG9" i="6"/>
  <c r="Q7" i="7" s="1"/>
  <c r="GE9" i="6"/>
  <c r="FZ9" i="6"/>
  <c r="FS9" i="6"/>
  <c r="FU9" i="6" s="1"/>
  <c r="FN9" i="6"/>
  <c r="FJ9" i="6"/>
  <c r="FI9" i="6"/>
  <c r="O7" i="7" s="1"/>
  <c r="FG9" i="6"/>
  <c r="FB9" i="6"/>
  <c r="EU9" i="6"/>
  <c r="EW9" i="6" s="1"/>
  <c r="EZ9" i="6" s="1"/>
  <c r="EP9" i="6"/>
  <c r="EL9" i="6"/>
  <c r="EK9" i="6"/>
  <c r="M7" i="7" s="1"/>
  <c r="EI9" i="6"/>
  <c r="ED9" i="6"/>
  <c r="EB9" i="6"/>
  <c r="DW9" i="6"/>
  <c r="DY9" i="6" s="1"/>
  <c r="DR9" i="6"/>
  <c r="DN9" i="6"/>
  <c r="DM9" i="6"/>
  <c r="K7" i="7" s="1"/>
  <c r="DK9" i="6"/>
  <c r="DF9" i="6"/>
  <c r="CY9" i="6"/>
  <c r="DA9" i="6" s="1"/>
  <c r="CT9" i="6"/>
  <c r="CP9" i="6"/>
  <c r="CO9" i="6"/>
  <c r="I7" i="7" s="1"/>
  <c r="CM9" i="6"/>
  <c r="CH9" i="6"/>
  <c r="CA9" i="6"/>
  <c r="CC9" i="6" s="1"/>
  <c r="H7" i="7" s="1"/>
  <c r="BV9" i="6"/>
  <c r="BQ9" i="6"/>
  <c r="G7" i="7" s="1"/>
  <c r="BJ9" i="6"/>
  <c r="BH9" i="6"/>
  <c r="BC9" i="6"/>
  <c r="BE9" i="6" s="1"/>
  <c r="AX9" i="6"/>
  <c r="AT9" i="6"/>
  <c r="AS9" i="6"/>
  <c r="E7" i="7" s="1"/>
  <c r="AQ9" i="6"/>
  <c r="AL9" i="6"/>
  <c r="AG9" i="6"/>
  <c r="Z9" i="6"/>
  <c r="U9" i="6"/>
  <c r="C7" i="7" s="1"/>
  <c r="S9" i="6"/>
  <c r="N9" i="6"/>
  <c r="B9" i="6"/>
  <c r="JZ8" i="6"/>
  <c r="JY8" i="6"/>
  <c r="Y6" i="7" s="1"/>
  <c r="JW8" i="6"/>
  <c r="JP8" i="6"/>
  <c r="JK8" i="6"/>
  <c r="JM8" i="6" s="1"/>
  <c r="JA8" i="6"/>
  <c r="W6" i="7" s="1"/>
  <c r="IM8" i="6"/>
  <c r="IO8" i="6" s="1"/>
  <c r="IR8" i="6" s="1"/>
  <c r="IH8" i="6"/>
  <c r="IT8" i="6" s="1"/>
  <c r="JF8" i="6" s="1"/>
  <c r="JR8" i="6" s="1"/>
  <c r="ID8" i="6"/>
  <c r="IC8" i="6"/>
  <c r="U6" i="7" s="1"/>
  <c r="IA8" i="6"/>
  <c r="HV8" i="6"/>
  <c r="HT8" i="6"/>
  <c r="HO8" i="6"/>
  <c r="HQ8" i="6" s="1"/>
  <c r="HJ8" i="6"/>
  <c r="HF8" i="6"/>
  <c r="HE8" i="6"/>
  <c r="S6" i="7" s="1"/>
  <c r="HC8" i="6"/>
  <c r="GX8" i="6"/>
  <c r="GQ8" i="6"/>
  <c r="GS8" i="6" s="1"/>
  <c r="GL8" i="6"/>
  <c r="GG8" i="6"/>
  <c r="Q6" i="7" s="1"/>
  <c r="GE8" i="6"/>
  <c r="FZ8" i="6"/>
  <c r="FS8" i="6"/>
  <c r="FU8" i="6" s="1"/>
  <c r="FN8" i="6"/>
  <c r="FJ8" i="6"/>
  <c r="FI8" i="6"/>
  <c r="O6" i="7" s="1"/>
  <c r="FG8" i="6"/>
  <c r="FB8" i="6"/>
  <c r="EU8" i="6"/>
  <c r="EW8" i="6" s="1"/>
  <c r="EZ8" i="6" s="1"/>
  <c r="EP8" i="6"/>
  <c r="EL8" i="6"/>
  <c r="EK8" i="6"/>
  <c r="M6" i="7" s="1"/>
  <c r="EI8" i="6"/>
  <c r="ED8" i="6"/>
  <c r="EB8" i="6"/>
  <c r="DW8" i="6"/>
  <c r="DY8" i="6" s="1"/>
  <c r="DR8" i="6"/>
  <c r="DN8" i="6"/>
  <c r="DM8" i="6"/>
  <c r="K6" i="7" s="1"/>
  <c r="DK8" i="6"/>
  <c r="DF8" i="6"/>
  <c r="CY8" i="6"/>
  <c r="DA8" i="6" s="1"/>
  <c r="CT8" i="6"/>
  <c r="CP8" i="6"/>
  <c r="CO8" i="6"/>
  <c r="I6" i="7" s="1"/>
  <c r="CM8" i="6"/>
  <c r="CH8" i="6"/>
  <c r="CA8" i="6"/>
  <c r="CC8" i="6" s="1"/>
  <c r="CF8" i="6" s="1"/>
  <c r="BV8" i="6"/>
  <c r="BQ8" i="6"/>
  <c r="G6" i="7" s="1"/>
  <c r="BJ8" i="6"/>
  <c r="BH8" i="6"/>
  <c r="BC8" i="6"/>
  <c r="BE8" i="6" s="1"/>
  <c r="AX8" i="6"/>
  <c r="AT8" i="6"/>
  <c r="AS8" i="6"/>
  <c r="E6" i="7" s="1"/>
  <c r="AQ8" i="6"/>
  <c r="AL8" i="6"/>
  <c r="AG8" i="6"/>
  <c r="Z8" i="6"/>
  <c r="U8" i="6"/>
  <c r="C6" i="7" s="1"/>
  <c r="S8" i="6"/>
  <c r="N8" i="6"/>
  <c r="B8" i="6"/>
  <c r="JZ7" i="6"/>
  <c r="JY7" i="6"/>
  <c r="Y5" i="7" s="1"/>
  <c r="JW7" i="6"/>
  <c r="JP7" i="6"/>
  <c r="JK7" i="6"/>
  <c r="JM7" i="6" s="1"/>
  <c r="JA7" i="6"/>
  <c r="W5" i="7" s="1"/>
  <c r="IM7" i="6"/>
  <c r="IO7" i="6" s="1"/>
  <c r="IR7" i="6" s="1"/>
  <c r="IH7" i="6"/>
  <c r="IT7" i="6" s="1"/>
  <c r="JF7" i="6" s="1"/>
  <c r="JR7" i="6" s="1"/>
  <c r="ID7" i="6"/>
  <c r="IC7" i="6"/>
  <c r="IA7" i="6"/>
  <c r="HV7" i="6"/>
  <c r="HT7" i="6"/>
  <c r="HO7" i="6"/>
  <c r="HQ7" i="6" s="1"/>
  <c r="HS7" i="6" s="1"/>
  <c r="HJ7" i="6"/>
  <c r="HF7" i="6"/>
  <c r="HE7" i="6"/>
  <c r="HC7" i="6"/>
  <c r="GX7" i="6"/>
  <c r="GV7" i="6"/>
  <c r="GQ7" i="6"/>
  <c r="GS7" i="6" s="1"/>
  <c r="GU7" i="6" s="1"/>
  <c r="GL7" i="6"/>
  <c r="GH7" i="6"/>
  <c r="GG7" i="6"/>
  <c r="GE7" i="6"/>
  <c r="FZ7" i="6"/>
  <c r="FX7" i="6"/>
  <c r="FS7" i="6"/>
  <c r="FU7" i="6" s="1"/>
  <c r="FW7" i="6" s="1"/>
  <c r="FN7" i="6"/>
  <c r="FJ7" i="6"/>
  <c r="FI7" i="6"/>
  <c r="FG7" i="6"/>
  <c r="FB7" i="6"/>
  <c r="EZ7" i="6"/>
  <c r="EU7" i="6"/>
  <c r="EW7" i="6" s="1"/>
  <c r="EY7" i="6" s="1"/>
  <c r="EP7" i="6"/>
  <c r="EL7" i="6"/>
  <c r="EK7" i="6"/>
  <c r="EI7" i="6"/>
  <c r="ED7" i="6"/>
  <c r="EB7" i="6"/>
  <c r="DW7" i="6"/>
  <c r="DY7" i="6" s="1"/>
  <c r="EA7" i="6" s="1"/>
  <c r="DR7" i="6"/>
  <c r="DN7" i="6"/>
  <c r="DM7" i="6"/>
  <c r="DK7" i="6"/>
  <c r="DF7" i="6"/>
  <c r="DD7" i="6"/>
  <c r="CY7" i="6"/>
  <c r="DA7" i="6" s="1"/>
  <c r="DC7" i="6" s="1"/>
  <c r="CT7" i="6"/>
  <c r="CP7" i="6"/>
  <c r="CO7" i="6"/>
  <c r="CM7" i="6"/>
  <c r="CH7" i="6"/>
  <c r="CA7" i="6"/>
  <c r="CC7" i="6" s="1"/>
  <c r="H5" i="7" s="1"/>
  <c r="BV7" i="6"/>
  <c r="BQ7" i="6"/>
  <c r="BJ7" i="6"/>
  <c r="BC7" i="6"/>
  <c r="BE7" i="6" s="1"/>
  <c r="AX7" i="6"/>
  <c r="AS7" i="6"/>
  <c r="AQ7" i="6"/>
  <c r="AL7" i="6"/>
  <c r="AG7" i="6"/>
  <c r="Z7" i="6"/>
  <c r="U7" i="6"/>
  <c r="S7" i="6"/>
  <c r="N7" i="6"/>
  <c r="B7" i="6"/>
  <c r="JY6" i="6"/>
  <c r="JW6" i="6"/>
  <c r="JK6" i="6"/>
  <c r="JM6" i="6" s="1"/>
  <c r="JP6" i="6" s="1"/>
  <c r="JA6" i="6"/>
  <c r="IR6" i="6"/>
  <c r="IM6" i="6"/>
  <c r="IO6" i="6" s="1"/>
  <c r="IQ6" i="6" s="1"/>
  <c r="IH6" i="6"/>
  <c r="IT6" i="6" s="1"/>
  <c r="JF6" i="6" s="1"/>
  <c r="JR6" i="6" s="1"/>
  <c r="ID6" i="6"/>
  <c r="IC6" i="6"/>
  <c r="IA6" i="6"/>
  <c r="HV6" i="6"/>
  <c r="HT6" i="6"/>
  <c r="HO6" i="6"/>
  <c r="HQ6" i="6" s="1"/>
  <c r="HS6" i="6" s="1"/>
  <c r="HJ6" i="6"/>
  <c r="HF6" i="6"/>
  <c r="HE6" i="6"/>
  <c r="HC6" i="6"/>
  <c r="GX6" i="6"/>
  <c r="GV6" i="6"/>
  <c r="GQ6" i="6"/>
  <c r="GS6" i="6" s="1"/>
  <c r="GU6" i="6" s="1"/>
  <c r="GL6" i="6"/>
  <c r="GH6" i="6"/>
  <c r="GG6" i="6"/>
  <c r="GE6" i="6"/>
  <c r="FZ6" i="6"/>
  <c r="FX6" i="6"/>
  <c r="FS6" i="6"/>
  <c r="FU6" i="6" s="1"/>
  <c r="FW6" i="6" s="1"/>
  <c r="FN6" i="6"/>
  <c r="FJ6" i="6"/>
  <c r="FI6" i="6"/>
  <c r="FG6" i="6"/>
  <c r="FB6" i="6"/>
  <c r="EZ6" i="6"/>
  <c r="EU6" i="6"/>
  <c r="EW6" i="6" s="1"/>
  <c r="EY6" i="6" s="1"/>
  <c r="EP6" i="6"/>
  <c r="EL6" i="6"/>
  <c r="EK6" i="6"/>
  <c r="EI6" i="6"/>
  <c r="ED6" i="6"/>
  <c r="EB6" i="6"/>
  <c r="DW6" i="6"/>
  <c r="DY6" i="6" s="1"/>
  <c r="EA6" i="6" s="1"/>
  <c r="DR6" i="6"/>
  <c r="DN6" i="6"/>
  <c r="DM6" i="6"/>
  <c r="DK6" i="6"/>
  <c r="DF6" i="6"/>
  <c r="DD6" i="6"/>
  <c r="CY6" i="6"/>
  <c r="DA6" i="6" s="1"/>
  <c r="DC6" i="6" s="1"/>
  <c r="CT6" i="6"/>
  <c r="CP6" i="6"/>
  <c r="CO6" i="6"/>
  <c r="CM6" i="6"/>
  <c r="CH6" i="6"/>
  <c r="CA6" i="6"/>
  <c r="CC6" i="6" s="1"/>
  <c r="CF6" i="6" s="1"/>
  <c r="BV6" i="6"/>
  <c r="BQ6" i="6"/>
  <c r="BR38" i="6" s="1"/>
  <c r="BJ6" i="6"/>
  <c r="BC6" i="6"/>
  <c r="BE6" i="6" s="1"/>
  <c r="AX6" i="6"/>
  <c r="AS6" i="6"/>
  <c r="AQ6" i="6"/>
  <c r="AL6" i="6"/>
  <c r="AG6" i="6"/>
  <c r="Z6" i="6"/>
  <c r="U6" i="6"/>
  <c r="S6" i="6"/>
  <c r="N6" i="6"/>
  <c r="B6" i="6"/>
  <c r="JY5" i="6"/>
  <c r="JW5" i="6"/>
  <c r="JK5" i="6"/>
  <c r="JM5" i="6" s="1"/>
  <c r="JP5" i="6" s="1"/>
  <c r="JA5" i="6"/>
  <c r="IR5" i="6"/>
  <c r="IM5" i="6"/>
  <c r="IO5" i="6" s="1"/>
  <c r="IQ5" i="6" s="1"/>
  <c r="IH5" i="6"/>
  <c r="IT5" i="6" s="1"/>
  <c r="JF5" i="6" s="1"/>
  <c r="JR5" i="6" s="1"/>
  <c r="ID5" i="6"/>
  <c r="IC5" i="6"/>
  <c r="IA5" i="6"/>
  <c r="HV5" i="6"/>
  <c r="HT5" i="6"/>
  <c r="HO5" i="6"/>
  <c r="HQ5" i="6" s="1"/>
  <c r="HS5" i="6" s="1"/>
  <c r="HJ5" i="6"/>
  <c r="HF5" i="6"/>
  <c r="HE5" i="6"/>
  <c r="HC5" i="6"/>
  <c r="GX5" i="6"/>
  <c r="GV5" i="6"/>
  <c r="GQ5" i="6"/>
  <c r="GS5" i="6" s="1"/>
  <c r="GU5" i="6" s="1"/>
  <c r="GL5" i="6"/>
  <c r="GH5" i="6"/>
  <c r="GG5" i="6"/>
  <c r="GE5" i="6"/>
  <c r="FZ5" i="6"/>
  <c r="FX5" i="6"/>
  <c r="FS5" i="6"/>
  <c r="FU5" i="6" s="1"/>
  <c r="FW5" i="6" s="1"/>
  <c r="FN5" i="6"/>
  <c r="FJ5" i="6"/>
  <c r="FI5" i="6"/>
  <c r="FG5" i="6"/>
  <c r="FB5" i="6"/>
  <c r="EZ5" i="6"/>
  <c r="EU5" i="6"/>
  <c r="EW5" i="6" s="1"/>
  <c r="EY5" i="6" s="1"/>
  <c r="EP5" i="6"/>
  <c r="EL5" i="6"/>
  <c r="EK5" i="6"/>
  <c r="EI5" i="6"/>
  <c r="ED5" i="6"/>
  <c r="EB5" i="6"/>
  <c r="DW5" i="6"/>
  <c r="DY5" i="6" s="1"/>
  <c r="EA5" i="6" s="1"/>
  <c r="DR5" i="6"/>
  <c r="DN5" i="6"/>
  <c r="DM5" i="6"/>
  <c r="DK5" i="6"/>
  <c r="DF5" i="6"/>
  <c r="DD5" i="6"/>
  <c r="CY5" i="6"/>
  <c r="DA5" i="6" s="1"/>
  <c r="DC5" i="6" s="1"/>
  <c r="CT5" i="6"/>
  <c r="CP5" i="6"/>
  <c r="CO5" i="6"/>
  <c r="CM5" i="6"/>
  <c r="CH5" i="6"/>
  <c r="CA5" i="6"/>
  <c r="CC5" i="6" s="1"/>
  <c r="H3" i="7" s="1"/>
  <c r="BV5" i="6"/>
  <c r="BQ5" i="6"/>
  <c r="BJ5" i="6"/>
  <c r="BC5" i="6"/>
  <c r="BE5" i="6" s="1"/>
  <c r="AX5" i="6"/>
  <c r="AS5" i="6"/>
  <c r="AQ5" i="6"/>
  <c r="AL5" i="6"/>
  <c r="AG5" i="6"/>
  <c r="Z5" i="6"/>
  <c r="U5" i="6"/>
  <c r="S5" i="6"/>
  <c r="N5" i="6"/>
  <c r="B5" i="6"/>
  <c r="JY4" i="6"/>
  <c r="JW4" i="6"/>
  <c r="JK4" i="6"/>
  <c r="JM4" i="6" s="1"/>
  <c r="JP4" i="6" s="1"/>
  <c r="JA4" i="6"/>
  <c r="IR4" i="6"/>
  <c r="IM4" i="6"/>
  <c r="IO4" i="6" s="1"/>
  <c r="IQ4" i="6" s="1"/>
  <c r="IH4" i="6"/>
  <c r="IT4" i="6" s="1"/>
  <c r="JF4" i="6" s="1"/>
  <c r="JR4" i="6" s="1"/>
  <c r="ID4" i="6"/>
  <c r="IC4" i="6"/>
  <c r="IA4" i="6"/>
  <c r="HV4" i="6"/>
  <c r="HT4" i="6"/>
  <c r="HO4" i="6"/>
  <c r="HQ4" i="6" s="1"/>
  <c r="HS4" i="6" s="1"/>
  <c r="HJ4" i="6"/>
  <c r="HF4" i="6"/>
  <c r="HE4" i="6"/>
  <c r="HC4" i="6"/>
  <c r="GX4" i="6"/>
  <c r="GV4" i="6"/>
  <c r="GQ4" i="6"/>
  <c r="GS4" i="6" s="1"/>
  <c r="GU4" i="6" s="1"/>
  <c r="GL4" i="6"/>
  <c r="GH4" i="6"/>
  <c r="GG4" i="6"/>
  <c r="GE4" i="6"/>
  <c r="FZ4" i="6"/>
  <c r="FX4" i="6"/>
  <c r="FS4" i="6"/>
  <c r="FU4" i="6" s="1"/>
  <c r="FW4" i="6" s="1"/>
  <c r="FN4" i="6"/>
  <c r="FJ4" i="6"/>
  <c r="FI4" i="6"/>
  <c r="FG4" i="6"/>
  <c r="FB4" i="6"/>
  <c r="EZ4" i="6"/>
  <c r="EU4" i="6"/>
  <c r="EW4" i="6" s="1"/>
  <c r="EY4" i="6" s="1"/>
  <c r="EP4" i="6"/>
  <c r="EL4" i="6"/>
  <c r="EK4" i="6"/>
  <c r="EI4" i="6"/>
  <c r="ED4" i="6"/>
  <c r="EB4" i="6"/>
  <c r="DW4" i="6"/>
  <c r="DY4" i="6" s="1"/>
  <c r="EA4" i="6" s="1"/>
  <c r="DR4" i="6"/>
  <c r="DN4" i="6"/>
  <c r="DM4" i="6"/>
  <c r="DK4" i="6"/>
  <c r="DF4" i="6"/>
  <c r="DD4" i="6"/>
  <c r="CY4" i="6"/>
  <c r="DA4" i="6" s="1"/>
  <c r="DC4" i="6" s="1"/>
  <c r="CT4" i="6"/>
  <c r="CP4" i="6"/>
  <c r="CO4" i="6"/>
  <c r="CM4" i="6"/>
  <c r="CH4" i="6"/>
  <c r="CA4" i="6"/>
  <c r="CC4" i="6" s="1"/>
  <c r="CF4" i="6" s="1"/>
  <c r="BV4" i="6"/>
  <c r="BQ4" i="6"/>
  <c r="BJ4" i="6"/>
  <c r="BC4" i="6"/>
  <c r="BE4" i="6" s="1"/>
  <c r="AX4" i="6"/>
  <c r="AS4" i="6"/>
  <c r="AQ4" i="6"/>
  <c r="AL4" i="6"/>
  <c r="AG4" i="6"/>
  <c r="Z4" i="6"/>
  <c r="U4" i="6"/>
  <c r="S4" i="6"/>
  <c r="N4" i="6"/>
  <c r="K4" i="6"/>
  <c r="B4" i="6"/>
  <c r="L53" i="2"/>
  <c r="K53" i="2"/>
  <c r="J53" i="2"/>
  <c r="G53" i="2"/>
  <c r="I53" i="2" s="1"/>
  <c r="B53" i="2"/>
  <c r="G52" i="2"/>
  <c r="I52" i="2" s="1"/>
  <c r="B52" i="2"/>
  <c r="G51" i="2"/>
  <c r="I51" i="2" s="1"/>
  <c r="K51" i="2" s="1"/>
  <c r="B51" i="2"/>
  <c r="I50" i="2"/>
  <c r="K50" i="2" s="1"/>
  <c r="G50" i="2"/>
  <c r="B50" i="2"/>
  <c r="L49" i="2"/>
  <c r="K49" i="2"/>
  <c r="J49" i="2"/>
  <c r="G49" i="2"/>
  <c r="I49" i="2" s="1"/>
  <c r="B49" i="2"/>
  <c r="G48" i="2"/>
  <c r="I48" i="2" s="1"/>
  <c r="B48" i="2"/>
  <c r="G47" i="2"/>
  <c r="I47" i="2" s="1"/>
  <c r="K47" i="2" s="1"/>
  <c r="B47" i="2"/>
  <c r="I46" i="2"/>
  <c r="K46" i="2" s="1"/>
  <c r="G46" i="2"/>
  <c r="B46" i="2"/>
  <c r="L45" i="2"/>
  <c r="K45" i="2"/>
  <c r="J45" i="2"/>
  <c r="G45" i="2"/>
  <c r="I45" i="2" s="1"/>
  <c r="B45" i="2"/>
  <c r="G44" i="2"/>
  <c r="I44" i="2" s="1"/>
  <c r="B44" i="2"/>
  <c r="G43" i="2"/>
  <c r="I43" i="2" s="1"/>
  <c r="K43" i="2" s="1"/>
  <c r="B43" i="2"/>
  <c r="I42" i="2"/>
  <c r="K42" i="2" s="1"/>
  <c r="G42" i="2"/>
  <c r="B42" i="2"/>
  <c r="L41" i="2"/>
  <c r="K41" i="2"/>
  <c r="J41" i="2"/>
  <c r="G41" i="2"/>
  <c r="I41" i="2" s="1"/>
  <c r="B41" i="2"/>
  <c r="G40" i="2"/>
  <c r="I40" i="2" s="1"/>
  <c r="B40" i="2"/>
  <c r="G39" i="2"/>
  <c r="I39" i="2" s="1"/>
  <c r="K39" i="2" s="1"/>
  <c r="B39" i="2"/>
  <c r="I38" i="2"/>
  <c r="K38" i="2" s="1"/>
  <c r="G38" i="2"/>
  <c r="B38" i="2"/>
  <c r="L37" i="2"/>
  <c r="K37" i="2"/>
  <c r="J37" i="2"/>
  <c r="G37" i="2"/>
  <c r="I37" i="2" s="1"/>
  <c r="B37" i="2"/>
  <c r="G36" i="2"/>
  <c r="I36" i="2" s="1"/>
  <c r="B36" i="2"/>
  <c r="G35" i="2"/>
  <c r="I35" i="2" s="1"/>
  <c r="K35" i="2" s="1"/>
  <c r="B35" i="2"/>
  <c r="I34" i="2"/>
  <c r="K34" i="2" s="1"/>
  <c r="G34" i="2"/>
  <c r="B34" i="2"/>
  <c r="L33" i="2"/>
  <c r="K33" i="2"/>
  <c r="J33" i="2"/>
  <c r="G33" i="2"/>
  <c r="I33" i="2" s="1"/>
  <c r="B33" i="2"/>
  <c r="G32" i="2"/>
  <c r="I32" i="2" s="1"/>
  <c r="B32" i="2"/>
  <c r="G31" i="2"/>
  <c r="I31" i="2" s="1"/>
  <c r="K31" i="2" s="1"/>
  <c r="B31" i="2"/>
  <c r="I30" i="2"/>
  <c r="K30" i="2" s="1"/>
  <c r="G30" i="2"/>
  <c r="B30" i="2"/>
  <c r="L29" i="2"/>
  <c r="K29" i="2"/>
  <c r="J29" i="2"/>
  <c r="G29" i="2"/>
  <c r="I29" i="2" s="1"/>
  <c r="B29" i="2"/>
  <c r="G28" i="2"/>
  <c r="I28" i="2" s="1"/>
  <c r="B28" i="2"/>
  <c r="G27" i="2"/>
  <c r="I27" i="2" s="1"/>
  <c r="K27" i="2" s="1"/>
  <c r="B27" i="2"/>
  <c r="I26" i="2"/>
  <c r="K26" i="2" s="1"/>
  <c r="G26" i="2"/>
  <c r="B26" i="2"/>
  <c r="L25" i="2"/>
  <c r="K25" i="2"/>
  <c r="J25" i="2"/>
  <c r="G25" i="2"/>
  <c r="I25" i="2" s="1"/>
  <c r="B25" i="2"/>
  <c r="G24" i="2"/>
  <c r="I24" i="2" s="1"/>
  <c r="B24" i="2"/>
  <c r="G23" i="2"/>
  <c r="I23" i="2" s="1"/>
  <c r="K23" i="2" s="1"/>
  <c r="B23" i="2"/>
  <c r="I22" i="2"/>
  <c r="K22" i="2" s="1"/>
  <c r="G22" i="2"/>
  <c r="B22" i="2"/>
  <c r="L21" i="2"/>
  <c r="K21" i="2"/>
  <c r="J21" i="2"/>
  <c r="G21" i="2"/>
  <c r="I21" i="2" s="1"/>
  <c r="B21" i="2"/>
  <c r="G20" i="2"/>
  <c r="I20" i="2" s="1"/>
  <c r="B20" i="2"/>
  <c r="G19" i="2"/>
  <c r="I19" i="2" s="1"/>
  <c r="K19" i="2" s="1"/>
  <c r="B19" i="2"/>
  <c r="I18" i="2"/>
  <c r="K18" i="2" s="1"/>
  <c r="G18" i="2"/>
  <c r="B18" i="2"/>
  <c r="L17" i="2"/>
  <c r="K17" i="2"/>
  <c r="J17" i="2"/>
  <c r="G17" i="2"/>
  <c r="I17" i="2" s="1"/>
  <c r="B17" i="2"/>
  <c r="G16" i="2"/>
  <c r="I16" i="2" s="1"/>
  <c r="B16" i="2"/>
  <c r="G15" i="2"/>
  <c r="I15" i="2" s="1"/>
  <c r="K15" i="2" s="1"/>
  <c r="B15" i="2"/>
  <c r="I14" i="2"/>
  <c r="K14" i="2" s="1"/>
  <c r="G14" i="2"/>
  <c r="B14" i="2"/>
  <c r="L13" i="2"/>
  <c r="K13" i="2"/>
  <c r="J13" i="2"/>
  <c r="G13" i="2"/>
  <c r="I13" i="2" s="1"/>
  <c r="B13" i="2"/>
  <c r="G12" i="2"/>
  <c r="I12" i="2" s="1"/>
  <c r="B12" i="2"/>
  <c r="G11" i="2"/>
  <c r="I11" i="2" s="1"/>
  <c r="K11" i="2" s="1"/>
  <c r="B11" i="2"/>
  <c r="I10" i="2"/>
  <c r="K10" i="2" s="1"/>
  <c r="G10" i="2"/>
  <c r="B10" i="2"/>
  <c r="L9" i="2"/>
  <c r="K9" i="2"/>
  <c r="J9" i="2"/>
  <c r="G9" i="2"/>
  <c r="I9" i="2" s="1"/>
  <c r="B9" i="2"/>
  <c r="G8" i="2"/>
  <c r="I8" i="2" s="1"/>
  <c r="B8" i="2"/>
  <c r="G7" i="2"/>
  <c r="I7" i="2" s="1"/>
  <c r="K7" i="2" s="1"/>
  <c r="B7" i="2"/>
  <c r="I6" i="2"/>
  <c r="K6" i="2" s="1"/>
  <c r="G6" i="2"/>
  <c r="B6" i="2"/>
  <c r="L5" i="2"/>
  <c r="K5" i="2"/>
  <c r="J5" i="2"/>
  <c r="G5" i="2"/>
  <c r="I5" i="2" s="1"/>
  <c r="B5" i="2"/>
  <c r="G4" i="2"/>
  <c r="I4" i="2" s="1"/>
  <c r="B4" i="2"/>
  <c r="JB15" i="6" l="1"/>
  <c r="JB30" i="6"/>
  <c r="JB8" i="6"/>
  <c r="JB16" i="6"/>
  <c r="JB17" i="6"/>
  <c r="JB33" i="6"/>
  <c r="JB37" i="6"/>
  <c r="JB39" i="6"/>
  <c r="JB9" i="6"/>
  <c r="JB10" i="6"/>
  <c r="JB34" i="6"/>
  <c r="JB38" i="6"/>
  <c r="JB4" i="6"/>
  <c r="JB5" i="6"/>
  <c r="JB6" i="6"/>
  <c r="JB7" i="6"/>
  <c r="JB11" i="6"/>
  <c r="JB14" i="6"/>
  <c r="JC16" i="6"/>
  <c r="JC17" i="6"/>
  <c r="JB20" i="6"/>
  <c r="JB24" i="6"/>
  <c r="JB26" i="6"/>
  <c r="JB28" i="6"/>
  <c r="JB29" i="6"/>
  <c r="JB31" i="6"/>
  <c r="JB32" i="6"/>
  <c r="JC33" i="6"/>
  <c r="JB35" i="6"/>
  <c r="JB36" i="6"/>
  <c r="JC37" i="6"/>
  <c r="JC39" i="6"/>
  <c r="JC14" i="6"/>
  <c r="JD16" i="6"/>
  <c r="JD17" i="6"/>
  <c r="JC31" i="6"/>
  <c r="JC32" i="6"/>
  <c r="JC35" i="6"/>
  <c r="JC36" i="6"/>
  <c r="BS21" i="6"/>
  <c r="BR28" i="6"/>
  <c r="BR9" i="6"/>
  <c r="BR19" i="6"/>
  <c r="BR24" i="6"/>
  <c r="BR25" i="6"/>
  <c r="BR29" i="6"/>
  <c r="BR35" i="6"/>
  <c r="BR10" i="6"/>
  <c r="BR11" i="6"/>
  <c r="BS17" i="6"/>
  <c r="BR21" i="6"/>
  <c r="BR22" i="6"/>
  <c r="BS25" i="6"/>
  <c r="BR26" i="6"/>
  <c r="BR30" i="6"/>
  <c r="BR33" i="6"/>
  <c r="BR36" i="6"/>
  <c r="BS16" i="6"/>
  <c r="BT17" i="6"/>
  <c r="BR18" i="6"/>
  <c r="BS22" i="6"/>
  <c r="BR31" i="6"/>
  <c r="BR32" i="6"/>
  <c r="BS33" i="6"/>
  <c r="BR34" i="6"/>
  <c r="BS36" i="6"/>
  <c r="BR39" i="6"/>
  <c r="BR8" i="6"/>
  <c r="BT16" i="6"/>
  <c r="BS18" i="6"/>
  <c r="BR20" i="6"/>
  <c r="BT21" i="6"/>
  <c r="BT22" i="6"/>
  <c r="BR23" i="6"/>
  <c r="BS32" i="6"/>
  <c r="BS34" i="6"/>
  <c r="BR37" i="6"/>
  <c r="BS39" i="6"/>
  <c r="AJ43" i="6"/>
  <c r="AI42" i="6"/>
  <c r="AJ42" i="6"/>
  <c r="AI43" i="6"/>
  <c r="K4" i="2"/>
  <c r="L4" i="2"/>
  <c r="J4" i="2"/>
  <c r="K8" i="2"/>
  <c r="L8" i="2"/>
  <c r="J8" i="2"/>
  <c r="K12" i="2"/>
  <c r="L12" i="2"/>
  <c r="J12" i="2"/>
  <c r="K16" i="2"/>
  <c r="J16" i="2"/>
  <c r="L16" i="2"/>
  <c r="K20" i="2"/>
  <c r="L20" i="2"/>
  <c r="J20" i="2"/>
  <c r="K24" i="2"/>
  <c r="J24" i="2"/>
  <c r="L24" i="2"/>
  <c r="K28" i="2"/>
  <c r="L28" i="2"/>
  <c r="J28" i="2"/>
  <c r="K32" i="2"/>
  <c r="L32" i="2"/>
  <c r="J32" i="2"/>
  <c r="K36" i="2"/>
  <c r="L36" i="2"/>
  <c r="J36" i="2"/>
  <c r="K40" i="2"/>
  <c r="J40" i="2"/>
  <c r="L40" i="2"/>
  <c r="K44" i="2"/>
  <c r="L44" i="2"/>
  <c r="J44" i="2"/>
  <c r="K48" i="2"/>
  <c r="L48" i="2"/>
  <c r="J48" i="2"/>
  <c r="K52" i="2"/>
  <c r="L52" i="2"/>
  <c r="J52" i="2"/>
  <c r="B3" i="7"/>
  <c r="J5" i="6"/>
  <c r="F3" i="7"/>
  <c r="BF5" i="6"/>
  <c r="J7" i="2"/>
  <c r="J10" i="2"/>
  <c r="J11" i="2"/>
  <c r="J18" i="2"/>
  <c r="J22" i="2"/>
  <c r="J23" i="2"/>
  <c r="J26" i="2"/>
  <c r="J27" i="2"/>
  <c r="J39" i="2"/>
  <c r="J42" i="2"/>
  <c r="J43" i="2"/>
  <c r="J46" i="2"/>
  <c r="J50" i="2"/>
  <c r="J51" i="2"/>
  <c r="L7" i="2"/>
  <c r="L11" i="2"/>
  <c r="L15" i="2"/>
  <c r="L19" i="2"/>
  <c r="L23" i="2"/>
  <c r="L27" i="2"/>
  <c r="L31" i="2"/>
  <c r="L35" i="2"/>
  <c r="L39" i="2"/>
  <c r="L43" i="2"/>
  <c r="L47" i="2"/>
  <c r="L51" i="2"/>
  <c r="I2" i="7"/>
  <c r="CR4" i="6"/>
  <c r="CQ4" i="6"/>
  <c r="K2" i="7"/>
  <c r="DN53" i="6"/>
  <c r="DN38" i="6"/>
  <c r="DP4" i="6"/>
  <c r="DO4" i="6"/>
  <c r="DN10" i="6"/>
  <c r="DN17" i="6"/>
  <c r="DN15" i="6"/>
  <c r="M2" i="7"/>
  <c r="EN4" i="6"/>
  <c r="EM4" i="6"/>
  <c r="O2" i="7"/>
  <c r="FL4" i="6"/>
  <c r="FK4" i="6"/>
  <c r="Q2" i="7"/>
  <c r="GH52" i="6"/>
  <c r="I43" i="9" s="1"/>
  <c r="GH51" i="6"/>
  <c r="GH42" i="6"/>
  <c r="GH40" i="6"/>
  <c r="GH35" i="6"/>
  <c r="GH39" i="6"/>
  <c r="GH38" i="6"/>
  <c r="GH34" i="6"/>
  <c r="GH37" i="6"/>
  <c r="GH33" i="6"/>
  <c r="GH36" i="6"/>
  <c r="GH32" i="6"/>
  <c r="GH26" i="6"/>
  <c r="GH24" i="6"/>
  <c r="GJ4" i="6"/>
  <c r="GI4" i="6"/>
  <c r="GH11" i="6"/>
  <c r="GH10" i="6"/>
  <c r="S2" i="7"/>
  <c r="HF49" i="6"/>
  <c r="HF35" i="6"/>
  <c r="HH4" i="6"/>
  <c r="HG4" i="6"/>
  <c r="HF11" i="6"/>
  <c r="U2" i="7"/>
  <c r="IF4" i="6"/>
  <c r="IE4" i="6"/>
  <c r="I3" i="7"/>
  <c r="CR5" i="6"/>
  <c r="CQ5" i="6"/>
  <c r="K3" i="7"/>
  <c r="DP5" i="6"/>
  <c r="DO5" i="6"/>
  <c r="M3" i="7"/>
  <c r="EN5" i="6"/>
  <c r="EM5" i="6"/>
  <c r="O3" i="7"/>
  <c r="FL5" i="6"/>
  <c r="FK5" i="6"/>
  <c r="Q3" i="7"/>
  <c r="GJ5" i="6"/>
  <c r="GI5" i="6"/>
  <c r="S3" i="7"/>
  <c r="HH5" i="6"/>
  <c r="HG5" i="6"/>
  <c r="U3" i="7"/>
  <c r="IF5" i="6"/>
  <c r="IE5" i="6"/>
  <c r="I4" i="7"/>
  <c r="CR6" i="6"/>
  <c r="CQ6" i="6"/>
  <c r="K4" i="7"/>
  <c r="DP6" i="6"/>
  <c r="DO6" i="6"/>
  <c r="M4" i="7"/>
  <c r="EN6" i="6"/>
  <c r="EM6" i="6"/>
  <c r="O4" i="7"/>
  <c r="FL6" i="6"/>
  <c r="FK6" i="6"/>
  <c r="Q4" i="7"/>
  <c r="GJ6" i="6"/>
  <c r="GI6" i="6"/>
  <c r="S4" i="7"/>
  <c r="HH6" i="6"/>
  <c r="HG6" i="6"/>
  <c r="U4" i="7"/>
  <c r="IF6" i="6"/>
  <c r="IE6" i="6"/>
  <c r="I5" i="7"/>
  <c r="CR7" i="6"/>
  <c r="CQ7" i="6"/>
  <c r="K5" i="7"/>
  <c r="DP7" i="6"/>
  <c r="DO7" i="6"/>
  <c r="M5" i="7"/>
  <c r="EN7" i="6"/>
  <c r="EM7" i="6"/>
  <c r="O5" i="7"/>
  <c r="FL7" i="6"/>
  <c r="FK7" i="6"/>
  <c r="Q5" i="7"/>
  <c r="GJ7" i="6"/>
  <c r="GI7" i="6"/>
  <c r="S5" i="7"/>
  <c r="HH7" i="6"/>
  <c r="HG7" i="6"/>
  <c r="U5" i="7"/>
  <c r="IF7" i="6"/>
  <c r="IE7" i="6"/>
  <c r="X5" i="7"/>
  <c r="JN7" i="6"/>
  <c r="JO7" i="6"/>
  <c r="F6" i="7"/>
  <c r="BF8" i="6"/>
  <c r="BG8" i="6"/>
  <c r="L6" i="7"/>
  <c r="DZ8" i="6"/>
  <c r="EA8" i="6"/>
  <c r="T6" i="7"/>
  <c r="HS8" i="6"/>
  <c r="X6" i="7"/>
  <c r="JN8" i="6"/>
  <c r="JO8" i="6"/>
  <c r="F7" i="7"/>
  <c r="BF9" i="6"/>
  <c r="BG9" i="6"/>
  <c r="L7" i="7"/>
  <c r="DZ9" i="6"/>
  <c r="EA9" i="6"/>
  <c r="T7" i="7"/>
  <c r="HR9" i="6"/>
  <c r="HS9" i="6"/>
  <c r="X7" i="7"/>
  <c r="JN9" i="6"/>
  <c r="JO9" i="6"/>
  <c r="F8" i="7"/>
  <c r="BF10" i="6"/>
  <c r="BG10" i="6"/>
  <c r="N8" i="7"/>
  <c r="EX10" i="6"/>
  <c r="EZ10" i="6"/>
  <c r="EY10" i="6"/>
  <c r="B9" i="7"/>
  <c r="J11" i="6"/>
  <c r="L11" i="6"/>
  <c r="K11" i="6"/>
  <c r="G10" i="7"/>
  <c r="BT12" i="6"/>
  <c r="BS12" i="6"/>
  <c r="BR12" i="6"/>
  <c r="I10" i="7"/>
  <c r="CR12" i="6"/>
  <c r="CQ12" i="6"/>
  <c r="CP12" i="6"/>
  <c r="Q10" i="7"/>
  <c r="GJ12" i="6"/>
  <c r="GI12" i="6"/>
  <c r="GH12" i="6"/>
  <c r="E11" i="7"/>
  <c r="AV13" i="6"/>
  <c r="AU13" i="6"/>
  <c r="AT13" i="6"/>
  <c r="O11" i="7"/>
  <c r="FL13" i="6"/>
  <c r="FK13" i="6"/>
  <c r="FJ13" i="6"/>
  <c r="W11" i="7"/>
  <c r="JD13" i="6"/>
  <c r="JC13" i="6"/>
  <c r="JB13" i="6"/>
  <c r="C12" i="7"/>
  <c r="X14" i="6"/>
  <c r="W14" i="6"/>
  <c r="V14" i="6"/>
  <c r="M12" i="7"/>
  <c r="EN14" i="6"/>
  <c r="EM14" i="6"/>
  <c r="EL14" i="6"/>
  <c r="N13" i="7"/>
  <c r="EY15" i="6"/>
  <c r="EZ15" i="6"/>
  <c r="EX15" i="6"/>
  <c r="R13" i="7"/>
  <c r="GU15" i="6"/>
  <c r="GV15" i="6"/>
  <c r="GT15" i="6"/>
  <c r="V13" i="7"/>
  <c r="IQ15" i="6"/>
  <c r="IR15" i="6"/>
  <c r="IP15" i="6"/>
  <c r="B14" i="7"/>
  <c r="K16" i="6"/>
  <c r="J16" i="6"/>
  <c r="L16" i="6"/>
  <c r="F15" i="7"/>
  <c r="BG17" i="6"/>
  <c r="BF17" i="6"/>
  <c r="BH17" i="6"/>
  <c r="T16" i="7"/>
  <c r="HS18" i="6"/>
  <c r="HR18" i="6"/>
  <c r="HT18" i="6"/>
  <c r="D17" i="7"/>
  <c r="AI19" i="6"/>
  <c r="AJ19" i="6"/>
  <c r="L17" i="7"/>
  <c r="EA19" i="6"/>
  <c r="DZ19" i="6"/>
  <c r="EB19" i="6"/>
  <c r="D18" i="7"/>
  <c r="AI20" i="6"/>
  <c r="AJ20" i="6"/>
  <c r="P18" i="7"/>
  <c r="FW20" i="6"/>
  <c r="FV20" i="6"/>
  <c r="FX20" i="6"/>
  <c r="D2" i="7"/>
  <c r="B4" i="7"/>
  <c r="J6" i="6"/>
  <c r="D4" i="7"/>
  <c r="F4" i="7"/>
  <c r="BF6" i="6"/>
  <c r="B5" i="7"/>
  <c r="J7" i="6"/>
  <c r="D5" i="7"/>
  <c r="F5" i="7"/>
  <c r="BF7" i="6"/>
  <c r="D6" i="7"/>
  <c r="AI8" i="6"/>
  <c r="J6" i="7"/>
  <c r="DB8" i="6"/>
  <c r="DC8" i="6"/>
  <c r="R6" i="7"/>
  <c r="GT8" i="6"/>
  <c r="GU8" i="6"/>
  <c r="D7" i="7"/>
  <c r="AI9" i="6"/>
  <c r="J7" i="7"/>
  <c r="DB9" i="6"/>
  <c r="DC9" i="6"/>
  <c r="R7" i="7"/>
  <c r="GT9" i="6"/>
  <c r="GU9" i="6"/>
  <c r="D8" i="7"/>
  <c r="AI10" i="6"/>
  <c r="J8" i="7"/>
  <c r="DB10" i="6"/>
  <c r="DD10" i="6"/>
  <c r="DC10" i="6"/>
  <c r="T8" i="7"/>
  <c r="HR10" i="6"/>
  <c r="HT10" i="6"/>
  <c r="HS10" i="6"/>
  <c r="D9" i="7"/>
  <c r="AE9" i="7" s="1"/>
  <c r="AJ11" i="6"/>
  <c r="AI11" i="6"/>
  <c r="L9" i="7"/>
  <c r="DZ11" i="6"/>
  <c r="EB11" i="6"/>
  <c r="EA11" i="6"/>
  <c r="P9" i="7"/>
  <c r="FV11" i="6"/>
  <c r="FX11" i="6"/>
  <c r="FW11" i="6"/>
  <c r="V9" i="7"/>
  <c r="IP11" i="6"/>
  <c r="IR11" i="6"/>
  <c r="IQ11" i="6"/>
  <c r="X9" i="7"/>
  <c r="JN11" i="6"/>
  <c r="JP11" i="6"/>
  <c r="JO11" i="6"/>
  <c r="K10" i="7"/>
  <c r="DP12" i="6"/>
  <c r="DO12" i="6"/>
  <c r="DN12" i="6"/>
  <c r="S10" i="7"/>
  <c r="HH12" i="6"/>
  <c r="HG12" i="6"/>
  <c r="HF12" i="6"/>
  <c r="G11" i="7"/>
  <c r="BT13" i="6"/>
  <c r="BS13" i="6"/>
  <c r="BR13" i="6"/>
  <c r="I11" i="7"/>
  <c r="CR13" i="6"/>
  <c r="CQ13" i="6"/>
  <c r="CP13" i="6"/>
  <c r="Q11" i="7"/>
  <c r="GJ13" i="6"/>
  <c r="GI13" i="6"/>
  <c r="GH13" i="6"/>
  <c r="E12" i="7"/>
  <c r="AV14" i="6"/>
  <c r="AU14" i="6"/>
  <c r="AT14" i="6"/>
  <c r="O12" i="7"/>
  <c r="FL14" i="6"/>
  <c r="FK14" i="6"/>
  <c r="FJ14" i="6"/>
  <c r="J13" i="7"/>
  <c r="DC15" i="6"/>
  <c r="DD15" i="6"/>
  <c r="DB15" i="6"/>
  <c r="F14" i="7"/>
  <c r="BG16" i="6"/>
  <c r="BF16" i="6"/>
  <c r="BH16" i="6"/>
  <c r="N15" i="7"/>
  <c r="EY17" i="6"/>
  <c r="EZ17" i="6"/>
  <c r="EX17" i="6"/>
  <c r="R15" i="7"/>
  <c r="GU17" i="6"/>
  <c r="GV17" i="6"/>
  <c r="GT17" i="6"/>
  <c r="V15" i="7"/>
  <c r="IQ17" i="6"/>
  <c r="IR17" i="6"/>
  <c r="IP17" i="6"/>
  <c r="B16" i="7"/>
  <c r="K18" i="6"/>
  <c r="J18" i="6"/>
  <c r="L18" i="6"/>
  <c r="L18" i="7"/>
  <c r="EA20" i="6"/>
  <c r="DZ20" i="6"/>
  <c r="EB20" i="6"/>
  <c r="D3" i="7"/>
  <c r="J19" i="2"/>
  <c r="J35" i="2"/>
  <c r="J38" i="2"/>
  <c r="E2" i="7"/>
  <c r="AV4" i="6"/>
  <c r="AU4" i="6"/>
  <c r="X2" i="7"/>
  <c r="JN4" i="6"/>
  <c r="K5" i="6"/>
  <c r="AI5" i="6"/>
  <c r="G3" i="7"/>
  <c r="BT5" i="6"/>
  <c r="BS5" i="6"/>
  <c r="X3" i="7"/>
  <c r="JN5" i="6"/>
  <c r="Y3" i="7"/>
  <c r="KB5" i="6"/>
  <c r="KA5" i="6"/>
  <c r="K6" i="6"/>
  <c r="C4" i="7"/>
  <c r="X6" i="6"/>
  <c r="W6" i="6"/>
  <c r="AI6" i="6"/>
  <c r="E4" i="7"/>
  <c r="AV6" i="6"/>
  <c r="AU6" i="6"/>
  <c r="BG6" i="6"/>
  <c r="G4" i="7"/>
  <c r="BT6" i="6"/>
  <c r="BS6" i="6"/>
  <c r="X4" i="7"/>
  <c r="JN6" i="6"/>
  <c r="Y4" i="7"/>
  <c r="KB6" i="6"/>
  <c r="KA6" i="6"/>
  <c r="K7" i="6"/>
  <c r="C5" i="7"/>
  <c r="X7" i="6"/>
  <c r="W7" i="6"/>
  <c r="AI7" i="6"/>
  <c r="E5" i="7"/>
  <c r="AV7" i="6"/>
  <c r="AU7" i="6"/>
  <c r="BG7" i="6"/>
  <c r="G5" i="7"/>
  <c r="BT7" i="6"/>
  <c r="BS7" i="6"/>
  <c r="B6" i="7"/>
  <c r="J8" i="6"/>
  <c r="K8" i="6"/>
  <c r="AJ8" i="6"/>
  <c r="DD8" i="6"/>
  <c r="P6" i="7"/>
  <c r="FV8" i="6"/>
  <c r="FW8" i="6"/>
  <c r="GV8" i="6"/>
  <c r="B7" i="7"/>
  <c r="J9" i="6"/>
  <c r="K9" i="6"/>
  <c r="AJ9" i="6"/>
  <c r="DD9" i="6"/>
  <c r="P7" i="7"/>
  <c r="FV9" i="6"/>
  <c r="FW9" i="6"/>
  <c r="GV9" i="6"/>
  <c r="B8" i="7"/>
  <c r="J10" i="6"/>
  <c r="K10" i="6"/>
  <c r="AJ10" i="6"/>
  <c r="L8" i="7"/>
  <c r="DZ10" i="6"/>
  <c r="EB10" i="6"/>
  <c r="EA10" i="6"/>
  <c r="P8" i="7"/>
  <c r="FV10" i="6"/>
  <c r="FX10" i="6"/>
  <c r="FW10" i="6"/>
  <c r="R9" i="7"/>
  <c r="GT11" i="6"/>
  <c r="GV11" i="6"/>
  <c r="GU11" i="6"/>
  <c r="B10" i="7"/>
  <c r="J12" i="6"/>
  <c r="L12" i="6"/>
  <c r="K12" i="6"/>
  <c r="M10" i="7"/>
  <c r="EN12" i="6"/>
  <c r="EM12" i="6"/>
  <c r="EL12" i="6"/>
  <c r="U10" i="7"/>
  <c r="IF12" i="6"/>
  <c r="IE12" i="6"/>
  <c r="ID12" i="6"/>
  <c r="Y10" i="7"/>
  <c r="KB12" i="6"/>
  <c r="KA12" i="6"/>
  <c r="JZ12" i="6"/>
  <c r="K11" i="7"/>
  <c r="DP13" i="6"/>
  <c r="DO13" i="6"/>
  <c r="DN13" i="6"/>
  <c r="S11" i="7"/>
  <c r="HH13" i="6"/>
  <c r="HG13" i="6"/>
  <c r="HF13" i="6"/>
  <c r="G12" i="7"/>
  <c r="BT14" i="6"/>
  <c r="BS14" i="6"/>
  <c r="BR14" i="6"/>
  <c r="I12" i="7"/>
  <c r="CR14" i="6"/>
  <c r="CQ14" i="6"/>
  <c r="CP14" i="6"/>
  <c r="Q12" i="7"/>
  <c r="GJ14" i="6"/>
  <c r="GI14" i="6"/>
  <c r="GH14" i="6"/>
  <c r="V12" i="7"/>
  <c r="IQ14" i="6"/>
  <c r="IR14" i="6"/>
  <c r="IP14" i="6"/>
  <c r="B13" i="7"/>
  <c r="K15" i="6"/>
  <c r="J15" i="6"/>
  <c r="L15" i="6"/>
  <c r="J15" i="7"/>
  <c r="DC17" i="6"/>
  <c r="DD17" i="6"/>
  <c r="DB17" i="6"/>
  <c r="X16" i="7"/>
  <c r="JO18" i="6"/>
  <c r="JP18" i="6"/>
  <c r="JN18" i="6"/>
  <c r="B2" i="7"/>
  <c r="J45" i="6"/>
  <c r="J4" i="6"/>
  <c r="J22" i="6"/>
  <c r="J20" i="6"/>
  <c r="J21" i="6"/>
  <c r="F2" i="7"/>
  <c r="BF4" i="6"/>
  <c r="J6" i="2"/>
  <c r="J14" i="2"/>
  <c r="J15" i="2"/>
  <c r="J30" i="2"/>
  <c r="J31" i="2"/>
  <c r="J34" i="2"/>
  <c r="J47" i="2"/>
  <c r="C2" i="7"/>
  <c r="V35" i="6"/>
  <c r="V38" i="6"/>
  <c r="V34" i="6"/>
  <c r="V37" i="6"/>
  <c r="V24" i="6"/>
  <c r="V23" i="6"/>
  <c r="X4" i="6"/>
  <c r="V19" i="6"/>
  <c r="W4" i="6"/>
  <c r="V11" i="6"/>
  <c r="V22" i="6"/>
  <c r="V21" i="6"/>
  <c r="V12" i="6"/>
  <c r="AI4" i="6"/>
  <c r="BG4" i="6"/>
  <c r="G2" i="7"/>
  <c r="BT4" i="6"/>
  <c r="BS4" i="6"/>
  <c r="Y2" i="7"/>
  <c r="KB4" i="6"/>
  <c r="KA4" i="6"/>
  <c r="C3" i="7"/>
  <c r="X5" i="6"/>
  <c r="W5" i="6"/>
  <c r="E3" i="7"/>
  <c r="AV5" i="6"/>
  <c r="AU5" i="6"/>
  <c r="BG5" i="6"/>
  <c r="L6" i="2"/>
  <c r="L10" i="2"/>
  <c r="L14" i="2"/>
  <c r="L18" i="2"/>
  <c r="L22" i="2"/>
  <c r="L26" i="2"/>
  <c r="L30" i="2"/>
  <c r="L34" i="2"/>
  <c r="L38" i="2"/>
  <c r="L42" i="2"/>
  <c r="L46" i="2"/>
  <c r="L50" i="2"/>
  <c r="L4" i="6"/>
  <c r="V4" i="6"/>
  <c r="AJ4" i="6"/>
  <c r="AT4" i="6"/>
  <c r="BH4" i="6"/>
  <c r="BR4" i="6"/>
  <c r="J2" i="7"/>
  <c r="DB4" i="6"/>
  <c r="L2" i="7"/>
  <c r="DZ4" i="6"/>
  <c r="N2" i="7"/>
  <c r="EX4" i="6"/>
  <c r="P2" i="7"/>
  <c r="FV4" i="6"/>
  <c r="R2" i="7"/>
  <c r="GT4" i="6"/>
  <c r="T2" i="7"/>
  <c r="HR4" i="6"/>
  <c r="V2" i="7"/>
  <c r="IP4" i="6"/>
  <c r="W2" i="7"/>
  <c r="JD4" i="6"/>
  <c r="JC4" i="6"/>
  <c r="JO4" i="6"/>
  <c r="JZ4" i="6"/>
  <c r="L5" i="6"/>
  <c r="V5" i="6"/>
  <c r="AJ5" i="6"/>
  <c r="AT5" i="6"/>
  <c r="BH5" i="6"/>
  <c r="BR5" i="6"/>
  <c r="J3" i="7"/>
  <c r="DB5" i="6"/>
  <c r="L3" i="7"/>
  <c r="DZ5" i="6"/>
  <c r="N3" i="7"/>
  <c r="EX5" i="6"/>
  <c r="P3" i="7"/>
  <c r="FV5" i="6"/>
  <c r="R3" i="7"/>
  <c r="GT5" i="6"/>
  <c r="T3" i="7"/>
  <c r="HR5" i="6"/>
  <c r="V3" i="7"/>
  <c r="IP5" i="6"/>
  <c r="W3" i="7"/>
  <c r="JD5" i="6"/>
  <c r="JC5" i="6"/>
  <c r="JO5" i="6"/>
  <c r="JZ5" i="6"/>
  <c r="L6" i="6"/>
  <c r="V6" i="6"/>
  <c r="AJ6" i="6"/>
  <c r="AT6" i="6"/>
  <c r="BH6" i="6"/>
  <c r="BR6" i="6"/>
  <c r="J4" i="7"/>
  <c r="DB6" i="6"/>
  <c r="L4" i="7"/>
  <c r="DZ6" i="6"/>
  <c r="N4" i="7"/>
  <c r="EX6" i="6"/>
  <c r="P4" i="7"/>
  <c r="FV6" i="6"/>
  <c r="R4" i="7"/>
  <c r="GT6" i="6"/>
  <c r="T4" i="7"/>
  <c r="HR6" i="6"/>
  <c r="V4" i="7"/>
  <c r="IP6" i="6"/>
  <c r="W4" i="7"/>
  <c r="JD6" i="6"/>
  <c r="JC6" i="6"/>
  <c r="JO6" i="6"/>
  <c r="JZ6" i="6"/>
  <c r="L7" i="6"/>
  <c r="V7" i="6"/>
  <c r="AJ7" i="6"/>
  <c r="AT7" i="6"/>
  <c r="BH7" i="6"/>
  <c r="BR7" i="6"/>
  <c r="J5" i="7"/>
  <c r="DB7" i="6"/>
  <c r="L5" i="7"/>
  <c r="DZ7" i="6"/>
  <c r="N5" i="7"/>
  <c r="EX7" i="6"/>
  <c r="P5" i="7"/>
  <c r="FV7" i="6"/>
  <c r="R5" i="7"/>
  <c r="GT7" i="6"/>
  <c r="T5" i="7"/>
  <c r="HR7" i="6"/>
  <c r="V5" i="7"/>
  <c r="IP7" i="6"/>
  <c r="IQ7" i="6"/>
  <c r="L8" i="6"/>
  <c r="V8" i="6"/>
  <c r="N6" i="7"/>
  <c r="EX8" i="6"/>
  <c r="EY8" i="6"/>
  <c r="FX8" i="6"/>
  <c r="GH8" i="6"/>
  <c r="V6" i="7"/>
  <c r="IP8" i="6"/>
  <c r="IQ8" i="6"/>
  <c r="L9" i="6"/>
  <c r="V9" i="6"/>
  <c r="N7" i="7"/>
  <c r="EX9" i="6"/>
  <c r="EY9" i="6"/>
  <c r="FX9" i="6"/>
  <c r="GH9" i="6"/>
  <c r="V7" i="7"/>
  <c r="IP9" i="6"/>
  <c r="IQ9" i="6"/>
  <c r="L10" i="6"/>
  <c r="V10" i="6"/>
  <c r="R8" i="7"/>
  <c r="GT10" i="6"/>
  <c r="GV10" i="6"/>
  <c r="GU10" i="6"/>
  <c r="V8" i="7"/>
  <c r="IP10" i="6"/>
  <c r="IR10" i="6"/>
  <c r="IQ10" i="6"/>
  <c r="X8" i="7"/>
  <c r="JN10" i="6"/>
  <c r="JP10" i="6"/>
  <c r="JO10" i="6"/>
  <c r="F9" i="7"/>
  <c r="BF11" i="6"/>
  <c r="BH11" i="6"/>
  <c r="BG11" i="6"/>
  <c r="J9" i="7"/>
  <c r="DB11" i="6"/>
  <c r="DD11" i="6"/>
  <c r="DC11" i="6"/>
  <c r="N9" i="7"/>
  <c r="EX11" i="6"/>
  <c r="EZ11" i="6"/>
  <c r="EY11" i="6"/>
  <c r="T9" i="7"/>
  <c r="HR11" i="6"/>
  <c r="HT11" i="6"/>
  <c r="HS11" i="6"/>
  <c r="E10" i="7"/>
  <c r="AV12" i="6"/>
  <c r="AU12" i="6"/>
  <c r="AT12" i="6"/>
  <c r="O10" i="7"/>
  <c r="FL12" i="6"/>
  <c r="FK12" i="6"/>
  <c r="FJ12" i="6"/>
  <c r="W10" i="7"/>
  <c r="JD12" i="6"/>
  <c r="JC12" i="6"/>
  <c r="JB12" i="6"/>
  <c r="C11" i="7"/>
  <c r="X13" i="6"/>
  <c r="W13" i="6"/>
  <c r="V13" i="6"/>
  <c r="M11" i="7"/>
  <c r="EN13" i="6"/>
  <c r="EM13" i="6"/>
  <c r="EL13" i="6"/>
  <c r="U11" i="7"/>
  <c r="IF13" i="6"/>
  <c r="IE13" i="6"/>
  <c r="ID13" i="6"/>
  <c r="Y11" i="7"/>
  <c r="KB13" i="6"/>
  <c r="KA13" i="6"/>
  <c r="JZ13" i="6"/>
  <c r="K12" i="7"/>
  <c r="DP14" i="6"/>
  <c r="DO14" i="6"/>
  <c r="DN14" i="6"/>
  <c r="S12" i="7"/>
  <c r="HH14" i="6"/>
  <c r="HG14" i="6"/>
  <c r="HF14" i="6"/>
  <c r="F13" i="7"/>
  <c r="BG15" i="6"/>
  <c r="BF15" i="6"/>
  <c r="BH15" i="6"/>
  <c r="J14" i="7"/>
  <c r="DC16" i="6"/>
  <c r="DD16" i="6"/>
  <c r="DB16" i="6"/>
  <c r="N14" i="7"/>
  <c r="EY16" i="6"/>
  <c r="EZ16" i="6"/>
  <c r="EX16" i="6"/>
  <c r="R14" i="7"/>
  <c r="GU16" i="6"/>
  <c r="GV16" i="6"/>
  <c r="GT16" i="6"/>
  <c r="V14" i="7"/>
  <c r="IQ16" i="6"/>
  <c r="IR16" i="6"/>
  <c r="IP16" i="6"/>
  <c r="B15" i="7"/>
  <c r="K17" i="6"/>
  <c r="J17" i="6"/>
  <c r="L17" i="6"/>
  <c r="AJ12" i="6"/>
  <c r="BH12" i="6"/>
  <c r="DD12" i="6"/>
  <c r="EB12" i="6"/>
  <c r="EZ12" i="6"/>
  <c r="FX12" i="6"/>
  <c r="GV12" i="6"/>
  <c r="HT12" i="6"/>
  <c r="IR12" i="6"/>
  <c r="JP12" i="6"/>
  <c r="L13" i="6"/>
  <c r="AJ13" i="6"/>
  <c r="BH13" i="6"/>
  <c r="DD13" i="6"/>
  <c r="EB13" i="6"/>
  <c r="EZ13" i="6"/>
  <c r="FX13" i="6"/>
  <c r="GV13" i="6"/>
  <c r="HT13" i="6"/>
  <c r="IR13" i="6"/>
  <c r="JP13" i="6"/>
  <c r="L14" i="6"/>
  <c r="AJ14" i="6"/>
  <c r="BH14" i="6"/>
  <c r="DD14" i="6"/>
  <c r="EB14" i="6"/>
  <c r="EZ14" i="6"/>
  <c r="FX14" i="6"/>
  <c r="GV14" i="6"/>
  <c r="IF14" i="6"/>
  <c r="X12" i="7"/>
  <c r="JO14" i="6"/>
  <c r="D13" i="7"/>
  <c r="AI15" i="6"/>
  <c r="CR15" i="6"/>
  <c r="EN15" i="6"/>
  <c r="GJ15" i="6"/>
  <c r="IF15" i="6"/>
  <c r="X13" i="7"/>
  <c r="JO15" i="6"/>
  <c r="D14" i="7"/>
  <c r="AI16" i="6"/>
  <c r="CR16" i="6"/>
  <c r="EN16" i="6"/>
  <c r="GJ16" i="6"/>
  <c r="IF16" i="6"/>
  <c r="X14" i="7"/>
  <c r="JO16" i="6"/>
  <c r="D15" i="7"/>
  <c r="Z15" i="7" s="1"/>
  <c r="AI17" i="6"/>
  <c r="CR17" i="6"/>
  <c r="EN17" i="6"/>
  <c r="GJ17" i="6"/>
  <c r="IF17" i="6"/>
  <c r="X15" i="7"/>
  <c r="JO17" i="6"/>
  <c r="D16" i="7"/>
  <c r="AI18" i="6"/>
  <c r="AJ18" i="6"/>
  <c r="L16" i="7"/>
  <c r="EA18" i="6"/>
  <c r="DZ18" i="6"/>
  <c r="N16" i="7"/>
  <c r="EY18" i="6"/>
  <c r="O16" i="7"/>
  <c r="FL18" i="6"/>
  <c r="Q16" i="7"/>
  <c r="GH18" i="6"/>
  <c r="P17" i="7"/>
  <c r="FW19" i="6"/>
  <c r="FV19" i="6"/>
  <c r="R17" i="7"/>
  <c r="GU19" i="6"/>
  <c r="S17" i="7"/>
  <c r="HH19" i="6"/>
  <c r="U17" i="7"/>
  <c r="ID19" i="6"/>
  <c r="Y17" i="7"/>
  <c r="KA19" i="6"/>
  <c r="B18" i="7"/>
  <c r="K20" i="6"/>
  <c r="I18" i="7"/>
  <c r="CP20" i="6"/>
  <c r="T18" i="7"/>
  <c r="HS20" i="6"/>
  <c r="HR20" i="6"/>
  <c r="V18" i="7"/>
  <c r="IQ20" i="6"/>
  <c r="W18" i="7"/>
  <c r="JD20" i="6"/>
  <c r="X18" i="7"/>
  <c r="JO20" i="6"/>
  <c r="JP20" i="6"/>
  <c r="E19" i="7"/>
  <c r="AU21" i="6"/>
  <c r="F19" i="7"/>
  <c r="BG21" i="6"/>
  <c r="BH21" i="6"/>
  <c r="M19" i="7"/>
  <c r="EL21" i="6"/>
  <c r="EN21" i="6"/>
  <c r="N19" i="7"/>
  <c r="EY21" i="6"/>
  <c r="EX21" i="6"/>
  <c r="U19" i="7"/>
  <c r="ID21" i="6"/>
  <c r="IF21" i="6"/>
  <c r="V19" i="7"/>
  <c r="IQ21" i="6"/>
  <c r="IP21" i="6"/>
  <c r="B20" i="7"/>
  <c r="K22" i="6"/>
  <c r="L22" i="6"/>
  <c r="D20" i="7"/>
  <c r="AI22" i="6"/>
  <c r="AJ22" i="6"/>
  <c r="K20" i="7"/>
  <c r="DP22" i="6"/>
  <c r="DN22" i="6"/>
  <c r="L20" i="7"/>
  <c r="EA22" i="6"/>
  <c r="DZ22" i="6"/>
  <c r="S20" i="7"/>
  <c r="HH22" i="6"/>
  <c r="HF22" i="6"/>
  <c r="T20" i="7"/>
  <c r="HS22" i="6"/>
  <c r="HR22" i="6"/>
  <c r="X20" i="7"/>
  <c r="JO22" i="6"/>
  <c r="JP22" i="6"/>
  <c r="I21" i="7"/>
  <c r="CQ23" i="6"/>
  <c r="CP23" i="6"/>
  <c r="CR23" i="6"/>
  <c r="M21" i="7"/>
  <c r="EM23" i="6"/>
  <c r="EL23" i="6"/>
  <c r="EN23" i="6"/>
  <c r="Q21" i="7"/>
  <c r="GI23" i="6"/>
  <c r="GH23" i="6"/>
  <c r="GJ23" i="6"/>
  <c r="U21" i="7"/>
  <c r="IE23" i="6"/>
  <c r="ID23" i="6"/>
  <c r="IF23" i="6"/>
  <c r="X21" i="7"/>
  <c r="JO23" i="6"/>
  <c r="JP23" i="6"/>
  <c r="F22" i="7"/>
  <c r="BG24" i="6"/>
  <c r="BF24" i="6"/>
  <c r="BH24" i="6"/>
  <c r="X22" i="7"/>
  <c r="JO24" i="6"/>
  <c r="JN24" i="6"/>
  <c r="JP24" i="6"/>
  <c r="V23" i="7"/>
  <c r="IQ25" i="6"/>
  <c r="IR25" i="6"/>
  <c r="IP25" i="6"/>
  <c r="R24" i="7"/>
  <c r="GU26" i="6"/>
  <c r="GV26" i="6"/>
  <c r="GT26" i="6"/>
  <c r="T12" i="7"/>
  <c r="HS14" i="6"/>
  <c r="L13" i="7"/>
  <c r="EA15" i="6"/>
  <c r="P13" i="7"/>
  <c r="FW15" i="6"/>
  <c r="T13" i="7"/>
  <c r="HS15" i="6"/>
  <c r="L14" i="7"/>
  <c r="EA16" i="6"/>
  <c r="P14" i="7"/>
  <c r="FW16" i="6"/>
  <c r="T14" i="7"/>
  <c r="HS16" i="6"/>
  <c r="L15" i="7"/>
  <c r="EA17" i="6"/>
  <c r="P15" i="7"/>
  <c r="FW17" i="6"/>
  <c r="T15" i="7"/>
  <c r="HS17" i="6"/>
  <c r="P16" i="7"/>
  <c r="FW18" i="6"/>
  <c r="FV18" i="6"/>
  <c r="R16" i="7"/>
  <c r="GU18" i="6"/>
  <c r="S16" i="7"/>
  <c r="HH18" i="6"/>
  <c r="U16" i="7"/>
  <c r="ID18" i="6"/>
  <c r="Y16" i="7"/>
  <c r="KA18" i="6"/>
  <c r="B17" i="7"/>
  <c r="K19" i="6"/>
  <c r="I17" i="7"/>
  <c r="CP19" i="6"/>
  <c r="T17" i="7"/>
  <c r="HS19" i="6"/>
  <c r="HR19" i="6"/>
  <c r="V17" i="7"/>
  <c r="IQ19" i="6"/>
  <c r="W17" i="7"/>
  <c r="JD19" i="6"/>
  <c r="X17" i="7"/>
  <c r="JO19" i="6"/>
  <c r="JP19" i="6"/>
  <c r="E18" i="7"/>
  <c r="AU20" i="6"/>
  <c r="F18" i="7"/>
  <c r="BG20" i="6"/>
  <c r="J18" i="7"/>
  <c r="DC20" i="6"/>
  <c r="K18" i="7"/>
  <c r="DP20" i="6"/>
  <c r="M18" i="7"/>
  <c r="EL20" i="6"/>
  <c r="D19" i="7"/>
  <c r="AI21" i="6"/>
  <c r="AJ21" i="6"/>
  <c r="K19" i="7"/>
  <c r="DP21" i="6"/>
  <c r="DN21" i="6"/>
  <c r="L19" i="7"/>
  <c r="EA21" i="6"/>
  <c r="DZ21" i="6"/>
  <c r="S19" i="7"/>
  <c r="HH21" i="6"/>
  <c r="HF21" i="6"/>
  <c r="T19" i="7"/>
  <c r="HS21" i="6"/>
  <c r="HR21" i="6"/>
  <c r="X19" i="7"/>
  <c r="JO21" i="6"/>
  <c r="JP21" i="6"/>
  <c r="I20" i="7"/>
  <c r="CP22" i="6"/>
  <c r="CR22" i="6"/>
  <c r="J20" i="7"/>
  <c r="DC22" i="6"/>
  <c r="DB22" i="6"/>
  <c r="Q20" i="7"/>
  <c r="GH22" i="6"/>
  <c r="GJ22" i="6"/>
  <c r="R20" i="7"/>
  <c r="GU22" i="6"/>
  <c r="GT22" i="6"/>
  <c r="D22" i="7"/>
  <c r="AI24" i="6"/>
  <c r="AJ24" i="6"/>
  <c r="I22" i="7"/>
  <c r="CQ24" i="6"/>
  <c r="CP24" i="6"/>
  <c r="CR24" i="6"/>
  <c r="N23" i="7"/>
  <c r="EY25" i="6"/>
  <c r="EZ25" i="6"/>
  <c r="EX25" i="6"/>
  <c r="JC7" i="6"/>
  <c r="KA7" i="6"/>
  <c r="W8" i="6"/>
  <c r="AU8" i="6"/>
  <c r="BS8" i="6"/>
  <c r="CQ8" i="6"/>
  <c r="DO8" i="6"/>
  <c r="EM8" i="6"/>
  <c r="FK8" i="6"/>
  <c r="GI8" i="6"/>
  <c r="HG8" i="6"/>
  <c r="IE8" i="6"/>
  <c r="JC8" i="6"/>
  <c r="KA8" i="6"/>
  <c r="W9" i="6"/>
  <c r="AU9" i="6"/>
  <c r="BS9" i="6"/>
  <c r="CQ9" i="6"/>
  <c r="DO9" i="6"/>
  <c r="EM9" i="6"/>
  <c r="FK9" i="6"/>
  <c r="GI9" i="6"/>
  <c r="HG9" i="6"/>
  <c r="IE9" i="6"/>
  <c r="JC9" i="6"/>
  <c r="KA9" i="6"/>
  <c r="W10" i="6"/>
  <c r="AU10" i="6"/>
  <c r="BS10" i="6"/>
  <c r="CQ10" i="6"/>
  <c r="DO10" i="6"/>
  <c r="EM10" i="6"/>
  <c r="FK10" i="6"/>
  <c r="GI10" i="6"/>
  <c r="HG10" i="6"/>
  <c r="IE10" i="6"/>
  <c r="JC10" i="6"/>
  <c r="KA10" i="6"/>
  <c r="W11" i="6"/>
  <c r="AU11" i="6"/>
  <c r="BS11" i="6"/>
  <c r="CQ11" i="6"/>
  <c r="DO11" i="6"/>
  <c r="EM11" i="6"/>
  <c r="FK11" i="6"/>
  <c r="GI11" i="6"/>
  <c r="HG11" i="6"/>
  <c r="IE11" i="6"/>
  <c r="JC11" i="6"/>
  <c r="KA11" i="6"/>
  <c r="BF12" i="6"/>
  <c r="DB12" i="6"/>
  <c r="DZ12" i="6"/>
  <c r="EX12" i="6"/>
  <c r="FV12" i="6"/>
  <c r="GT12" i="6"/>
  <c r="HR12" i="6"/>
  <c r="IP12" i="6"/>
  <c r="JN12" i="6"/>
  <c r="J13" i="6"/>
  <c r="BF13" i="6"/>
  <c r="DB13" i="6"/>
  <c r="DZ13" i="6"/>
  <c r="EX13" i="6"/>
  <c r="FV13" i="6"/>
  <c r="GT13" i="6"/>
  <c r="HR13" i="6"/>
  <c r="IP13" i="6"/>
  <c r="JN13" i="6"/>
  <c r="J14" i="6"/>
  <c r="BF14" i="6"/>
  <c r="DB14" i="6"/>
  <c r="DZ14" i="6"/>
  <c r="EX14" i="6"/>
  <c r="FV14" i="6"/>
  <c r="GT14" i="6"/>
  <c r="HR14" i="6"/>
  <c r="ID14" i="6"/>
  <c r="JP14" i="6"/>
  <c r="KA14" i="6"/>
  <c r="AJ15" i="6"/>
  <c r="AU15" i="6"/>
  <c r="CP15" i="6"/>
  <c r="DZ15" i="6"/>
  <c r="EL15" i="6"/>
  <c r="FV15" i="6"/>
  <c r="GH15" i="6"/>
  <c r="HR15" i="6"/>
  <c r="ID15" i="6"/>
  <c r="JP15" i="6"/>
  <c r="KA15" i="6"/>
  <c r="AJ16" i="6"/>
  <c r="AU16" i="6"/>
  <c r="CP16" i="6"/>
  <c r="DZ16" i="6"/>
  <c r="EL16" i="6"/>
  <c r="FV16" i="6"/>
  <c r="GH16" i="6"/>
  <c r="ID16" i="6"/>
  <c r="JP16" i="6"/>
  <c r="KA16" i="6"/>
  <c r="AJ17" i="6"/>
  <c r="AU17" i="6"/>
  <c r="CP17" i="6"/>
  <c r="DZ17" i="6"/>
  <c r="EL17" i="6"/>
  <c r="FV17" i="6"/>
  <c r="GH17" i="6"/>
  <c r="HR17" i="6"/>
  <c r="ID17" i="6"/>
  <c r="JP17" i="6"/>
  <c r="KA17" i="6"/>
  <c r="I16" i="7"/>
  <c r="CP18" i="6"/>
  <c r="EZ18" i="6"/>
  <c r="FK18" i="6"/>
  <c r="FX18" i="6"/>
  <c r="GJ18" i="6"/>
  <c r="GT18" i="6"/>
  <c r="HF18" i="6"/>
  <c r="IE18" i="6"/>
  <c r="V16" i="7"/>
  <c r="IQ18" i="6"/>
  <c r="W16" i="7"/>
  <c r="JD18" i="6"/>
  <c r="JZ18" i="6"/>
  <c r="J19" i="6"/>
  <c r="E17" i="7"/>
  <c r="AU19" i="6"/>
  <c r="F17" i="7"/>
  <c r="BG19" i="6"/>
  <c r="CQ19" i="6"/>
  <c r="J17" i="7"/>
  <c r="DC19" i="6"/>
  <c r="K17" i="7"/>
  <c r="DP19" i="6"/>
  <c r="M17" i="7"/>
  <c r="EL19" i="6"/>
  <c r="GV19" i="6"/>
  <c r="HG19" i="6"/>
  <c r="HT19" i="6"/>
  <c r="IF19" i="6"/>
  <c r="IP19" i="6"/>
  <c r="JB19" i="6"/>
  <c r="JN19" i="6"/>
  <c r="KB19" i="6"/>
  <c r="L20" i="6"/>
  <c r="AT20" i="6"/>
  <c r="BF20" i="6"/>
  <c r="CR20" i="6"/>
  <c r="DB20" i="6"/>
  <c r="DN20" i="6"/>
  <c r="EM20" i="6"/>
  <c r="N18" i="7"/>
  <c r="EY20" i="6"/>
  <c r="O18" i="7"/>
  <c r="FL20" i="6"/>
  <c r="Q18" i="7"/>
  <c r="GH20" i="6"/>
  <c r="IR20" i="6"/>
  <c r="JC20" i="6"/>
  <c r="AV21" i="6"/>
  <c r="I19" i="7"/>
  <c r="CP21" i="6"/>
  <c r="CR21" i="6"/>
  <c r="J19" i="7"/>
  <c r="DC21" i="6"/>
  <c r="DB21" i="6"/>
  <c r="DO21" i="6"/>
  <c r="EB21" i="6"/>
  <c r="Q19" i="7"/>
  <c r="GH21" i="6"/>
  <c r="GJ21" i="6"/>
  <c r="R19" i="7"/>
  <c r="GU21" i="6"/>
  <c r="GT21" i="6"/>
  <c r="HG21" i="6"/>
  <c r="HT21" i="6"/>
  <c r="JN21" i="6"/>
  <c r="CQ22" i="6"/>
  <c r="DD22" i="6"/>
  <c r="O20" i="7"/>
  <c r="FL22" i="6"/>
  <c r="FJ22" i="6"/>
  <c r="P20" i="7"/>
  <c r="FW22" i="6"/>
  <c r="FV22" i="6"/>
  <c r="GI22" i="6"/>
  <c r="GV22" i="6"/>
  <c r="W20" i="7"/>
  <c r="JD22" i="6"/>
  <c r="JB22" i="6"/>
  <c r="F21" i="7"/>
  <c r="BG23" i="6"/>
  <c r="BH23" i="6"/>
  <c r="L21" i="7"/>
  <c r="EA23" i="6"/>
  <c r="EB23" i="6"/>
  <c r="DZ23" i="6"/>
  <c r="P21" i="7"/>
  <c r="FW23" i="6"/>
  <c r="FX23" i="6"/>
  <c r="FV23" i="6"/>
  <c r="T21" i="7"/>
  <c r="HS23" i="6"/>
  <c r="HT23" i="6"/>
  <c r="HR23" i="6"/>
  <c r="D24" i="7"/>
  <c r="AI26" i="6"/>
  <c r="AJ26" i="6"/>
  <c r="J24" i="7"/>
  <c r="DC26" i="6"/>
  <c r="DD26" i="6"/>
  <c r="DB26" i="6"/>
  <c r="X24" i="7"/>
  <c r="JO26" i="6"/>
  <c r="JN26" i="6"/>
  <c r="JP26" i="6"/>
  <c r="JD7" i="6"/>
  <c r="KB7" i="6"/>
  <c r="X8" i="6"/>
  <c r="AV8" i="6"/>
  <c r="BT8" i="6"/>
  <c r="CR8" i="6"/>
  <c r="DP8" i="6"/>
  <c r="EN8" i="6"/>
  <c r="FL8" i="6"/>
  <c r="GJ8" i="6"/>
  <c r="HH8" i="6"/>
  <c r="IF8" i="6"/>
  <c r="JD8" i="6"/>
  <c r="KB8" i="6"/>
  <c r="X9" i="6"/>
  <c r="AV9" i="6"/>
  <c r="BT9" i="6"/>
  <c r="CR9" i="6"/>
  <c r="DP9" i="6"/>
  <c r="EN9" i="6"/>
  <c r="FL9" i="6"/>
  <c r="GJ9" i="6"/>
  <c r="HH9" i="6"/>
  <c r="IF9" i="6"/>
  <c r="JD9" i="6"/>
  <c r="KB9" i="6"/>
  <c r="X10" i="6"/>
  <c r="AV10" i="6"/>
  <c r="BT10" i="6"/>
  <c r="CR10" i="6"/>
  <c r="DP10" i="6"/>
  <c r="EN10" i="6"/>
  <c r="FL10" i="6"/>
  <c r="GJ10" i="6"/>
  <c r="HH10" i="6"/>
  <c r="IF10" i="6"/>
  <c r="JD10" i="6"/>
  <c r="KB10" i="6"/>
  <c r="X11" i="6"/>
  <c r="AV11" i="6"/>
  <c r="BT11" i="6"/>
  <c r="CR11" i="6"/>
  <c r="DP11" i="6"/>
  <c r="EN11" i="6"/>
  <c r="FL11" i="6"/>
  <c r="GJ11" i="6"/>
  <c r="HH11" i="6"/>
  <c r="IF11" i="6"/>
  <c r="JD11" i="6"/>
  <c r="KB11" i="6"/>
  <c r="AI12" i="6"/>
  <c r="BG12" i="6"/>
  <c r="DC12" i="6"/>
  <c r="EA12" i="6"/>
  <c r="EY12" i="6"/>
  <c r="FW12" i="6"/>
  <c r="GU12" i="6"/>
  <c r="HS12" i="6"/>
  <c r="IQ12" i="6"/>
  <c r="JO12" i="6"/>
  <c r="K13" i="6"/>
  <c r="AI13" i="6"/>
  <c r="BG13" i="6"/>
  <c r="DC13" i="6"/>
  <c r="EA13" i="6"/>
  <c r="EY13" i="6"/>
  <c r="FW13" i="6"/>
  <c r="GU13" i="6"/>
  <c r="HS13" i="6"/>
  <c r="IQ13" i="6"/>
  <c r="JO13" i="6"/>
  <c r="K14" i="6"/>
  <c r="AI14" i="6"/>
  <c r="BG14" i="6"/>
  <c r="DC14" i="6"/>
  <c r="EA14" i="6"/>
  <c r="EY14" i="6"/>
  <c r="FW14" i="6"/>
  <c r="GU14" i="6"/>
  <c r="HT14" i="6"/>
  <c r="IE14" i="6"/>
  <c r="KB14" i="6"/>
  <c r="V15" i="6"/>
  <c r="AV15" i="6"/>
  <c r="BR15" i="6"/>
  <c r="CQ15" i="6"/>
  <c r="EB15" i="6"/>
  <c r="EM15" i="6"/>
  <c r="FX15" i="6"/>
  <c r="GI15" i="6"/>
  <c r="HT15" i="6"/>
  <c r="IE15" i="6"/>
  <c r="KB15" i="6"/>
  <c r="V16" i="6"/>
  <c r="AV16" i="6"/>
  <c r="BR16" i="6"/>
  <c r="CQ16" i="6"/>
  <c r="EB16" i="6"/>
  <c r="EM16" i="6"/>
  <c r="FX16" i="6"/>
  <c r="GI16" i="6"/>
  <c r="HT16" i="6"/>
  <c r="IE16" i="6"/>
  <c r="KB16" i="6"/>
  <c r="V17" i="6"/>
  <c r="AV17" i="6"/>
  <c r="BR17" i="6"/>
  <c r="CQ17" i="6"/>
  <c r="EB17" i="6"/>
  <c r="EM17" i="6"/>
  <c r="FX17" i="6"/>
  <c r="GI17" i="6"/>
  <c r="HT17" i="6"/>
  <c r="IE17" i="6"/>
  <c r="KB17" i="6"/>
  <c r="V18" i="6"/>
  <c r="E16" i="7"/>
  <c r="AU18" i="6"/>
  <c r="F16" i="7"/>
  <c r="BG18" i="6"/>
  <c r="CQ18" i="6"/>
  <c r="J16" i="7"/>
  <c r="DC18" i="6"/>
  <c r="K16" i="7"/>
  <c r="DP18" i="6"/>
  <c r="M16" i="7"/>
  <c r="EL18" i="6"/>
  <c r="GV18" i="6"/>
  <c r="HG18" i="6"/>
  <c r="IF18" i="6"/>
  <c r="IP18" i="6"/>
  <c r="JB18" i="6"/>
  <c r="KB18" i="6"/>
  <c r="L19" i="6"/>
  <c r="AT19" i="6"/>
  <c r="BF19" i="6"/>
  <c r="CR19" i="6"/>
  <c r="DB19" i="6"/>
  <c r="DN19" i="6"/>
  <c r="EM19" i="6"/>
  <c r="N17" i="7"/>
  <c r="EY19" i="6"/>
  <c r="O17" i="7"/>
  <c r="FL19" i="6"/>
  <c r="Q17" i="7"/>
  <c r="GH19" i="6"/>
  <c r="IR19" i="6"/>
  <c r="JC19" i="6"/>
  <c r="AV20" i="6"/>
  <c r="BH20" i="6"/>
  <c r="DD20" i="6"/>
  <c r="DO20" i="6"/>
  <c r="EN20" i="6"/>
  <c r="EX20" i="6"/>
  <c r="FJ20" i="6"/>
  <c r="GI20" i="6"/>
  <c r="R18" i="7"/>
  <c r="GU20" i="6"/>
  <c r="S18" i="7"/>
  <c r="HH20" i="6"/>
  <c r="U18" i="7"/>
  <c r="ID20" i="6"/>
  <c r="Y18" i="7"/>
  <c r="KA20" i="6"/>
  <c r="B19" i="7"/>
  <c r="K21" i="6"/>
  <c r="CQ21" i="6"/>
  <c r="DD21" i="6"/>
  <c r="O19" i="7"/>
  <c r="FL21" i="6"/>
  <c r="FJ21" i="6"/>
  <c r="P19" i="7"/>
  <c r="FW21" i="6"/>
  <c r="FV21" i="6"/>
  <c r="GI21" i="6"/>
  <c r="GV21" i="6"/>
  <c r="W19" i="7"/>
  <c r="JD21" i="6"/>
  <c r="JB21" i="6"/>
  <c r="F20" i="7"/>
  <c r="BG22" i="6"/>
  <c r="BH22" i="6"/>
  <c r="M20" i="7"/>
  <c r="EL22" i="6"/>
  <c r="EN22" i="6"/>
  <c r="N20" i="7"/>
  <c r="EY22" i="6"/>
  <c r="EX22" i="6"/>
  <c r="FK22" i="6"/>
  <c r="FX22" i="6"/>
  <c r="U20" i="7"/>
  <c r="ID22" i="6"/>
  <c r="IF22" i="6"/>
  <c r="V20" i="7"/>
  <c r="IQ22" i="6"/>
  <c r="IP22" i="6"/>
  <c r="JC22" i="6"/>
  <c r="B21" i="7"/>
  <c r="K23" i="6"/>
  <c r="L23" i="6"/>
  <c r="D21" i="7"/>
  <c r="AI23" i="6"/>
  <c r="AJ23" i="6"/>
  <c r="BF23" i="6"/>
  <c r="B22" i="7"/>
  <c r="K24" i="6"/>
  <c r="J24" i="6"/>
  <c r="L24" i="6"/>
  <c r="DN24" i="6"/>
  <c r="R22" i="7"/>
  <c r="GU24" i="6"/>
  <c r="GV24" i="6"/>
  <c r="GT24" i="6"/>
  <c r="DN23" i="6"/>
  <c r="FJ23" i="6"/>
  <c r="HF23" i="6"/>
  <c r="JB23" i="6"/>
  <c r="O22" i="7"/>
  <c r="FK24" i="6"/>
  <c r="P22" i="7"/>
  <c r="FW24" i="6"/>
  <c r="S23" i="7"/>
  <c r="HG25" i="6"/>
  <c r="T23" i="7"/>
  <c r="HS25" i="6"/>
  <c r="Y23" i="7"/>
  <c r="JZ25" i="6"/>
  <c r="W24" i="7"/>
  <c r="JC26" i="6"/>
  <c r="C25" i="7"/>
  <c r="V27" i="6"/>
  <c r="W27" i="6"/>
  <c r="E25" i="7"/>
  <c r="AT27" i="6"/>
  <c r="AU27" i="6"/>
  <c r="L25" i="7"/>
  <c r="DZ27" i="6"/>
  <c r="EB27" i="6"/>
  <c r="M25" i="7"/>
  <c r="EM27" i="6"/>
  <c r="EL27" i="6"/>
  <c r="T25" i="7"/>
  <c r="HS27" i="6"/>
  <c r="V25" i="7"/>
  <c r="IP27" i="6"/>
  <c r="IQ27" i="6"/>
  <c r="X25" i="7"/>
  <c r="JN27" i="6"/>
  <c r="JO27" i="6"/>
  <c r="D26" i="7"/>
  <c r="AI28" i="6"/>
  <c r="F26" i="7"/>
  <c r="BF28" i="6"/>
  <c r="BG28" i="6"/>
  <c r="T26" i="7"/>
  <c r="HR28" i="6"/>
  <c r="HS28" i="6"/>
  <c r="V26" i="7"/>
  <c r="IP28" i="6"/>
  <c r="IQ28" i="6"/>
  <c r="X26" i="7"/>
  <c r="JN28" i="6"/>
  <c r="JO28" i="6"/>
  <c r="D27" i="7"/>
  <c r="AI29" i="6"/>
  <c r="AJ29" i="6"/>
  <c r="H27" i="7"/>
  <c r="CD29" i="6"/>
  <c r="CE29" i="6"/>
  <c r="CF29" i="6"/>
  <c r="L27" i="7"/>
  <c r="DZ29" i="6"/>
  <c r="EA29" i="6"/>
  <c r="EB29" i="6"/>
  <c r="P27" i="7"/>
  <c r="FV29" i="6"/>
  <c r="FW29" i="6"/>
  <c r="FX29" i="6"/>
  <c r="T27" i="7"/>
  <c r="HR29" i="6"/>
  <c r="HS29" i="6"/>
  <c r="HT29" i="6"/>
  <c r="N29" i="7"/>
  <c r="EY31" i="6"/>
  <c r="EX31" i="6"/>
  <c r="EZ31" i="6"/>
  <c r="X29" i="7"/>
  <c r="JO31" i="6"/>
  <c r="JN31" i="6"/>
  <c r="JP31" i="6"/>
  <c r="L30" i="7"/>
  <c r="EA32" i="6"/>
  <c r="DZ32" i="6"/>
  <c r="EB32" i="6"/>
  <c r="R31" i="7"/>
  <c r="GU33" i="6"/>
  <c r="GT33" i="6"/>
  <c r="GV33" i="6"/>
  <c r="L32" i="7"/>
  <c r="EA34" i="6"/>
  <c r="DZ34" i="6"/>
  <c r="EB34" i="6"/>
  <c r="F33" i="7"/>
  <c r="BG35" i="6"/>
  <c r="BF35" i="6"/>
  <c r="BH35" i="6"/>
  <c r="T34" i="7"/>
  <c r="HS36" i="6"/>
  <c r="HR36" i="6"/>
  <c r="HT36" i="6"/>
  <c r="N35" i="7"/>
  <c r="EY37" i="6"/>
  <c r="EX37" i="6"/>
  <c r="EZ37" i="6"/>
  <c r="D36" i="7"/>
  <c r="AI38" i="6"/>
  <c r="AJ38" i="6"/>
  <c r="P36" i="7"/>
  <c r="FW38" i="6"/>
  <c r="FV38" i="6"/>
  <c r="FX38" i="6"/>
  <c r="J37" i="7"/>
  <c r="DC39" i="6"/>
  <c r="DB39" i="6"/>
  <c r="DD39" i="6"/>
  <c r="N22" i="7"/>
  <c r="EY24" i="6"/>
  <c r="EZ24" i="6"/>
  <c r="S22" i="7"/>
  <c r="HG24" i="6"/>
  <c r="T22" i="7"/>
  <c r="HS24" i="6"/>
  <c r="Y22" i="7"/>
  <c r="JZ24" i="6"/>
  <c r="R23" i="7"/>
  <c r="GU25" i="6"/>
  <c r="GV25" i="6"/>
  <c r="W23" i="7"/>
  <c r="JC25" i="6"/>
  <c r="X23" i="7"/>
  <c r="JO25" i="6"/>
  <c r="JN25" i="6"/>
  <c r="B24" i="7"/>
  <c r="K26" i="6"/>
  <c r="C24" i="7"/>
  <c r="X26" i="6"/>
  <c r="E24" i="7"/>
  <c r="AT26" i="6"/>
  <c r="K24" i="7"/>
  <c r="DO26" i="6"/>
  <c r="L24" i="7"/>
  <c r="EA26" i="6"/>
  <c r="V24" i="7"/>
  <c r="IQ26" i="6"/>
  <c r="IR26" i="6"/>
  <c r="G25" i="7"/>
  <c r="BR27" i="6"/>
  <c r="BS27" i="6"/>
  <c r="J25" i="7"/>
  <c r="DD27" i="6"/>
  <c r="DB27" i="6"/>
  <c r="K25" i="7"/>
  <c r="DO27" i="6"/>
  <c r="DN27" i="6"/>
  <c r="R25" i="7"/>
  <c r="GV27" i="6"/>
  <c r="GT27" i="6"/>
  <c r="S25" i="7"/>
  <c r="HG27" i="6"/>
  <c r="HF27" i="6"/>
  <c r="H26" i="7"/>
  <c r="CD28" i="6"/>
  <c r="CE28" i="6"/>
  <c r="J26" i="7"/>
  <c r="DB28" i="6"/>
  <c r="DC28" i="6"/>
  <c r="D28" i="7"/>
  <c r="AI30" i="6"/>
  <c r="AJ30" i="6"/>
  <c r="H28" i="7"/>
  <c r="CD30" i="6"/>
  <c r="CE30" i="6"/>
  <c r="CF30" i="6"/>
  <c r="L28" i="7"/>
  <c r="DZ30" i="6"/>
  <c r="EA30" i="6"/>
  <c r="EB30" i="6"/>
  <c r="J29" i="7"/>
  <c r="DC31" i="6"/>
  <c r="DB31" i="6"/>
  <c r="DD31" i="6"/>
  <c r="T30" i="7"/>
  <c r="HS32" i="6"/>
  <c r="HR32" i="6"/>
  <c r="HT32" i="6"/>
  <c r="F31" i="7"/>
  <c r="BG33" i="6"/>
  <c r="BF33" i="6"/>
  <c r="BH33" i="6"/>
  <c r="X31" i="7"/>
  <c r="JO33" i="6"/>
  <c r="JN33" i="6"/>
  <c r="JP33" i="6"/>
  <c r="T32" i="7"/>
  <c r="HS34" i="6"/>
  <c r="HT34" i="6"/>
  <c r="N33" i="7"/>
  <c r="EY35" i="6"/>
  <c r="EX35" i="6"/>
  <c r="EZ35" i="6"/>
  <c r="V33" i="7"/>
  <c r="IQ35" i="6"/>
  <c r="IP35" i="6"/>
  <c r="IR35" i="6"/>
  <c r="D34" i="7"/>
  <c r="AI36" i="6"/>
  <c r="AJ36" i="6"/>
  <c r="B35" i="7"/>
  <c r="K37" i="6"/>
  <c r="J37" i="6"/>
  <c r="L37" i="6"/>
  <c r="J35" i="7"/>
  <c r="DC37" i="6"/>
  <c r="DB37" i="6"/>
  <c r="DD37" i="6"/>
  <c r="V35" i="7"/>
  <c r="IQ37" i="6"/>
  <c r="IP37" i="6"/>
  <c r="IR37" i="6"/>
  <c r="L36" i="7"/>
  <c r="EA38" i="6"/>
  <c r="DZ38" i="6"/>
  <c r="EB38" i="6"/>
  <c r="KA21" i="6"/>
  <c r="AU22" i="6"/>
  <c r="KA22" i="6"/>
  <c r="AU23" i="6"/>
  <c r="DP23" i="6"/>
  <c r="FL23" i="6"/>
  <c r="HH23" i="6"/>
  <c r="JD23" i="6"/>
  <c r="KA23" i="6"/>
  <c r="AU24" i="6"/>
  <c r="EX24" i="6"/>
  <c r="FL24" i="6"/>
  <c r="FX24" i="6"/>
  <c r="HF24" i="6"/>
  <c r="HR24" i="6"/>
  <c r="W22" i="7"/>
  <c r="JC24" i="6"/>
  <c r="KA24" i="6"/>
  <c r="B23" i="7"/>
  <c r="K25" i="6"/>
  <c r="C23" i="7"/>
  <c r="X25" i="6"/>
  <c r="E23" i="7"/>
  <c r="AT25" i="6"/>
  <c r="K23" i="7"/>
  <c r="DO25" i="6"/>
  <c r="L23" i="7"/>
  <c r="EA25" i="6"/>
  <c r="GT25" i="6"/>
  <c r="HH25" i="6"/>
  <c r="HT25" i="6"/>
  <c r="JB25" i="6"/>
  <c r="JP25" i="6"/>
  <c r="KB25" i="6"/>
  <c r="J26" i="6"/>
  <c r="V26" i="6"/>
  <c r="AU26" i="6"/>
  <c r="F24" i="7"/>
  <c r="BG26" i="6"/>
  <c r="G24" i="7"/>
  <c r="BT26" i="6"/>
  <c r="DN26" i="6"/>
  <c r="DZ26" i="6"/>
  <c r="O24" i="7"/>
  <c r="FK26" i="6"/>
  <c r="P24" i="7"/>
  <c r="FW26" i="6"/>
  <c r="IP26" i="6"/>
  <c r="JD26" i="6"/>
  <c r="BT27" i="6"/>
  <c r="I25" i="7"/>
  <c r="CQ27" i="6"/>
  <c r="CP27" i="6"/>
  <c r="DC27" i="6"/>
  <c r="DP27" i="6"/>
  <c r="P25" i="7"/>
  <c r="FV27" i="6"/>
  <c r="FX27" i="6"/>
  <c r="Q25" i="7"/>
  <c r="GI27" i="6"/>
  <c r="GH27" i="6"/>
  <c r="GU27" i="6"/>
  <c r="HH27" i="6"/>
  <c r="CF28" i="6"/>
  <c r="DD28" i="6"/>
  <c r="L26" i="7"/>
  <c r="DZ28" i="6"/>
  <c r="EA28" i="6"/>
  <c r="N26" i="7"/>
  <c r="EX28" i="6"/>
  <c r="EY28" i="6"/>
  <c r="X27" i="7"/>
  <c r="JN29" i="6"/>
  <c r="JO29" i="6"/>
  <c r="JP29" i="6"/>
  <c r="V29" i="7"/>
  <c r="IQ31" i="6"/>
  <c r="IP31" i="6"/>
  <c r="IR31" i="6"/>
  <c r="D30" i="7"/>
  <c r="AI32" i="6"/>
  <c r="AJ32" i="6"/>
  <c r="B31" i="7"/>
  <c r="K33" i="6"/>
  <c r="J33" i="6"/>
  <c r="L33" i="6"/>
  <c r="N31" i="7"/>
  <c r="EY33" i="6"/>
  <c r="EX33" i="6"/>
  <c r="EZ33" i="6"/>
  <c r="D32" i="7"/>
  <c r="AI34" i="6"/>
  <c r="AJ34" i="6"/>
  <c r="B33" i="7"/>
  <c r="K35" i="6"/>
  <c r="J35" i="6"/>
  <c r="L35" i="6"/>
  <c r="J33" i="7"/>
  <c r="DC35" i="6"/>
  <c r="DB35" i="6"/>
  <c r="DD35" i="6"/>
  <c r="P34" i="7"/>
  <c r="FW36" i="6"/>
  <c r="FV36" i="6"/>
  <c r="FX36" i="6"/>
  <c r="R35" i="7"/>
  <c r="GU37" i="6"/>
  <c r="GT37" i="6"/>
  <c r="GV37" i="6"/>
  <c r="T36" i="7"/>
  <c r="HS38" i="6"/>
  <c r="HR38" i="6"/>
  <c r="HT38" i="6"/>
  <c r="F37" i="7"/>
  <c r="BG39" i="6"/>
  <c r="BF39" i="6"/>
  <c r="BH39" i="6"/>
  <c r="J21" i="7"/>
  <c r="DC23" i="6"/>
  <c r="N21" i="7"/>
  <c r="EY23" i="6"/>
  <c r="R21" i="7"/>
  <c r="GU23" i="6"/>
  <c r="V21" i="7"/>
  <c r="IQ23" i="6"/>
  <c r="J22" i="7"/>
  <c r="DC24" i="6"/>
  <c r="K22" i="7"/>
  <c r="DO24" i="6"/>
  <c r="L22" i="7"/>
  <c r="EA24" i="6"/>
  <c r="HH24" i="6"/>
  <c r="HT24" i="6"/>
  <c r="V22" i="7"/>
  <c r="IQ24" i="6"/>
  <c r="IR24" i="6"/>
  <c r="KB24" i="6"/>
  <c r="D23" i="7"/>
  <c r="AI25" i="6"/>
  <c r="F23" i="7"/>
  <c r="BG25" i="6"/>
  <c r="G23" i="7"/>
  <c r="BT25" i="6"/>
  <c r="J23" i="7"/>
  <c r="DC25" i="6"/>
  <c r="DD25" i="6"/>
  <c r="O23" i="7"/>
  <c r="FK25" i="6"/>
  <c r="P23" i="7"/>
  <c r="FW25" i="6"/>
  <c r="JD25" i="6"/>
  <c r="L26" i="6"/>
  <c r="W26" i="6"/>
  <c r="AV26" i="6"/>
  <c r="DP26" i="6"/>
  <c r="EB26" i="6"/>
  <c r="N24" i="7"/>
  <c r="EY26" i="6"/>
  <c r="EZ26" i="6"/>
  <c r="S24" i="7"/>
  <c r="HG26" i="6"/>
  <c r="T24" i="7"/>
  <c r="HS26" i="6"/>
  <c r="Y24" i="7"/>
  <c r="JZ26" i="6"/>
  <c r="N25" i="7"/>
  <c r="EZ27" i="6"/>
  <c r="EX27" i="6"/>
  <c r="O25" i="7"/>
  <c r="FK27" i="6"/>
  <c r="FJ27" i="6"/>
  <c r="B26" i="7"/>
  <c r="J28" i="6"/>
  <c r="K28" i="6"/>
  <c r="P26" i="7"/>
  <c r="FV28" i="6"/>
  <c r="FW28" i="6"/>
  <c r="R26" i="7"/>
  <c r="GT28" i="6"/>
  <c r="GU28" i="6"/>
  <c r="B27" i="7"/>
  <c r="J29" i="6"/>
  <c r="K29" i="6"/>
  <c r="R29" i="7"/>
  <c r="GU31" i="6"/>
  <c r="GT31" i="6"/>
  <c r="GV31" i="6"/>
  <c r="P30" i="7"/>
  <c r="FW32" i="6"/>
  <c r="FV32" i="6"/>
  <c r="FX32" i="6"/>
  <c r="J31" i="7"/>
  <c r="DC33" i="6"/>
  <c r="DB33" i="6"/>
  <c r="DD33" i="6"/>
  <c r="V31" i="7"/>
  <c r="IQ33" i="6"/>
  <c r="IP33" i="6"/>
  <c r="IR33" i="6"/>
  <c r="P32" i="7"/>
  <c r="FW34" i="6"/>
  <c r="FV34" i="6"/>
  <c r="FX34" i="6"/>
  <c r="R33" i="7"/>
  <c r="GU35" i="6"/>
  <c r="GT35" i="6"/>
  <c r="GV35" i="6"/>
  <c r="X33" i="7"/>
  <c r="JO35" i="6"/>
  <c r="JN35" i="6"/>
  <c r="JP35" i="6"/>
  <c r="L34" i="7"/>
  <c r="EA36" i="6"/>
  <c r="DZ36" i="6"/>
  <c r="EB36" i="6"/>
  <c r="F35" i="7"/>
  <c r="BG37" i="6"/>
  <c r="BF37" i="6"/>
  <c r="BH37" i="6"/>
  <c r="X35" i="7"/>
  <c r="JO37" i="6"/>
  <c r="JN37" i="6"/>
  <c r="JP37" i="6"/>
  <c r="B37" i="7"/>
  <c r="K39" i="6"/>
  <c r="J39" i="6"/>
  <c r="L39" i="6"/>
  <c r="N37" i="7"/>
  <c r="EY39" i="6"/>
  <c r="EX39" i="6"/>
  <c r="EZ39" i="6"/>
  <c r="F27" i="7"/>
  <c r="BF29" i="6"/>
  <c r="J27" i="7"/>
  <c r="DB29" i="6"/>
  <c r="N27" i="7"/>
  <c r="EX29" i="6"/>
  <c r="R27" i="7"/>
  <c r="GT29" i="6"/>
  <c r="V27" i="7"/>
  <c r="IP29" i="6"/>
  <c r="B28" i="7"/>
  <c r="J30" i="6"/>
  <c r="F28" i="7"/>
  <c r="BF30" i="6"/>
  <c r="J28" i="7"/>
  <c r="DB30" i="6"/>
  <c r="N28" i="7"/>
  <c r="EX30" i="6"/>
  <c r="R28" i="7"/>
  <c r="GT30" i="6"/>
  <c r="V28" i="7"/>
  <c r="IP30" i="6"/>
  <c r="B29" i="7"/>
  <c r="J31" i="6"/>
  <c r="F29" i="7"/>
  <c r="BF31" i="6"/>
  <c r="L29" i="7"/>
  <c r="EA31" i="6"/>
  <c r="DZ31" i="6"/>
  <c r="T29" i="7"/>
  <c r="HS31" i="6"/>
  <c r="HR31" i="6"/>
  <c r="F30" i="7"/>
  <c r="BG32" i="6"/>
  <c r="BF32" i="6"/>
  <c r="J30" i="7"/>
  <c r="DC32" i="6"/>
  <c r="DB32" i="6"/>
  <c r="R30" i="7"/>
  <c r="GU32" i="6"/>
  <c r="GT32" i="6"/>
  <c r="D31" i="7"/>
  <c r="AI33" i="6"/>
  <c r="P31" i="7"/>
  <c r="FW33" i="6"/>
  <c r="FV33" i="6"/>
  <c r="B32" i="7"/>
  <c r="K34" i="6"/>
  <c r="J34" i="6"/>
  <c r="N32" i="7"/>
  <c r="EY34" i="6"/>
  <c r="EX34" i="6"/>
  <c r="V32" i="7"/>
  <c r="IQ34" i="6"/>
  <c r="IP34" i="6"/>
  <c r="X32" i="7"/>
  <c r="JO34" i="6"/>
  <c r="JN34" i="6"/>
  <c r="L33" i="7"/>
  <c r="EA35" i="6"/>
  <c r="DZ35" i="6"/>
  <c r="T33" i="7"/>
  <c r="HS35" i="6"/>
  <c r="HR35" i="6"/>
  <c r="F34" i="7"/>
  <c r="BG36" i="6"/>
  <c r="BF36" i="6"/>
  <c r="J34" i="7"/>
  <c r="DC36" i="6"/>
  <c r="DB36" i="6"/>
  <c r="R34" i="7"/>
  <c r="GU36" i="6"/>
  <c r="GT36" i="6"/>
  <c r="D35" i="7"/>
  <c r="AI37" i="6"/>
  <c r="P35" i="7"/>
  <c r="FW37" i="6"/>
  <c r="FV37" i="6"/>
  <c r="B36" i="7"/>
  <c r="K38" i="6"/>
  <c r="J38" i="6"/>
  <c r="N36" i="7"/>
  <c r="EY38" i="6"/>
  <c r="EX38" i="6"/>
  <c r="V36" i="7"/>
  <c r="IQ38" i="6"/>
  <c r="IP38" i="6"/>
  <c r="X36" i="7"/>
  <c r="JO38" i="6"/>
  <c r="JN38" i="6"/>
  <c r="L37" i="7"/>
  <c r="EA39" i="6"/>
  <c r="DZ39" i="6"/>
  <c r="X37" i="7"/>
  <c r="JO39" i="6"/>
  <c r="JN39" i="6"/>
  <c r="X38" i="7"/>
  <c r="JP40" i="6"/>
  <c r="JO40" i="6"/>
  <c r="JN40" i="6"/>
  <c r="K39" i="7"/>
  <c r="DO41" i="6"/>
  <c r="DP41" i="6"/>
  <c r="DN41" i="6"/>
  <c r="M39" i="7"/>
  <c r="EM41" i="6"/>
  <c r="EL41" i="6"/>
  <c r="T39" i="7"/>
  <c r="HT41" i="6"/>
  <c r="HS41" i="6"/>
  <c r="HR41" i="6"/>
  <c r="F40" i="7"/>
  <c r="BH42" i="6"/>
  <c r="BG42" i="6"/>
  <c r="BF42" i="6"/>
  <c r="W40" i="7"/>
  <c r="JC42" i="6"/>
  <c r="JD42" i="6"/>
  <c r="JB42" i="6"/>
  <c r="S41" i="7"/>
  <c r="HG43" i="6"/>
  <c r="HH43" i="6"/>
  <c r="HF43" i="6"/>
  <c r="U41" i="7"/>
  <c r="IE43" i="6"/>
  <c r="ID43" i="6"/>
  <c r="IF43" i="6"/>
  <c r="G42" i="7"/>
  <c r="BS44" i="6"/>
  <c r="BR44" i="6"/>
  <c r="BT44" i="6"/>
  <c r="M42" i="7"/>
  <c r="EM44" i="6"/>
  <c r="EN44" i="6"/>
  <c r="EL44" i="6"/>
  <c r="O42" i="7"/>
  <c r="FK44" i="6"/>
  <c r="FL44" i="6"/>
  <c r="FJ44" i="6"/>
  <c r="C45" i="7"/>
  <c r="W47" i="6"/>
  <c r="V47" i="6"/>
  <c r="X47" i="6"/>
  <c r="J46" i="7"/>
  <c r="DD48" i="6"/>
  <c r="DC48" i="6"/>
  <c r="DB48" i="6"/>
  <c r="L46" i="7"/>
  <c r="EB48" i="6"/>
  <c r="EA48" i="6"/>
  <c r="DZ48" i="6"/>
  <c r="N46" i="7"/>
  <c r="EZ48" i="6"/>
  <c r="EY48" i="6"/>
  <c r="EX48" i="6"/>
  <c r="P46" i="7"/>
  <c r="FX48" i="6"/>
  <c r="FW48" i="6"/>
  <c r="FV48" i="6"/>
  <c r="R46" i="7"/>
  <c r="GV48" i="6"/>
  <c r="GU48" i="6"/>
  <c r="GT48" i="6"/>
  <c r="T46" i="7"/>
  <c r="HT48" i="6"/>
  <c r="HS48" i="6"/>
  <c r="Y46" i="7"/>
  <c r="KB48" i="6"/>
  <c r="KA48" i="6"/>
  <c r="JZ48" i="6"/>
  <c r="F47" i="7"/>
  <c r="BF49" i="6"/>
  <c r="BH49" i="6"/>
  <c r="BG49" i="6"/>
  <c r="T48" i="7"/>
  <c r="HR50" i="6"/>
  <c r="HT50" i="6"/>
  <c r="HS50" i="6"/>
  <c r="C49" i="7"/>
  <c r="X51" i="6"/>
  <c r="W51" i="6"/>
  <c r="V51" i="6"/>
  <c r="B25" i="7"/>
  <c r="L27" i="6"/>
  <c r="F25" i="7"/>
  <c r="BH27" i="6"/>
  <c r="W25" i="7"/>
  <c r="JD27" i="6"/>
  <c r="C26" i="7"/>
  <c r="X28" i="6"/>
  <c r="G26" i="7"/>
  <c r="BT28" i="6"/>
  <c r="K26" i="7"/>
  <c r="DP28" i="6"/>
  <c r="O26" i="7"/>
  <c r="FL28" i="6"/>
  <c r="S26" i="7"/>
  <c r="HH28" i="6"/>
  <c r="W26" i="7"/>
  <c r="JD28" i="6"/>
  <c r="C27" i="7"/>
  <c r="X29" i="6"/>
  <c r="BG29" i="6"/>
  <c r="G27" i="7"/>
  <c r="BT29" i="6"/>
  <c r="DC29" i="6"/>
  <c r="K27" i="7"/>
  <c r="DP29" i="6"/>
  <c r="EY29" i="6"/>
  <c r="O27" i="7"/>
  <c r="FL29" i="6"/>
  <c r="GU29" i="6"/>
  <c r="S27" i="7"/>
  <c r="HH29" i="6"/>
  <c r="IQ29" i="6"/>
  <c r="W27" i="7"/>
  <c r="JD29" i="6"/>
  <c r="K30" i="6"/>
  <c r="C28" i="7"/>
  <c r="X30" i="6"/>
  <c r="BG30" i="6"/>
  <c r="G28" i="7"/>
  <c r="BT30" i="6"/>
  <c r="DC30" i="6"/>
  <c r="K28" i="7"/>
  <c r="DP30" i="6"/>
  <c r="EY30" i="6"/>
  <c r="O28" i="7"/>
  <c r="FL30" i="6"/>
  <c r="GU30" i="6"/>
  <c r="S28" i="7"/>
  <c r="HH30" i="6"/>
  <c r="IQ30" i="6"/>
  <c r="W28" i="7"/>
  <c r="JD30" i="6"/>
  <c r="K31" i="6"/>
  <c r="C29" i="7"/>
  <c r="X31" i="6"/>
  <c r="BG31" i="6"/>
  <c r="G29" i="7"/>
  <c r="BT31" i="6"/>
  <c r="EB31" i="6"/>
  <c r="HT31" i="6"/>
  <c r="BH32" i="6"/>
  <c r="DD32" i="6"/>
  <c r="GV32" i="6"/>
  <c r="AJ33" i="6"/>
  <c r="FX33" i="6"/>
  <c r="L34" i="6"/>
  <c r="EZ34" i="6"/>
  <c r="IR34" i="6"/>
  <c r="JP34" i="6"/>
  <c r="EB35" i="6"/>
  <c r="HT35" i="6"/>
  <c r="BH36" i="6"/>
  <c r="DD36" i="6"/>
  <c r="GV36" i="6"/>
  <c r="AJ37" i="6"/>
  <c r="FX37" i="6"/>
  <c r="L38" i="6"/>
  <c r="EZ38" i="6"/>
  <c r="IR38" i="6"/>
  <c r="JP38" i="6"/>
  <c r="EB39" i="6"/>
  <c r="P37" i="7"/>
  <c r="FW39" i="6"/>
  <c r="FV39" i="6"/>
  <c r="R37" i="7"/>
  <c r="GU39" i="6"/>
  <c r="GT39" i="6"/>
  <c r="T37" i="7"/>
  <c r="HS39" i="6"/>
  <c r="V37" i="7"/>
  <c r="IQ39" i="6"/>
  <c r="IP39" i="6"/>
  <c r="JP39" i="6"/>
  <c r="Y38" i="7"/>
  <c r="KA40" i="6"/>
  <c r="KB40" i="6"/>
  <c r="JZ40" i="6"/>
  <c r="EN41" i="6"/>
  <c r="O39" i="7"/>
  <c r="FK41" i="6"/>
  <c r="FL41" i="6"/>
  <c r="FJ41" i="6"/>
  <c r="Q39" i="7"/>
  <c r="GI41" i="6"/>
  <c r="GH41" i="6"/>
  <c r="Y39" i="7"/>
  <c r="KA41" i="6"/>
  <c r="KB41" i="6"/>
  <c r="JZ41" i="6"/>
  <c r="C40" i="7"/>
  <c r="W42" i="6"/>
  <c r="V42" i="6"/>
  <c r="M40" i="7"/>
  <c r="EM42" i="6"/>
  <c r="EN42" i="6"/>
  <c r="EL42" i="6"/>
  <c r="HG42" i="6"/>
  <c r="HH42" i="6"/>
  <c r="S40" i="7"/>
  <c r="HF42" i="6"/>
  <c r="Q41" i="7"/>
  <c r="GI43" i="6"/>
  <c r="GH43" i="6"/>
  <c r="GJ43" i="6"/>
  <c r="B42" i="7"/>
  <c r="L44" i="6"/>
  <c r="K44" i="6"/>
  <c r="J44" i="6"/>
  <c r="D42" i="7"/>
  <c r="AJ44" i="6"/>
  <c r="AI44" i="6"/>
  <c r="I42" i="7"/>
  <c r="CQ44" i="6"/>
  <c r="CR44" i="6"/>
  <c r="CP44" i="6"/>
  <c r="R42" i="7"/>
  <c r="GV44" i="6"/>
  <c r="GU44" i="6"/>
  <c r="GT44" i="6"/>
  <c r="T42" i="7"/>
  <c r="HT44" i="6"/>
  <c r="HS44" i="6"/>
  <c r="HR44" i="6"/>
  <c r="V42" i="7"/>
  <c r="IR44" i="6"/>
  <c r="IQ44" i="6"/>
  <c r="IP44" i="6"/>
  <c r="Y44" i="7"/>
  <c r="KA46" i="6"/>
  <c r="JZ46" i="6"/>
  <c r="KB46" i="6"/>
  <c r="W45" i="7"/>
  <c r="JC47" i="6"/>
  <c r="JB47" i="6"/>
  <c r="JD47" i="6"/>
  <c r="P28" i="7"/>
  <c r="FV30" i="6"/>
  <c r="T28" i="7"/>
  <c r="HR30" i="6"/>
  <c r="X28" i="7"/>
  <c r="JN30" i="6"/>
  <c r="D29" i="7"/>
  <c r="H29" i="7"/>
  <c r="CE31" i="6"/>
  <c r="CD31" i="6"/>
  <c r="P29" i="7"/>
  <c r="FW31" i="6"/>
  <c r="FV31" i="6"/>
  <c r="B30" i="7"/>
  <c r="K32" i="6"/>
  <c r="J32" i="6"/>
  <c r="N30" i="7"/>
  <c r="EY32" i="6"/>
  <c r="EX32" i="6"/>
  <c r="V30" i="7"/>
  <c r="IQ32" i="6"/>
  <c r="IP32" i="6"/>
  <c r="X30" i="7"/>
  <c r="JO32" i="6"/>
  <c r="JN32" i="6"/>
  <c r="L31" i="7"/>
  <c r="EA33" i="6"/>
  <c r="DZ33" i="6"/>
  <c r="T31" i="7"/>
  <c r="HS33" i="6"/>
  <c r="HR33" i="6"/>
  <c r="F32" i="7"/>
  <c r="BG34" i="6"/>
  <c r="BF34" i="6"/>
  <c r="J32" i="7"/>
  <c r="DC34" i="6"/>
  <c r="DB34" i="6"/>
  <c r="R32" i="7"/>
  <c r="GU34" i="6"/>
  <c r="GT34" i="6"/>
  <c r="D33" i="7"/>
  <c r="AI35" i="6"/>
  <c r="P33" i="7"/>
  <c r="FW35" i="6"/>
  <c r="FV35" i="6"/>
  <c r="B34" i="7"/>
  <c r="K36" i="6"/>
  <c r="J36" i="6"/>
  <c r="N34" i="7"/>
  <c r="EY36" i="6"/>
  <c r="EX36" i="6"/>
  <c r="V34" i="7"/>
  <c r="IQ36" i="6"/>
  <c r="IP36" i="6"/>
  <c r="X34" i="7"/>
  <c r="JO36" i="6"/>
  <c r="JN36" i="6"/>
  <c r="L35" i="7"/>
  <c r="EA37" i="6"/>
  <c r="DZ37" i="6"/>
  <c r="T35" i="7"/>
  <c r="HS37" i="6"/>
  <c r="F36" i="7"/>
  <c r="BG38" i="6"/>
  <c r="BF38" i="6"/>
  <c r="J36" i="7"/>
  <c r="DC38" i="6"/>
  <c r="DB38" i="6"/>
  <c r="R36" i="7"/>
  <c r="GU38" i="6"/>
  <c r="GT38" i="6"/>
  <c r="D37" i="7"/>
  <c r="AI39" i="6"/>
  <c r="J38" i="7"/>
  <c r="DC40" i="6"/>
  <c r="DB40" i="6"/>
  <c r="L38" i="7"/>
  <c r="EA40" i="6"/>
  <c r="DZ40" i="6"/>
  <c r="N38" i="7"/>
  <c r="EY40" i="6"/>
  <c r="EX40" i="6"/>
  <c r="P38" i="7"/>
  <c r="FW40" i="6"/>
  <c r="FV40" i="6"/>
  <c r="R38" i="7"/>
  <c r="GU40" i="6"/>
  <c r="GT40" i="6"/>
  <c r="T38" i="7"/>
  <c r="HS40" i="6"/>
  <c r="W38" i="7"/>
  <c r="JC40" i="6"/>
  <c r="JD40" i="6"/>
  <c r="JB40" i="6"/>
  <c r="L39" i="7"/>
  <c r="EB41" i="6"/>
  <c r="EA41" i="6"/>
  <c r="DZ41" i="6"/>
  <c r="HG41" i="6"/>
  <c r="S39" i="7"/>
  <c r="HH41" i="6"/>
  <c r="HF41" i="6"/>
  <c r="U39" i="7"/>
  <c r="IE41" i="6"/>
  <c r="ID41" i="6"/>
  <c r="E40" i="7"/>
  <c r="AU42" i="6"/>
  <c r="AV42" i="6"/>
  <c r="AT42" i="6"/>
  <c r="G40" i="7"/>
  <c r="BS42" i="6"/>
  <c r="BR42" i="6"/>
  <c r="E41" i="7"/>
  <c r="AU43" i="6"/>
  <c r="AV43" i="6"/>
  <c r="AT43" i="6"/>
  <c r="I41" i="7"/>
  <c r="CQ43" i="6"/>
  <c r="CP43" i="6"/>
  <c r="CR43" i="6"/>
  <c r="T41" i="7"/>
  <c r="HT43" i="6"/>
  <c r="HS43" i="6"/>
  <c r="V41" i="7"/>
  <c r="IP43" i="6"/>
  <c r="IR43" i="6"/>
  <c r="IQ43" i="6"/>
  <c r="EY44" i="6"/>
  <c r="N42" i="7"/>
  <c r="EZ44" i="6"/>
  <c r="EX44" i="6"/>
  <c r="W42" i="7"/>
  <c r="JC44" i="6"/>
  <c r="JB44" i="6"/>
  <c r="JD44" i="6"/>
  <c r="I44" i="7"/>
  <c r="CQ46" i="6"/>
  <c r="CP46" i="6"/>
  <c r="CR46" i="6"/>
  <c r="K44" i="7"/>
  <c r="DO46" i="6"/>
  <c r="DN46" i="6"/>
  <c r="DP46" i="6"/>
  <c r="M44" i="7"/>
  <c r="EM46" i="6"/>
  <c r="EL46" i="6"/>
  <c r="EN46" i="6"/>
  <c r="O44" i="7"/>
  <c r="FK46" i="6"/>
  <c r="FJ46" i="6"/>
  <c r="FL46" i="6"/>
  <c r="Q44" i="7"/>
  <c r="GI46" i="6"/>
  <c r="GH46" i="6"/>
  <c r="GJ46" i="6"/>
  <c r="S44" i="7"/>
  <c r="HG46" i="6"/>
  <c r="HF46" i="6"/>
  <c r="HH46" i="6"/>
  <c r="U44" i="7"/>
  <c r="IE46" i="6"/>
  <c r="ID46" i="6"/>
  <c r="IF46" i="6"/>
  <c r="W44" i="7"/>
  <c r="JC46" i="6"/>
  <c r="JB46" i="6"/>
  <c r="JD46" i="6"/>
  <c r="BS47" i="6"/>
  <c r="G45" i="7"/>
  <c r="BR47" i="6"/>
  <c r="BT47" i="6"/>
  <c r="D25" i="7"/>
  <c r="AJ27" i="6"/>
  <c r="U25" i="7"/>
  <c r="IF27" i="6"/>
  <c r="Y25" i="7"/>
  <c r="KB27" i="6"/>
  <c r="E26" i="7"/>
  <c r="AV28" i="6"/>
  <c r="I26" i="7"/>
  <c r="CR28" i="6"/>
  <c r="M26" i="7"/>
  <c r="EN28" i="6"/>
  <c r="Q26" i="7"/>
  <c r="GJ28" i="6"/>
  <c r="U26" i="7"/>
  <c r="IF28" i="6"/>
  <c r="Y26" i="7"/>
  <c r="KB28" i="6"/>
  <c r="E27" i="7"/>
  <c r="AV29" i="6"/>
  <c r="I27" i="7"/>
  <c r="CR29" i="6"/>
  <c r="M27" i="7"/>
  <c r="EN29" i="6"/>
  <c r="Q27" i="7"/>
  <c r="GJ29" i="6"/>
  <c r="U27" i="7"/>
  <c r="IF29" i="6"/>
  <c r="Y27" i="7"/>
  <c r="KB29" i="6"/>
  <c r="E28" i="7"/>
  <c r="AV30" i="6"/>
  <c r="I28" i="7"/>
  <c r="CR30" i="6"/>
  <c r="M28" i="7"/>
  <c r="EN30" i="6"/>
  <c r="FW30" i="6"/>
  <c r="Q28" i="7"/>
  <c r="GJ30" i="6"/>
  <c r="HS30" i="6"/>
  <c r="U28" i="7"/>
  <c r="IF30" i="6"/>
  <c r="JO30" i="6"/>
  <c r="Y28" i="7"/>
  <c r="KB30" i="6"/>
  <c r="AI31" i="6"/>
  <c r="E29" i="7"/>
  <c r="AV31" i="6"/>
  <c r="CF31" i="6"/>
  <c r="FX31" i="6"/>
  <c r="L32" i="6"/>
  <c r="EZ32" i="6"/>
  <c r="IR32" i="6"/>
  <c r="JP32" i="6"/>
  <c r="EB33" i="6"/>
  <c r="HT33" i="6"/>
  <c r="BH34" i="6"/>
  <c r="DD34" i="6"/>
  <c r="GV34" i="6"/>
  <c r="AJ35" i="6"/>
  <c r="FX35" i="6"/>
  <c r="L36" i="6"/>
  <c r="EZ36" i="6"/>
  <c r="IR36" i="6"/>
  <c r="JP36" i="6"/>
  <c r="EB37" i="6"/>
  <c r="HT37" i="6"/>
  <c r="BH38" i="6"/>
  <c r="DD38" i="6"/>
  <c r="GV38" i="6"/>
  <c r="AJ39" i="6"/>
  <c r="B38" i="7"/>
  <c r="K40" i="6"/>
  <c r="J40" i="6"/>
  <c r="D38" i="7"/>
  <c r="AI40" i="6"/>
  <c r="F38" i="7"/>
  <c r="BG40" i="6"/>
  <c r="BF40" i="6"/>
  <c r="DD40" i="6"/>
  <c r="EB40" i="6"/>
  <c r="EZ40" i="6"/>
  <c r="FX40" i="6"/>
  <c r="GV40" i="6"/>
  <c r="HT40" i="6"/>
  <c r="E39" i="7"/>
  <c r="AU41" i="6"/>
  <c r="AV41" i="6"/>
  <c r="AT41" i="6"/>
  <c r="I39" i="7"/>
  <c r="CQ41" i="6"/>
  <c r="CP41" i="6"/>
  <c r="P39" i="7"/>
  <c r="FX41" i="6"/>
  <c r="FW41" i="6"/>
  <c r="FV41" i="6"/>
  <c r="IF41" i="6"/>
  <c r="B40" i="7"/>
  <c r="L42" i="6"/>
  <c r="K42" i="6"/>
  <c r="J42" i="6"/>
  <c r="BT42" i="6"/>
  <c r="I40" i="7"/>
  <c r="CQ42" i="6"/>
  <c r="CR42" i="6"/>
  <c r="CP42" i="6"/>
  <c r="Y41" i="7"/>
  <c r="KA43" i="6"/>
  <c r="KB43" i="6"/>
  <c r="JZ43" i="6"/>
  <c r="C42" i="7"/>
  <c r="W44" i="6"/>
  <c r="V44" i="6"/>
  <c r="X44" i="6"/>
  <c r="Q42" i="7"/>
  <c r="GI44" i="6"/>
  <c r="GJ44" i="6"/>
  <c r="GH44" i="6"/>
  <c r="X43" i="7"/>
  <c r="JP45" i="6"/>
  <c r="JO45" i="6"/>
  <c r="JN45" i="6"/>
  <c r="E45" i="7"/>
  <c r="AU47" i="6"/>
  <c r="AT47" i="6"/>
  <c r="AV47" i="6"/>
  <c r="J41" i="7"/>
  <c r="DB43" i="6"/>
  <c r="E42" i="7"/>
  <c r="AU44" i="6"/>
  <c r="F42" i="7"/>
  <c r="BH44" i="6"/>
  <c r="DD45" i="6"/>
  <c r="DC45" i="6"/>
  <c r="DB45" i="6"/>
  <c r="J43" i="7"/>
  <c r="L43" i="7"/>
  <c r="EB45" i="6"/>
  <c r="EA45" i="6"/>
  <c r="DZ45" i="6"/>
  <c r="N43" i="7"/>
  <c r="EZ45" i="6"/>
  <c r="EY45" i="6"/>
  <c r="EX45" i="6"/>
  <c r="P43" i="7"/>
  <c r="FX45" i="6"/>
  <c r="FW45" i="6"/>
  <c r="FV45" i="6"/>
  <c r="R43" i="7"/>
  <c r="GV45" i="6"/>
  <c r="GU45" i="6"/>
  <c r="GT45" i="6"/>
  <c r="T43" i="7"/>
  <c r="HT45" i="6"/>
  <c r="HS45" i="6"/>
  <c r="V43" i="7"/>
  <c r="IR45" i="6"/>
  <c r="IQ45" i="6"/>
  <c r="IP45" i="6"/>
  <c r="X44" i="7"/>
  <c r="JP46" i="6"/>
  <c r="JO46" i="6"/>
  <c r="I45" i="7"/>
  <c r="CQ47" i="6"/>
  <c r="CP47" i="6"/>
  <c r="CR47" i="6"/>
  <c r="K45" i="7"/>
  <c r="DO47" i="6"/>
  <c r="DN47" i="6"/>
  <c r="DP47" i="6"/>
  <c r="M45" i="7"/>
  <c r="EM47" i="6"/>
  <c r="EL47" i="6"/>
  <c r="EN47" i="6"/>
  <c r="O45" i="7"/>
  <c r="FK47" i="6"/>
  <c r="FJ47" i="6"/>
  <c r="FL47" i="6"/>
  <c r="Q45" i="7"/>
  <c r="GI47" i="6"/>
  <c r="GH47" i="6"/>
  <c r="GJ47" i="6"/>
  <c r="S45" i="7"/>
  <c r="HG47" i="6"/>
  <c r="HF47" i="6"/>
  <c r="HH47" i="6"/>
  <c r="U45" i="7"/>
  <c r="IE47" i="6"/>
  <c r="ID47" i="6"/>
  <c r="IF47" i="6"/>
  <c r="Y45" i="7"/>
  <c r="KA47" i="6"/>
  <c r="JZ47" i="6"/>
  <c r="C46" i="7"/>
  <c r="W48" i="6"/>
  <c r="V48" i="6"/>
  <c r="E46" i="7"/>
  <c r="AU48" i="6"/>
  <c r="AT48" i="6"/>
  <c r="G46" i="7"/>
  <c r="BS48" i="6"/>
  <c r="BR48" i="6"/>
  <c r="V46" i="7"/>
  <c r="IP48" i="6"/>
  <c r="IR48" i="6"/>
  <c r="IQ48" i="6"/>
  <c r="CR49" i="6"/>
  <c r="CQ49" i="6"/>
  <c r="I47" i="7"/>
  <c r="CP49" i="6"/>
  <c r="N48" i="7"/>
  <c r="EX50" i="6"/>
  <c r="EZ50" i="6"/>
  <c r="EY50" i="6"/>
  <c r="S48" i="7"/>
  <c r="HH50" i="6"/>
  <c r="HG50" i="6"/>
  <c r="HF50" i="6"/>
  <c r="JC54" i="6"/>
  <c r="JD54" i="6"/>
  <c r="JB54" i="6"/>
  <c r="CR31" i="6"/>
  <c r="DP31" i="6"/>
  <c r="EN31" i="6"/>
  <c r="FL31" i="6"/>
  <c r="GJ31" i="6"/>
  <c r="HH31" i="6"/>
  <c r="IF31" i="6"/>
  <c r="JD31" i="6"/>
  <c r="KB31" i="6"/>
  <c r="X32" i="6"/>
  <c r="AV32" i="6"/>
  <c r="BT32" i="6"/>
  <c r="CR32" i="6"/>
  <c r="DP32" i="6"/>
  <c r="EN32" i="6"/>
  <c r="FL32" i="6"/>
  <c r="GJ32" i="6"/>
  <c r="HH32" i="6"/>
  <c r="IF32" i="6"/>
  <c r="JD32" i="6"/>
  <c r="KB32" i="6"/>
  <c r="X33" i="6"/>
  <c r="AV33" i="6"/>
  <c r="BT33" i="6"/>
  <c r="CR33" i="6"/>
  <c r="DP33" i="6"/>
  <c r="EN33" i="6"/>
  <c r="FL33" i="6"/>
  <c r="GJ33" i="6"/>
  <c r="HH33" i="6"/>
  <c r="IF33" i="6"/>
  <c r="JD33" i="6"/>
  <c r="KB33" i="6"/>
  <c r="X34" i="6"/>
  <c r="AV34" i="6"/>
  <c r="BT34" i="6"/>
  <c r="CR34" i="6"/>
  <c r="DP34" i="6"/>
  <c r="EN34" i="6"/>
  <c r="FL34" i="6"/>
  <c r="GJ34" i="6"/>
  <c r="HH34" i="6"/>
  <c r="IF34" i="6"/>
  <c r="JD34" i="6"/>
  <c r="KB34" i="6"/>
  <c r="X35" i="6"/>
  <c r="AV35" i="6"/>
  <c r="BT35" i="6"/>
  <c r="CR35" i="6"/>
  <c r="DP35" i="6"/>
  <c r="EN35" i="6"/>
  <c r="FL35" i="6"/>
  <c r="GJ35" i="6"/>
  <c r="HH35" i="6"/>
  <c r="IF35" i="6"/>
  <c r="JD35" i="6"/>
  <c r="KB35" i="6"/>
  <c r="X36" i="6"/>
  <c r="AV36" i="6"/>
  <c r="BT36" i="6"/>
  <c r="CR36" i="6"/>
  <c r="DP36" i="6"/>
  <c r="EN36" i="6"/>
  <c r="FL36" i="6"/>
  <c r="GJ36" i="6"/>
  <c r="HH36" i="6"/>
  <c r="IF36" i="6"/>
  <c r="JD36" i="6"/>
  <c r="KB36" i="6"/>
  <c r="X37" i="6"/>
  <c r="AV37" i="6"/>
  <c r="BT37" i="6"/>
  <c r="CR37" i="6"/>
  <c r="DP37" i="6"/>
  <c r="EN37" i="6"/>
  <c r="FL37" i="6"/>
  <c r="GJ37" i="6"/>
  <c r="HH37" i="6"/>
  <c r="IF37" i="6"/>
  <c r="JD37" i="6"/>
  <c r="KB37" i="6"/>
  <c r="X38" i="6"/>
  <c r="AV38" i="6"/>
  <c r="BT38" i="6"/>
  <c r="CR38" i="6"/>
  <c r="DP38" i="6"/>
  <c r="EN38" i="6"/>
  <c r="FL38" i="6"/>
  <c r="GJ38" i="6"/>
  <c r="HH38" i="6"/>
  <c r="IF38" i="6"/>
  <c r="JD38" i="6"/>
  <c r="KB38" i="6"/>
  <c r="X39" i="6"/>
  <c r="AV39" i="6"/>
  <c r="BT39" i="6"/>
  <c r="CR39" i="6"/>
  <c r="DP39" i="6"/>
  <c r="EN39" i="6"/>
  <c r="FL39" i="6"/>
  <c r="GJ39" i="6"/>
  <c r="HH39" i="6"/>
  <c r="IF39" i="6"/>
  <c r="JD39" i="6"/>
  <c r="KB39" i="6"/>
  <c r="X40" i="6"/>
  <c r="AV40" i="6"/>
  <c r="BT40" i="6"/>
  <c r="CR40" i="6"/>
  <c r="DP40" i="6"/>
  <c r="EN40" i="6"/>
  <c r="FL40" i="6"/>
  <c r="GJ40" i="6"/>
  <c r="HH40" i="6"/>
  <c r="IR40" i="6"/>
  <c r="J41" i="6"/>
  <c r="AJ41" i="6"/>
  <c r="BF41" i="6"/>
  <c r="JP41" i="6"/>
  <c r="DB42" i="6"/>
  <c r="EB42" i="6"/>
  <c r="P40" i="7"/>
  <c r="FW42" i="6"/>
  <c r="Q40" i="7"/>
  <c r="GI42" i="6"/>
  <c r="B41" i="7"/>
  <c r="K43" i="6"/>
  <c r="C41" i="7"/>
  <c r="W43" i="6"/>
  <c r="DC43" i="6"/>
  <c r="K41" i="7"/>
  <c r="DO43" i="6"/>
  <c r="EB43" i="6"/>
  <c r="L41" i="7"/>
  <c r="N41" i="7"/>
  <c r="EX43" i="6"/>
  <c r="AT44" i="6"/>
  <c r="BF44" i="6"/>
  <c r="S42" i="7"/>
  <c r="HG44" i="6"/>
  <c r="HF44" i="6"/>
  <c r="HH44" i="6"/>
  <c r="U42" i="7"/>
  <c r="IE44" i="6"/>
  <c r="ID44" i="6"/>
  <c r="IF44" i="6"/>
  <c r="Y42" i="7"/>
  <c r="KA44" i="6"/>
  <c r="JZ44" i="6"/>
  <c r="C43" i="7"/>
  <c r="W45" i="6"/>
  <c r="V45" i="6"/>
  <c r="E43" i="7"/>
  <c r="AU45" i="6"/>
  <c r="AT45" i="6"/>
  <c r="G43" i="7"/>
  <c r="BS45" i="6"/>
  <c r="BR45" i="6"/>
  <c r="J44" i="7"/>
  <c r="DD46" i="6"/>
  <c r="DC46" i="6"/>
  <c r="DB46" i="6"/>
  <c r="L44" i="7"/>
  <c r="EB46" i="6"/>
  <c r="EA46" i="6"/>
  <c r="DZ46" i="6"/>
  <c r="N44" i="7"/>
  <c r="EZ46" i="6"/>
  <c r="EY46" i="6"/>
  <c r="EX46" i="6"/>
  <c r="P44" i="7"/>
  <c r="FX46" i="6"/>
  <c r="FW46" i="6"/>
  <c r="FV46" i="6"/>
  <c r="R44" i="7"/>
  <c r="GV46" i="6"/>
  <c r="GU46" i="6"/>
  <c r="GT46" i="6"/>
  <c r="T44" i="7"/>
  <c r="HT46" i="6"/>
  <c r="HS46" i="6"/>
  <c r="HR46" i="6"/>
  <c r="V44" i="7"/>
  <c r="IR46" i="6"/>
  <c r="IQ46" i="6"/>
  <c r="IP46" i="6"/>
  <c r="JN46" i="6"/>
  <c r="X45" i="7"/>
  <c r="JP47" i="6"/>
  <c r="JO47" i="6"/>
  <c r="KB47" i="6"/>
  <c r="X48" i="6"/>
  <c r="AV48" i="6"/>
  <c r="BT48" i="6"/>
  <c r="I46" i="7"/>
  <c r="CQ48" i="6"/>
  <c r="CP48" i="6"/>
  <c r="CR48" i="6"/>
  <c r="K46" i="7"/>
  <c r="DO48" i="6"/>
  <c r="DN48" i="6"/>
  <c r="DP48" i="6"/>
  <c r="M46" i="7"/>
  <c r="EM48" i="6"/>
  <c r="EL48" i="6"/>
  <c r="EN48" i="6"/>
  <c r="O46" i="7"/>
  <c r="FK48" i="6"/>
  <c r="FJ48" i="6"/>
  <c r="FL48" i="6"/>
  <c r="Q46" i="7"/>
  <c r="GI48" i="6"/>
  <c r="GH48" i="6"/>
  <c r="GJ48" i="6"/>
  <c r="S46" i="7"/>
  <c r="HG48" i="6"/>
  <c r="HF48" i="6"/>
  <c r="HH48" i="6"/>
  <c r="X46" i="7"/>
  <c r="JN48" i="6"/>
  <c r="JP48" i="6"/>
  <c r="JO48" i="6"/>
  <c r="R47" i="7"/>
  <c r="GT49" i="6"/>
  <c r="GU49" i="6"/>
  <c r="GV49" i="6"/>
  <c r="FV50" i="6"/>
  <c r="FX50" i="6"/>
  <c r="P48" i="7"/>
  <c r="FW50" i="6"/>
  <c r="JN50" i="6"/>
  <c r="X48" i="7"/>
  <c r="JP50" i="6"/>
  <c r="JO50" i="6"/>
  <c r="U38" i="7"/>
  <c r="IE40" i="6"/>
  <c r="K41" i="6"/>
  <c r="C39" i="7"/>
  <c r="W41" i="6"/>
  <c r="BG41" i="6"/>
  <c r="G39" i="7"/>
  <c r="BS41" i="6"/>
  <c r="W39" i="7"/>
  <c r="JC41" i="6"/>
  <c r="DC42" i="6"/>
  <c r="K40" i="7"/>
  <c r="DO42" i="6"/>
  <c r="O40" i="7"/>
  <c r="FK42" i="6"/>
  <c r="FL42" i="6"/>
  <c r="T40" i="7"/>
  <c r="HS42" i="6"/>
  <c r="IE42" i="6"/>
  <c r="U40" i="7"/>
  <c r="X40" i="7"/>
  <c r="JP42" i="6"/>
  <c r="Y40" i="7"/>
  <c r="KA42" i="6"/>
  <c r="KB42" i="6"/>
  <c r="F41" i="7"/>
  <c r="BG43" i="6"/>
  <c r="G41" i="7"/>
  <c r="BS43" i="6"/>
  <c r="DD43" i="6"/>
  <c r="M41" i="7"/>
  <c r="EM43" i="6"/>
  <c r="EL43" i="6"/>
  <c r="O41" i="7"/>
  <c r="FK43" i="6"/>
  <c r="P41" i="7"/>
  <c r="FX43" i="6"/>
  <c r="R41" i="7"/>
  <c r="GT43" i="6"/>
  <c r="W41" i="7"/>
  <c r="JC43" i="6"/>
  <c r="AV44" i="6"/>
  <c r="BG44" i="6"/>
  <c r="J42" i="7"/>
  <c r="DC44" i="6"/>
  <c r="K42" i="7"/>
  <c r="DO44" i="6"/>
  <c r="X42" i="7"/>
  <c r="JP44" i="6"/>
  <c r="JO44" i="6"/>
  <c r="I43" i="7"/>
  <c r="CQ45" i="6"/>
  <c r="CP45" i="6"/>
  <c r="CR45" i="6"/>
  <c r="DO45" i="6"/>
  <c r="K43" i="7"/>
  <c r="DN45" i="6"/>
  <c r="DP45" i="6"/>
  <c r="M43" i="7"/>
  <c r="EM45" i="6"/>
  <c r="EL45" i="6"/>
  <c r="EN45" i="6"/>
  <c r="O43" i="7"/>
  <c r="FK45" i="6"/>
  <c r="FJ45" i="6"/>
  <c r="FL45" i="6"/>
  <c r="Q43" i="7"/>
  <c r="GI45" i="6"/>
  <c r="GH45" i="6"/>
  <c r="GJ45" i="6"/>
  <c r="S43" i="7"/>
  <c r="HG45" i="6"/>
  <c r="HF45" i="6"/>
  <c r="HH45" i="6"/>
  <c r="U43" i="7"/>
  <c r="IE45" i="6"/>
  <c r="ID45" i="6"/>
  <c r="IF45" i="6"/>
  <c r="W43" i="7"/>
  <c r="JC45" i="6"/>
  <c r="JB45" i="6"/>
  <c r="JD45" i="6"/>
  <c r="Y43" i="7"/>
  <c r="KA45" i="6"/>
  <c r="JZ45" i="6"/>
  <c r="C44" i="7"/>
  <c r="W46" i="6"/>
  <c r="V46" i="6"/>
  <c r="E44" i="7"/>
  <c r="AU46" i="6"/>
  <c r="AT46" i="6"/>
  <c r="BS46" i="6"/>
  <c r="G44" i="7"/>
  <c r="BR46" i="6"/>
  <c r="J45" i="7"/>
  <c r="DD47" i="6"/>
  <c r="DC47" i="6"/>
  <c r="DB47" i="6"/>
  <c r="L45" i="7"/>
  <c r="EB47" i="6"/>
  <c r="EA47" i="6"/>
  <c r="DZ47" i="6"/>
  <c r="N45" i="7"/>
  <c r="EZ47" i="6"/>
  <c r="EY47" i="6"/>
  <c r="EX47" i="6"/>
  <c r="P45" i="7"/>
  <c r="FX47" i="6"/>
  <c r="FW47" i="6"/>
  <c r="FV47" i="6"/>
  <c r="R45" i="7"/>
  <c r="GV47" i="6"/>
  <c r="GU47" i="6"/>
  <c r="GT47" i="6"/>
  <c r="T45" i="7"/>
  <c r="HT47" i="6"/>
  <c r="HS47" i="6"/>
  <c r="HR47" i="6"/>
  <c r="V45" i="7"/>
  <c r="IR47" i="6"/>
  <c r="IQ47" i="6"/>
  <c r="IP47" i="6"/>
  <c r="B47" i="7"/>
  <c r="J49" i="6"/>
  <c r="L49" i="6"/>
  <c r="K49" i="6"/>
  <c r="B48" i="7"/>
  <c r="J50" i="6"/>
  <c r="K50" i="6"/>
  <c r="L50" i="6"/>
  <c r="L48" i="7"/>
  <c r="DZ50" i="6"/>
  <c r="EB50" i="6"/>
  <c r="EA50" i="6"/>
  <c r="D49" i="7"/>
  <c r="AJ51" i="6"/>
  <c r="AI51" i="6"/>
  <c r="L49" i="7"/>
  <c r="DZ51" i="6"/>
  <c r="EA51" i="6"/>
  <c r="R49" i="7"/>
  <c r="GT51" i="6"/>
  <c r="GV51" i="6"/>
  <c r="S49" i="7"/>
  <c r="HH51" i="6"/>
  <c r="HG51" i="6"/>
  <c r="HF51" i="6"/>
  <c r="JN51" i="6"/>
  <c r="JO51" i="6"/>
  <c r="H32" i="9"/>
  <c r="BF52" i="6"/>
  <c r="I32" i="9" s="1"/>
  <c r="F50" i="7"/>
  <c r="BH52" i="6"/>
  <c r="K32" i="9" s="1"/>
  <c r="H33" i="9"/>
  <c r="G50" i="7"/>
  <c r="BT52" i="6"/>
  <c r="K33" i="9" s="1"/>
  <c r="BS52" i="6"/>
  <c r="J33" i="9" s="1"/>
  <c r="BR52" i="6"/>
  <c r="I33" i="9" s="1"/>
  <c r="M50" i="7"/>
  <c r="H39" i="9"/>
  <c r="EN52" i="6"/>
  <c r="EM52" i="6"/>
  <c r="J39" i="9" s="1"/>
  <c r="H40" i="9"/>
  <c r="N50" i="7"/>
  <c r="EX52" i="6"/>
  <c r="I40" i="9" s="1"/>
  <c r="EZ52" i="6"/>
  <c r="EY52" i="6"/>
  <c r="J40" i="9" s="1"/>
  <c r="Y50" i="7"/>
  <c r="H51" i="9"/>
  <c r="KB52" i="6"/>
  <c r="K51" i="9" s="1"/>
  <c r="KA52" i="6"/>
  <c r="J51" i="9" s="1"/>
  <c r="B51" i="7"/>
  <c r="J53" i="6"/>
  <c r="L53" i="6"/>
  <c r="K53" i="6"/>
  <c r="P51" i="7"/>
  <c r="FX53" i="6"/>
  <c r="FW53" i="6"/>
  <c r="BH54" i="6"/>
  <c r="BG54" i="6"/>
  <c r="EZ54" i="6"/>
  <c r="EY54" i="6"/>
  <c r="IR54" i="6"/>
  <c r="IQ54" i="6"/>
  <c r="CF55" i="6"/>
  <c r="CE55" i="6"/>
  <c r="FX55" i="6"/>
  <c r="FW55" i="6"/>
  <c r="BH56" i="6"/>
  <c r="BG56" i="6"/>
  <c r="EZ56" i="6"/>
  <c r="EY56" i="6"/>
  <c r="IR56" i="6"/>
  <c r="IQ56" i="6"/>
  <c r="CF57" i="6"/>
  <c r="CE57" i="6"/>
  <c r="FX57" i="6"/>
  <c r="FW57" i="6"/>
  <c r="DP58" i="6"/>
  <c r="DO58" i="6"/>
  <c r="HH58" i="6"/>
  <c r="HG58" i="6"/>
  <c r="N47" i="7"/>
  <c r="EX49" i="6"/>
  <c r="EY49" i="6"/>
  <c r="T47" i="7"/>
  <c r="HR49" i="6"/>
  <c r="HT49" i="6"/>
  <c r="U47" i="7"/>
  <c r="IF49" i="6"/>
  <c r="IE49" i="6"/>
  <c r="ID49" i="6"/>
  <c r="D48" i="7"/>
  <c r="AJ50" i="6"/>
  <c r="E48" i="7"/>
  <c r="AV50" i="6"/>
  <c r="AU50" i="6"/>
  <c r="AT50" i="6"/>
  <c r="J48" i="7"/>
  <c r="DB50" i="6"/>
  <c r="O48" i="7"/>
  <c r="FL50" i="6"/>
  <c r="FK50" i="6"/>
  <c r="EB51" i="6"/>
  <c r="N49" i="7"/>
  <c r="EX51" i="6"/>
  <c r="EZ51" i="6"/>
  <c r="O49" i="7"/>
  <c r="FL51" i="6"/>
  <c r="FK51" i="6"/>
  <c r="FJ51" i="6"/>
  <c r="GU51" i="6"/>
  <c r="JP51" i="6"/>
  <c r="B50" i="7"/>
  <c r="J52" i="6"/>
  <c r="I28" i="9" s="1"/>
  <c r="H28" i="9"/>
  <c r="L52" i="6"/>
  <c r="K28" i="9" s="1"/>
  <c r="H29" i="9"/>
  <c r="C50" i="7"/>
  <c r="X52" i="6"/>
  <c r="K29" i="9" s="1"/>
  <c r="W52" i="6"/>
  <c r="J29" i="9" s="1"/>
  <c r="V52" i="6"/>
  <c r="I29" i="9" s="1"/>
  <c r="BG52" i="6"/>
  <c r="J32" i="9" s="1"/>
  <c r="I50" i="7"/>
  <c r="H35" i="9"/>
  <c r="CR52" i="6"/>
  <c r="K35" i="9" s="1"/>
  <c r="CQ52" i="6"/>
  <c r="J35" i="9" s="1"/>
  <c r="DA52" i="6"/>
  <c r="EL52" i="6"/>
  <c r="I39" i="9" s="1"/>
  <c r="JZ52" i="6"/>
  <c r="I51" i="9" s="1"/>
  <c r="M51" i="7"/>
  <c r="EM53" i="6"/>
  <c r="EL53" i="6"/>
  <c r="O51" i="7"/>
  <c r="FK53" i="6"/>
  <c r="FL53" i="6"/>
  <c r="FV53" i="6"/>
  <c r="U51" i="7"/>
  <c r="IE53" i="6"/>
  <c r="ID53" i="6"/>
  <c r="C52" i="7"/>
  <c r="AE52" i="7" s="1"/>
  <c r="W54" i="6"/>
  <c r="V54" i="6"/>
  <c r="AU54" i="6"/>
  <c r="AV54" i="6"/>
  <c r="BF54" i="6"/>
  <c r="DO54" i="6"/>
  <c r="DN54" i="6"/>
  <c r="EM54" i="6"/>
  <c r="EN54" i="6"/>
  <c r="EX54" i="6"/>
  <c r="HG54" i="6"/>
  <c r="HF54" i="6"/>
  <c r="IE54" i="6"/>
  <c r="IF54" i="6"/>
  <c r="IP54" i="6"/>
  <c r="JO54" i="6"/>
  <c r="JN54" i="6"/>
  <c r="AU55" i="6"/>
  <c r="AT55" i="6"/>
  <c r="BS55" i="6"/>
  <c r="BT55" i="6"/>
  <c r="CD55" i="6"/>
  <c r="EM55" i="6"/>
  <c r="EL55" i="6"/>
  <c r="FK55" i="6"/>
  <c r="FL55" i="6"/>
  <c r="FV55" i="6"/>
  <c r="IE55" i="6"/>
  <c r="ID55" i="6"/>
  <c r="W56" i="6"/>
  <c r="V56" i="6"/>
  <c r="AU56" i="6"/>
  <c r="AV56" i="6"/>
  <c r="BF56" i="6"/>
  <c r="DO56" i="6"/>
  <c r="DN56" i="6"/>
  <c r="EM56" i="6"/>
  <c r="EN56" i="6"/>
  <c r="EX56" i="6"/>
  <c r="HG56" i="6"/>
  <c r="HF56" i="6"/>
  <c r="IE56" i="6"/>
  <c r="IF56" i="6"/>
  <c r="IP56" i="6"/>
  <c r="JO56" i="6"/>
  <c r="JN56" i="6"/>
  <c r="AU57" i="6"/>
  <c r="AT57" i="6"/>
  <c r="BS57" i="6"/>
  <c r="BT57" i="6"/>
  <c r="CD57" i="6"/>
  <c r="EM57" i="6"/>
  <c r="EL57" i="6"/>
  <c r="FK57" i="6"/>
  <c r="FL57" i="6"/>
  <c r="FV57" i="6"/>
  <c r="IE57" i="6"/>
  <c r="ID57" i="6"/>
  <c r="CE58" i="6"/>
  <c r="CD58" i="6"/>
  <c r="DC58" i="6"/>
  <c r="DD58" i="6"/>
  <c r="DN58" i="6"/>
  <c r="FW58" i="6"/>
  <c r="FV58" i="6"/>
  <c r="GU58" i="6"/>
  <c r="GV58" i="6"/>
  <c r="HF58" i="6"/>
  <c r="KB58" i="6"/>
  <c r="KA58" i="6"/>
  <c r="X49" i="7"/>
  <c r="U46" i="7"/>
  <c r="IF48" i="6"/>
  <c r="IE48" i="6"/>
  <c r="D47" i="7"/>
  <c r="DB49" i="6"/>
  <c r="J47" i="7"/>
  <c r="DC49" i="6"/>
  <c r="EZ49" i="6"/>
  <c r="P47" i="7"/>
  <c r="FV49" i="6"/>
  <c r="FX49" i="6"/>
  <c r="Q47" i="7"/>
  <c r="GJ49" i="6"/>
  <c r="GI49" i="6"/>
  <c r="GH49" i="6"/>
  <c r="HS49" i="6"/>
  <c r="Y47" i="7"/>
  <c r="KB49" i="6"/>
  <c r="KA49" i="6"/>
  <c r="JZ49" i="6"/>
  <c r="AI50" i="6"/>
  <c r="DC50" i="6"/>
  <c r="K48" i="7"/>
  <c r="DP50" i="6"/>
  <c r="DO50" i="6"/>
  <c r="FJ50" i="6"/>
  <c r="V48" i="7"/>
  <c r="IP50" i="6"/>
  <c r="W48" i="7"/>
  <c r="JD50" i="6"/>
  <c r="JC50" i="6"/>
  <c r="F49" i="7"/>
  <c r="BF51" i="6"/>
  <c r="J49" i="7"/>
  <c r="DB51" i="6"/>
  <c r="DD51" i="6"/>
  <c r="K49" i="7"/>
  <c r="DP51" i="6"/>
  <c r="DO51" i="6"/>
  <c r="DN51" i="6"/>
  <c r="EY51" i="6"/>
  <c r="T49" i="7"/>
  <c r="HS51" i="6"/>
  <c r="W49" i="7"/>
  <c r="JD51" i="6"/>
  <c r="JC51" i="6"/>
  <c r="JB51" i="6"/>
  <c r="K52" i="6"/>
  <c r="J28" i="9" s="1"/>
  <c r="CP52" i="6"/>
  <c r="I35" i="9" s="1"/>
  <c r="U50" i="7"/>
  <c r="H47" i="9"/>
  <c r="IF52" i="6"/>
  <c r="K47" i="9" s="1"/>
  <c r="IE52" i="6"/>
  <c r="J47" i="9" s="1"/>
  <c r="IO52" i="6"/>
  <c r="D51" i="7"/>
  <c r="L51" i="7"/>
  <c r="EB53" i="6"/>
  <c r="EA53" i="6"/>
  <c r="EN53" i="6"/>
  <c r="FJ53" i="6"/>
  <c r="T51" i="7"/>
  <c r="HT53" i="6"/>
  <c r="HS53" i="6"/>
  <c r="IF53" i="6"/>
  <c r="L54" i="6"/>
  <c r="K54" i="6"/>
  <c r="X54" i="6"/>
  <c r="AT54" i="6"/>
  <c r="DD54" i="6"/>
  <c r="DC54" i="6"/>
  <c r="DP54" i="6"/>
  <c r="EL54" i="6"/>
  <c r="GV54" i="6"/>
  <c r="GU54" i="6"/>
  <c r="HH54" i="6"/>
  <c r="ID54" i="6"/>
  <c r="JP54" i="6"/>
  <c r="AJ55" i="6"/>
  <c r="AI55" i="6"/>
  <c r="AV55" i="6"/>
  <c r="BR55" i="6"/>
  <c r="EB55" i="6"/>
  <c r="EA55" i="6"/>
  <c r="EN55" i="6"/>
  <c r="FJ55" i="6"/>
  <c r="HT55" i="6"/>
  <c r="HS55" i="6"/>
  <c r="IF55" i="6"/>
  <c r="L56" i="6"/>
  <c r="K56" i="6"/>
  <c r="X56" i="6"/>
  <c r="AT56" i="6"/>
  <c r="DD56" i="6"/>
  <c r="DC56" i="6"/>
  <c r="DP56" i="6"/>
  <c r="EL56" i="6"/>
  <c r="GV56" i="6"/>
  <c r="GU56" i="6"/>
  <c r="HH56" i="6"/>
  <c r="ID56" i="6"/>
  <c r="JP56" i="6"/>
  <c r="AJ57" i="6"/>
  <c r="AI57" i="6"/>
  <c r="AV57" i="6"/>
  <c r="BR57" i="6"/>
  <c r="EB57" i="6"/>
  <c r="EA57" i="6"/>
  <c r="EN57" i="6"/>
  <c r="FJ57" i="6"/>
  <c r="HT57" i="6"/>
  <c r="HS57" i="6"/>
  <c r="IF57" i="6"/>
  <c r="BT58" i="6"/>
  <c r="BS58" i="6"/>
  <c r="CF58" i="6"/>
  <c r="DB58" i="6"/>
  <c r="FL58" i="6"/>
  <c r="FK58" i="6"/>
  <c r="FX58" i="6"/>
  <c r="GT58" i="6"/>
  <c r="JZ58" i="6"/>
  <c r="B43" i="7"/>
  <c r="L45" i="6"/>
  <c r="D43" i="7"/>
  <c r="AJ45" i="6"/>
  <c r="F43" i="7"/>
  <c r="BH45" i="6"/>
  <c r="B44" i="7"/>
  <c r="L46" i="6"/>
  <c r="D44" i="7"/>
  <c r="AJ46" i="6"/>
  <c r="F44" i="7"/>
  <c r="BH46" i="6"/>
  <c r="B45" i="7"/>
  <c r="L47" i="6"/>
  <c r="D45" i="7"/>
  <c r="AJ47" i="6"/>
  <c r="F45" i="7"/>
  <c r="BH47" i="6"/>
  <c r="B46" i="7"/>
  <c r="L48" i="6"/>
  <c r="D46" i="7"/>
  <c r="AJ48" i="6"/>
  <c r="F46" i="7"/>
  <c r="BH48" i="6"/>
  <c r="ID48" i="6"/>
  <c r="AI49" i="6"/>
  <c r="E47" i="7"/>
  <c r="AV49" i="6"/>
  <c r="AU49" i="6"/>
  <c r="DD49" i="6"/>
  <c r="L47" i="7"/>
  <c r="DZ49" i="6"/>
  <c r="EB49" i="6"/>
  <c r="M47" i="7"/>
  <c r="EN49" i="6"/>
  <c r="EM49" i="6"/>
  <c r="EL49" i="6"/>
  <c r="FW49" i="6"/>
  <c r="V47" i="7"/>
  <c r="IP49" i="6"/>
  <c r="IQ49" i="6"/>
  <c r="X47" i="7"/>
  <c r="JN49" i="6"/>
  <c r="JP49" i="6"/>
  <c r="F48" i="7"/>
  <c r="BF50" i="6"/>
  <c r="BG50" i="6"/>
  <c r="DD50" i="6"/>
  <c r="DN50" i="6"/>
  <c r="R48" i="7"/>
  <c r="GT50" i="6"/>
  <c r="IQ50" i="6"/>
  <c r="JB50" i="6"/>
  <c r="J51" i="6"/>
  <c r="B49" i="7"/>
  <c r="BG51" i="6"/>
  <c r="G49" i="7"/>
  <c r="BT51" i="6"/>
  <c r="BS51" i="6"/>
  <c r="DC51" i="6"/>
  <c r="FV51" i="6"/>
  <c r="P49" i="7"/>
  <c r="FW51" i="6"/>
  <c r="HT51" i="6"/>
  <c r="V49" i="7"/>
  <c r="IP51" i="6"/>
  <c r="IR51" i="6"/>
  <c r="F30" i="9"/>
  <c r="AG52" i="6"/>
  <c r="AH46" i="6" s="1"/>
  <c r="Q50" i="7"/>
  <c r="H43" i="9"/>
  <c r="GJ52" i="6"/>
  <c r="K43" i="9" s="1"/>
  <c r="GI52" i="6"/>
  <c r="J43" i="9" s="1"/>
  <c r="H44" i="9"/>
  <c r="R50" i="7"/>
  <c r="GT52" i="6"/>
  <c r="I44" i="9" s="1"/>
  <c r="GV52" i="6"/>
  <c r="K44" i="9" s="1"/>
  <c r="GU52" i="6"/>
  <c r="J44" i="9" s="1"/>
  <c r="ID52" i="6"/>
  <c r="I47" i="9" s="1"/>
  <c r="E51" i="7"/>
  <c r="AV53" i="6"/>
  <c r="AU53" i="6"/>
  <c r="F51" i="7"/>
  <c r="BF53" i="6"/>
  <c r="BH53" i="6"/>
  <c r="BG53" i="6"/>
  <c r="I51" i="7"/>
  <c r="CQ53" i="6"/>
  <c r="CP53" i="6"/>
  <c r="K51" i="7"/>
  <c r="DO53" i="6"/>
  <c r="DP53" i="6"/>
  <c r="DZ53" i="6"/>
  <c r="Q51" i="7"/>
  <c r="GI53" i="6"/>
  <c r="GH53" i="6"/>
  <c r="S51" i="7"/>
  <c r="HG53" i="6"/>
  <c r="HH53" i="6"/>
  <c r="HR53" i="6"/>
  <c r="W51" i="7"/>
  <c r="JC53" i="6"/>
  <c r="Y51" i="7"/>
  <c r="KA53" i="6"/>
  <c r="KB53" i="6"/>
  <c r="J54" i="6"/>
  <c r="BS54" i="6"/>
  <c r="BR54" i="6"/>
  <c r="CQ54" i="6"/>
  <c r="CR54" i="6"/>
  <c r="DB54" i="6"/>
  <c r="FK54" i="6"/>
  <c r="FJ54" i="6"/>
  <c r="GI54" i="6"/>
  <c r="GJ54" i="6"/>
  <c r="GT54" i="6"/>
  <c r="KA54" i="6"/>
  <c r="JZ54" i="6"/>
  <c r="W55" i="6"/>
  <c r="X55" i="6"/>
  <c r="AH55" i="6"/>
  <c r="CQ55" i="6"/>
  <c r="CP55" i="6"/>
  <c r="DO55" i="6"/>
  <c r="DP55" i="6"/>
  <c r="DZ55" i="6"/>
  <c r="GI55" i="6"/>
  <c r="GH55" i="6"/>
  <c r="HG55" i="6"/>
  <c r="HH55" i="6"/>
  <c r="HR55" i="6"/>
  <c r="KA55" i="6"/>
  <c r="KB55" i="6"/>
  <c r="J56" i="6"/>
  <c r="BS56" i="6"/>
  <c r="BR56" i="6"/>
  <c r="CQ56" i="6"/>
  <c r="CR56" i="6"/>
  <c r="DB56" i="6"/>
  <c r="FK56" i="6"/>
  <c r="FJ56" i="6"/>
  <c r="GI56" i="6"/>
  <c r="GJ56" i="6"/>
  <c r="JC56" i="6"/>
  <c r="JD56" i="6"/>
  <c r="JB56" i="6"/>
  <c r="KA56" i="6"/>
  <c r="JZ56" i="6"/>
  <c r="W57" i="6"/>
  <c r="X57" i="6"/>
  <c r="CQ57" i="6"/>
  <c r="CP57" i="6"/>
  <c r="DO57" i="6"/>
  <c r="DP57" i="6"/>
  <c r="GI57" i="6"/>
  <c r="GH57" i="6"/>
  <c r="HG57" i="6"/>
  <c r="HH57" i="6"/>
  <c r="HR57" i="6"/>
  <c r="KA57" i="6"/>
  <c r="KB57" i="6"/>
  <c r="BR58" i="6"/>
  <c r="EA58" i="6"/>
  <c r="DZ58" i="6"/>
  <c r="EY58" i="6"/>
  <c r="EZ58" i="6"/>
  <c r="FJ58" i="6"/>
  <c r="HS58" i="6"/>
  <c r="HR58" i="6"/>
  <c r="IP58" i="6"/>
  <c r="IR58" i="6"/>
  <c r="JD58" i="6"/>
  <c r="JB58" i="6"/>
  <c r="C47" i="7"/>
  <c r="X49" i="6"/>
  <c r="G47" i="7"/>
  <c r="BT49" i="6"/>
  <c r="I48" i="7"/>
  <c r="CR50" i="6"/>
  <c r="M48" i="7"/>
  <c r="EN50" i="6"/>
  <c r="Q48" i="7"/>
  <c r="GJ50" i="6"/>
  <c r="U48" i="7"/>
  <c r="IF50" i="6"/>
  <c r="Y48" i="7"/>
  <c r="KB50" i="6"/>
  <c r="E49" i="7"/>
  <c r="AV51" i="6"/>
  <c r="H37" i="9"/>
  <c r="K50" i="7"/>
  <c r="DP52" i="6"/>
  <c r="K37" i="9" s="1"/>
  <c r="H41" i="9"/>
  <c r="O50" i="7"/>
  <c r="FL52" i="6"/>
  <c r="K41" i="9" s="1"/>
  <c r="H45" i="9"/>
  <c r="S50" i="7"/>
  <c r="HH52" i="6"/>
  <c r="K45" i="9" s="1"/>
  <c r="H49" i="9"/>
  <c r="W50" i="7"/>
  <c r="JD52" i="6"/>
  <c r="K49" i="9" s="1"/>
  <c r="C51" i="7"/>
  <c r="X53" i="6"/>
  <c r="G51" i="7"/>
  <c r="BT53" i="6"/>
  <c r="JB48" i="6"/>
  <c r="V49" i="6"/>
  <c r="BR49" i="6"/>
  <c r="K47" i="7"/>
  <c r="DP49" i="6"/>
  <c r="O47" i="7"/>
  <c r="FL49" i="6"/>
  <c r="S47" i="7"/>
  <c r="HH49" i="6"/>
  <c r="W47" i="7"/>
  <c r="JD49" i="6"/>
  <c r="C48" i="7"/>
  <c r="X50" i="6"/>
  <c r="G48" i="7"/>
  <c r="BT50" i="6"/>
  <c r="CP50" i="6"/>
  <c r="EL50" i="6"/>
  <c r="GH50" i="6"/>
  <c r="ID50" i="6"/>
  <c r="JZ50" i="6"/>
  <c r="AT51" i="6"/>
  <c r="I49" i="7"/>
  <c r="CR51" i="6"/>
  <c r="M49" i="7"/>
  <c r="EN51" i="6"/>
  <c r="Q49" i="7"/>
  <c r="GJ51" i="6"/>
  <c r="U49" i="7"/>
  <c r="IF51" i="6"/>
  <c r="Y49" i="7"/>
  <c r="KB51" i="6"/>
  <c r="H31" i="9"/>
  <c r="E50" i="7"/>
  <c r="AV52" i="6"/>
  <c r="K31" i="9" s="1"/>
  <c r="DN52" i="6"/>
  <c r="I37" i="9" s="1"/>
  <c r="DY52" i="6"/>
  <c r="FJ52" i="6"/>
  <c r="I41" i="9" s="1"/>
  <c r="FU52" i="6"/>
  <c r="HF52" i="6"/>
  <c r="I45" i="9" s="1"/>
  <c r="HQ52" i="6"/>
  <c r="HR27" i="6" s="1"/>
  <c r="JB52" i="6"/>
  <c r="I49" i="9" s="1"/>
  <c r="JM52" i="6"/>
  <c r="V53" i="6"/>
  <c r="BR53" i="6"/>
  <c r="DB53" i="6"/>
  <c r="EX53" i="6"/>
  <c r="GT53" i="6"/>
  <c r="W46" i="7"/>
  <c r="CF17" i="6"/>
  <c r="CE17" i="6"/>
  <c r="CD53" i="6"/>
  <c r="CF53" i="6"/>
  <c r="CE53" i="6"/>
  <c r="CC52" i="6"/>
  <c r="CD17" i="6" s="1"/>
  <c r="CE51" i="6"/>
  <c r="H49" i="7"/>
  <c r="H48" i="7"/>
  <c r="CF50" i="6"/>
  <c r="CD50" i="6"/>
  <c r="CE50" i="6"/>
  <c r="CE49" i="6"/>
  <c r="H47" i="7"/>
  <c r="CD49" i="6"/>
  <c r="CE48" i="6"/>
  <c r="CD48" i="6"/>
  <c r="CF48" i="6"/>
  <c r="CE47" i="6"/>
  <c r="H45" i="7"/>
  <c r="CD47" i="6"/>
  <c r="CE46" i="6"/>
  <c r="CF46" i="6"/>
  <c r="CF45" i="6"/>
  <c r="CD45" i="6"/>
  <c r="H43" i="7"/>
  <c r="CE45" i="6"/>
  <c r="H42" i="7"/>
  <c r="CF44" i="6"/>
  <c r="CE44" i="6"/>
  <c r="CE43" i="6"/>
  <c r="H41" i="7"/>
  <c r="H40" i="7"/>
  <c r="CF42" i="6"/>
  <c r="CD42" i="6"/>
  <c r="CE42" i="6"/>
  <c r="CF41" i="6"/>
  <c r="CD41" i="6"/>
  <c r="H39" i="7"/>
  <c r="CE41" i="6"/>
  <c r="H38" i="7"/>
  <c r="CF40" i="6"/>
  <c r="CD40" i="6"/>
  <c r="CE40" i="6"/>
  <c r="CF39" i="6"/>
  <c r="CD39" i="6"/>
  <c r="H37" i="7"/>
  <c r="CE39" i="6"/>
  <c r="H36" i="7"/>
  <c r="CF38" i="6"/>
  <c r="CD38" i="6"/>
  <c r="CE38" i="6"/>
  <c r="CF37" i="6"/>
  <c r="CD37" i="6"/>
  <c r="H35" i="7"/>
  <c r="CE37" i="6"/>
  <c r="H34" i="7"/>
  <c r="CF36" i="6"/>
  <c r="CE36" i="6"/>
  <c r="CF35" i="6"/>
  <c r="CD35" i="6"/>
  <c r="H33" i="7"/>
  <c r="CE35" i="6"/>
  <c r="H32" i="7"/>
  <c r="CF34" i="6"/>
  <c r="CD34" i="6"/>
  <c r="CE34" i="6"/>
  <c r="CE33" i="6"/>
  <c r="H31" i="7"/>
  <c r="CE32" i="6"/>
  <c r="CD32" i="6"/>
  <c r="CF32" i="6"/>
  <c r="CD27" i="6"/>
  <c r="CF27" i="6"/>
  <c r="H25" i="7"/>
  <c r="H24" i="7"/>
  <c r="CF26" i="6"/>
  <c r="CD26" i="6"/>
  <c r="CE26" i="6"/>
  <c r="CF25" i="6"/>
  <c r="CD25" i="6"/>
  <c r="H23" i="7"/>
  <c r="CE25" i="6"/>
  <c r="H22" i="7"/>
  <c r="CF24" i="6"/>
  <c r="CD24" i="6"/>
  <c r="CE24" i="6"/>
  <c r="CF23" i="6"/>
  <c r="CD23" i="6"/>
  <c r="H21" i="7"/>
  <c r="CE23" i="6"/>
  <c r="H20" i="7"/>
  <c r="CF22" i="6"/>
  <c r="CD22" i="6"/>
  <c r="CE22" i="6"/>
  <c r="CF21" i="6"/>
  <c r="CD21" i="6"/>
  <c r="H19" i="7"/>
  <c r="CE21" i="6"/>
  <c r="CE20" i="6"/>
  <c r="H18" i="7"/>
  <c r="CF20" i="6"/>
  <c r="CD20" i="6"/>
  <c r="H17" i="7"/>
  <c r="CE19" i="6"/>
  <c r="CF19" i="6"/>
  <c r="CD19" i="6"/>
  <c r="CE18" i="6"/>
  <c r="H16" i="7"/>
  <c r="CF18" i="6"/>
  <c r="CD18" i="6"/>
  <c r="CE16" i="6"/>
  <c r="H14" i="7"/>
  <c r="CF16" i="6"/>
  <c r="CD16" i="6"/>
  <c r="H13" i="7"/>
  <c r="CE15" i="6"/>
  <c r="CF15" i="6"/>
  <c r="CD15" i="6"/>
  <c r="CE14" i="6"/>
  <c r="H12" i="7"/>
  <c r="CF14" i="6"/>
  <c r="CD14" i="6"/>
  <c r="H11" i="7"/>
  <c r="CE13" i="6"/>
  <c r="CD13" i="6"/>
  <c r="CF13" i="6"/>
  <c r="CE12" i="6"/>
  <c r="CD12" i="6"/>
  <c r="H10" i="7"/>
  <c r="CF12" i="6"/>
  <c r="CE11" i="6"/>
  <c r="CD11" i="6"/>
  <c r="CF11" i="6"/>
  <c r="H8" i="7"/>
  <c r="CE10" i="6"/>
  <c r="CD10" i="6"/>
  <c r="CE9" i="6"/>
  <c r="CD9" i="6"/>
  <c r="CF9" i="6"/>
  <c r="H6" i="7"/>
  <c r="CE8" i="6"/>
  <c r="CD8" i="6"/>
  <c r="CE7" i="6"/>
  <c r="CD7" i="6"/>
  <c r="CF7" i="6"/>
  <c r="CE6" i="6"/>
  <c r="H4" i="7"/>
  <c r="CD6" i="6"/>
  <c r="CE5" i="6"/>
  <c r="CD5" i="6"/>
  <c r="CF5" i="6"/>
  <c r="CE4" i="6"/>
  <c r="H2" i="7"/>
  <c r="CD4" i="6"/>
  <c r="AH28" i="6" l="1"/>
  <c r="AH5" i="6"/>
  <c r="AH42" i="6"/>
  <c r="AH40" i="6"/>
  <c r="AH33" i="6"/>
  <c r="AH25" i="6"/>
  <c r="AH29" i="6"/>
  <c r="AH13" i="6"/>
  <c r="AH7" i="6"/>
  <c r="AH31" i="6"/>
  <c r="AH47" i="6"/>
  <c r="AH32" i="6"/>
  <c r="AH12" i="6"/>
  <c r="AE15" i="7"/>
  <c r="AD30" i="7"/>
  <c r="AH36" i="6"/>
  <c r="AH30" i="6"/>
  <c r="AE7" i="7"/>
  <c r="AH20" i="6"/>
  <c r="AH19" i="6"/>
  <c r="AH48" i="6"/>
  <c r="AH39" i="6"/>
  <c r="AH24" i="6"/>
  <c r="AH10" i="6"/>
  <c r="AH6" i="6"/>
  <c r="AH4" i="6"/>
  <c r="AH43" i="6"/>
  <c r="AH17" i="6"/>
  <c r="AH21" i="6"/>
  <c r="AH14" i="6"/>
  <c r="AH27" i="6"/>
  <c r="AH22" i="6"/>
  <c r="Z51" i="7"/>
  <c r="AB51" i="7" s="1"/>
  <c r="Z44" i="7"/>
  <c r="AH34" i="6"/>
  <c r="AH51" i="6"/>
  <c r="AH44" i="6"/>
  <c r="AH38" i="6"/>
  <c r="AH26" i="6"/>
  <c r="AD15" i="7"/>
  <c r="AH11" i="6"/>
  <c r="AH9" i="6"/>
  <c r="AD5" i="7"/>
  <c r="AD9" i="7"/>
  <c r="AH23" i="6"/>
  <c r="AH15" i="6"/>
  <c r="AH35" i="6"/>
  <c r="AH37" i="6"/>
  <c r="AH18" i="6"/>
  <c r="AH53" i="6"/>
  <c r="AH49" i="6"/>
  <c r="AH50" i="6"/>
  <c r="AH8" i="6"/>
  <c r="AH41" i="6"/>
  <c r="AH45" i="6"/>
  <c r="AH16" i="6"/>
  <c r="AD51" i="7"/>
  <c r="AD46" i="7"/>
  <c r="AE46" i="7"/>
  <c r="Z5" i="7"/>
  <c r="AB5" i="7" s="1"/>
  <c r="AD3" i="7"/>
  <c r="AD44" i="7"/>
  <c r="Z7" i="7"/>
  <c r="AC7" i="7" s="1"/>
  <c r="Z9" i="7"/>
  <c r="AB9" i="7" s="1"/>
  <c r="AE44" i="7"/>
  <c r="AE3" i="7"/>
  <c r="AD7" i="7"/>
  <c r="AE30" i="7"/>
  <c r="Z3" i="7"/>
  <c r="AB3" i="7" s="1"/>
  <c r="AE5" i="7"/>
  <c r="Z30" i="7"/>
  <c r="AB30" i="7" s="1"/>
  <c r="Z46" i="7"/>
  <c r="AB46" i="7" s="1"/>
  <c r="H48" i="9"/>
  <c r="V50" i="7"/>
  <c r="IP52" i="6"/>
  <c r="I48" i="9" s="1"/>
  <c r="IR52" i="6"/>
  <c r="K48" i="9" s="1"/>
  <c r="IQ52" i="6"/>
  <c r="J48" i="9" s="1"/>
  <c r="HR51" i="6"/>
  <c r="H36" i="9"/>
  <c r="DB52" i="6"/>
  <c r="I36" i="9" s="1"/>
  <c r="DD52" i="6"/>
  <c r="K36" i="9" s="1"/>
  <c r="DC52" i="6"/>
  <c r="J36" i="9" s="1"/>
  <c r="J50" i="7"/>
  <c r="HR48" i="6"/>
  <c r="Z29" i="7"/>
  <c r="AD29" i="7"/>
  <c r="AE29" i="7"/>
  <c r="AE28" i="7"/>
  <c r="Z28" i="7"/>
  <c r="AD28" i="7"/>
  <c r="HR16" i="6"/>
  <c r="HR8" i="6"/>
  <c r="H50" i="9"/>
  <c r="X50" i="7"/>
  <c r="JN52" i="6"/>
  <c r="I50" i="9" s="1"/>
  <c r="JP52" i="6"/>
  <c r="K50" i="9" s="1"/>
  <c r="JO52" i="6"/>
  <c r="J50" i="9" s="1"/>
  <c r="H42" i="9"/>
  <c r="P50" i="7"/>
  <c r="FV52" i="6"/>
  <c r="I42" i="9" s="1"/>
  <c r="FW52" i="6"/>
  <c r="J42" i="9" s="1"/>
  <c r="FX52" i="6"/>
  <c r="K42" i="9" s="1"/>
  <c r="HR40" i="6"/>
  <c r="AD27" i="7"/>
  <c r="Z27" i="7"/>
  <c r="AE27" i="7"/>
  <c r="HR42" i="6"/>
  <c r="AE51" i="7"/>
  <c r="HR45" i="6"/>
  <c r="AE26" i="7"/>
  <c r="Z26" i="7"/>
  <c r="AD26" i="7"/>
  <c r="HR34" i="6"/>
  <c r="CD43" i="6"/>
  <c r="CD44" i="6"/>
  <c r="CD46" i="6"/>
  <c r="H46" i="9"/>
  <c r="T50" i="7"/>
  <c r="HR52" i="6"/>
  <c r="I46" i="9" s="1"/>
  <c r="HT52" i="6"/>
  <c r="K46" i="9" s="1"/>
  <c r="HS52" i="6"/>
  <c r="J46" i="9" s="1"/>
  <c r="H38" i="9"/>
  <c r="L50" i="7"/>
  <c r="DZ52" i="6"/>
  <c r="I38" i="9" s="1"/>
  <c r="EB52" i="6"/>
  <c r="K38" i="9" s="1"/>
  <c r="EA52" i="6"/>
  <c r="J38" i="9" s="1"/>
  <c r="D50" i="7"/>
  <c r="H30" i="9"/>
  <c r="AH52" i="6"/>
  <c r="I30" i="9" s="1"/>
  <c r="AI52" i="6"/>
  <c r="J30" i="9" s="1"/>
  <c r="AJ52" i="6"/>
  <c r="K30" i="9" s="1"/>
  <c r="K40" i="9"/>
  <c r="K39" i="9"/>
  <c r="HR43" i="6"/>
  <c r="HR37" i="6"/>
  <c r="HR39" i="6"/>
  <c r="AB15" i="7"/>
  <c r="AC15" i="7"/>
  <c r="H50" i="7"/>
  <c r="CF52" i="6"/>
  <c r="K34" i="9" s="1"/>
  <c r="CD52" i="6"/>
  <c r="I34" i="9" s="1"/>
  <c r="H34" i="9"/>
  <c r="CE52" i="6"/>
  <c r="J34" i="9" s="1"/>
  <c r="CD33" i="6"/>
  <c r="CD36" i="6"/>
  <c r="CD51" i="6"/>
  <c r="AE49" i="7"/>
  <c r="AD49" i="7"/>
  <c r="Z49" i="7"/>
  <c r="AD48" i="7"/>
  <c r="Z48" i="7"/>
  <c r="AE48" i="7"/>
  <c r="AE47" i="7"/>
  <c r="AD47" i="7"/>
  <c r="Z47" i="7"/>
  <c r="AE45" i="7"/>
  <c r="AD45" i="7"/>
  <c r="Z45" i="7"/>
  <c r="AB44" i="7"/>
  <c r="AC44" i="7"/>
  <c r="AE43" i="7"/>
  <c r="AD43" i="7"/>
  <c r="Z43" i="7"/>
  <c r="AD42" i="7"/>
  <c r="Z42" i="7"/>
  <c r="AE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C30" i="7"/>
  <c r="AE25" i="7"/>
  <c r="AD25" i="7"/>
  <c r="Z25" i="7"/>
  <c r="AD24" i="7"/>
  <c r="Z24" i="7"/>
  <c r="AE24" i="7"/>
  <c r="AE23" i="7"/>
  <c r="AD23" i="7"/>
  <c r="Z23" i="7"/>
  <c r="AD22" i="7"/>
  <c r="Z22" i="7"/>
  <c r="AE22" i="7"/>
  <c r="AE21" i="7"/>
  <c r="AD21" i="7"/>
  <c r="Z21" i="7"/>
  <c r="AD20" i="7"/>
  <c r="Z20" i="7"/>
  <c r="AE20" i="7"/>
  <c r="AE19" i="7"/>
  <c r="AD19" i="7"/>
  <c r="Z19" i="7"/>
  <c r="AE18" i="7"/>
  <c r="AD18" i="7"/>
  <c r="Z18" i="7"/>
  <c r="AD17" i="7"/>
  <c r="Z17" i="7"/>
  <c r="AE17" i="7"/>
  <c r="AE16" i="7"/>
  <c r="AD16" i="7"/>
  <c r="Z16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E6" i="7"/>
  <c r="AD6" i="7"/>
  <c r="Z6" i="7"/>
  <c r="AE4" i="7"/>
  <c r="AD4" i="7"/>
  <c r="Z4" i="7"/>
  <c r="AE2" i="7"/>
  <c r="AD2" i="7"/>
  <c r="Z2" i="7"/>
  <c r="AB7" i="7" l="1"/>
  <c r="AC51" i="7"/>
  <c r="AC5" i="7"/>
  <c r="AC9" i="7"/>
  <c r="AC46" i="7"/>
  <c r="AC3" i="7"/>
  <c r="AC26" i="7"/>
  <c r="AB26" i="7"/>
  <c r="AB27" i="7"/>
  <c r="AC27" i="7"/>
  <c r="AB28" i="7"/>
  <c r="AC28" i="7"/>
  <c r="AB29" i="7"/>
  <c r="AC29" i="7"/>
  <c r="AD50" i="7"/>
  <c r="M20" i="9" s="1"/>
  <c r="Z50" i="7"/>
  <c r="AE50" i="7"/>
  <c r="M21" i="9" s="1"/>
  <c r="I65" i="9" a="1"/>
  <c r="I65" i="9" s="1"/>
  <c r="B16" i="9"/>
  <c r="B15" i="9"/>
  <c r="I59" i="9" a="1"/>
  <c r="I59" i="9" s="1"/>
  <c r="I62" i="9" a="1"/>
  <c r="I62" i="9" s="1"/>
  <c r="I60" i="9" a="1"/>
  <c r="I60" i="9" s="1"/>
  <c r="I61" i="9" a="1"/>
  <c r="I61" i="9" s="1"/>
  <c r="I63" i="9" a="1"/>
  <c r="I63" i="9" s="1"/>
  <c r="I58" i="9" a="1"/>
  <c r="I58" i="9" s="1"/>
  <c r="I64" i="9" a="1"/>
  <c r="I64" i="9" s="1"/>
  <c r="AC49" i="7"/>
  <c r="AB49" i="7"/>
  <c r="AB48" i="7"/>
  <c r="AC48" i="7"/>
  <c r="AC47" i="7"/>
  <c r="AB47" i="7"/>
  <c r="AC45" i="7"/>
  <c r="AB45" i="7"/>
  <c r="AC43" i="7"/>
  <c r="AB43" i="7"/>
  <c r="AB42" i="7"/>
  <c r="AC42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B34" i="7"/>
  <c r="AC34" i="7"/>
  <c r="AC33" i="7"/>
  <c r="AB33" i="7"/>
  <c r="AB32" i="7"/>
  <c r="AC32" i="7"/>
  <c r="AC31" i="7"/>
  <c r="AB31" i="7"/>
  <c r="AC25" i="7"/>
  <c r="AB25" i="7"/>
  <c r="AB24" i="7"/>
  <c r="AC24" i="7"/>
  <c r="AC23" i="7"/>
  <c r="AB23" i="7"/>
  <c r="AB22" i="7"/>
  <c r="AC22" i="7"/>
  <c r="AC21" i="7"/>
  <c r="AB21" i="7"/>
  <c r="AB20" i="7"/>
  <c r="AC20" i="7"/>
  <c r="AC19" i="7"/>
  <c r="AB19" i="7"/>
  <c r="AC18" i="7"/>
  <c r="AB18" i="7"/>
  <c r="AB17" i="7"/>
  <c r="AC17" i="7"/>
  <c r="AC16" i="7"/>
  <c r="AB16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AF50" i="7" l="1"/>
  <c r="M26" i="9" s="1"/>
  <c r="AB50" i="7"/>
  <c r="AC50" i="7"/>
  <c r="M19" i="9" s="1"/>
  <c r="E67" i="9"/>
  <c r="M13" i="9"/>
</calcChain>
</file>

<file path=xl/sharedStrings.xml><?xml version="1.0" encoding="utf-8"?>
<sst xmlns="http://schemas.openxmlformats.org/spreadsheetml/2006/main" count="812" uniqueCount="191">
  <si>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</si>
  <si>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</si>
  <si>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</si>
  <si>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</si>
  <si>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</si>
  <si>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</si>
  <si>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</si>
  <si>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</si>
  <si>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</si>
  <si>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</si>
  <si>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</si>
  <si>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</si>
  <si>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</si>
  <si>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</si>
  <si>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</si>
  <si>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</si>
  <si>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</si>
  <si>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</si>
  <si>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</si>
  <si>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</si>
  <si>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</si>
  <si>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</si>
  <si>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</si>
  <si>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</si>
  <si>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</si>
  <si>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</si>
  <si>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</si>
  <si>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</si>
  <si>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</si>
  <si>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</si>
  <si>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</si>
  <si>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</si>
  <si>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</si>
  <si>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</si>
  <si>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</si>
  <si>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</si>
  <si>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</si>
  <si>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</si>
  <si>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</si>
  <si>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</si>
  <si>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</si>
  <si>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</si>
  <si>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</si>
  <si>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</si>
  <si>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</si>
  <si>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</si>
  <si>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</si>
  <si>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</si>
  <si>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</si>
  <si>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</si>
  <si>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</si>
  <si>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</si>
  <si>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</si>
  <si>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</si>
  <si>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</si>
  <si>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</si>
  <si>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</si>
  <si>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</si>
  <si>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</si>
  <si>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</si>
  <si>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</si>
  <si>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</si>
  <si>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</si>
  <si>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</si>
  <si>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</si>
  <si>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</si>
  <si>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</si>
  <si>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</si>
  <si>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</si>
  <si>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</si>
  <si>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</si>
  <si>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</si>
  <si>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</si>
  <si>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</si>
  <si>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</si>
  <si>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</si>
  <si>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</si>
  <si>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</si>
  <si>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</si>
  <si>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</si>
  <si>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</si>
  <si>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</si>
  <si>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</si>
  <si>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</si>
  <si>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</si>
  <si>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</si>
  <si>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</si>
  <si>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</si>
  <si>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</si>
  <si>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</si>
  <si>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</si>
  <si>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</si>
  <si>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</si>
  <si>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</si>
  <si>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</si>
  <si>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</si>
  <si>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</si>
  <si>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</si>
  <si>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</si>
  <si>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</si>
  <si>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</si>
  <si>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</si>
  <si>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</si>
  <si>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</si>
  <si>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</si>
  <si>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</si>
  <si>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</si>
  <si>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</si>
  <si>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</si>
  <si>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</si>
  <si>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</si>
  <si>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</si>
  <si>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</si>
  <si>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</si>
  <si>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</si>
  <si>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</si>
  <si>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</si>
  <si>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</si>
  <si>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</si>
  <si>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</si>
  <si>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</si>
  <si>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</si>
  <si>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</si>
  <si>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</si>
  <si>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</si>
  <si>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</si>
  <si>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</si>
  <si>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</si>
  <si>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</si>
  <si>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</si>
  <si>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</si>
  <si>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</si>
  <si>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</si>
  <si>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</si>
  <si>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</si>
  <si>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</si>
  <si>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</si>
  <si>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ALI AHMED ASHEMI</t>
  </si>
  <si>
    <t>ALHAJI MUSTAPHA ABUBAKAR</t>
  </si>
  <si>
    <t>ALI MUHAMMED UMAR</t>
  </si>
  <si>
    <t>ADAM UMAR LAMINU</t>
  </si>
  <si>
    <t>ABUBAKAR UMAR</t>
  </si>
  <si>
    <t>BABAGANA ISA ABBA</t>
  </si>
  <si>
    <t>BABASHEHU ABDULLAHI</t>
  </si>
  <si>
    <t>BUKAR MUHAMMED GAMBO</t>
  </si>
  <si>
    <t>ELKANAH DANIEL KAIGAMA</t>
  </si>
  <si>
    <t>GANA ABUBAKAR ALHAJ</t>
  </si>
  <si>
    <t>IBRAHIM HASSAN HELMA</t>
  </si>
  <si>
    <t>MODUYE ALI</t>
  </si>
  <si>
    <t>MUSA AYUNDA JAMES</t>
  </si>
  <si>
    <t>MUHAMMED KOLE MUHAMMED</t>
  </si>
  <si>
    <t>MOHAMMED IBRAHIM SHETTIMA</t>
  </si>
  <si>
    <t>MUHAMMED MUSA BUKAR</t>
  </si>
  <si>
    <t>MOHAMMED KASHIM ADAM</t>
  </si>
  <si>
    <t>MOHAMMED KALA JUNIOR</t>
  </si>
  <si>
    <t>MUSTAPHA NGABURA LAMINU</t>
  </si>
  <si>
    <t>MOHAMMED ALKALI</t>
  </si>
  <si>
    <t>MOHAMMED TAHIR KOTOKO</t>
  </si>
  <si>
    <t>SUGUN IBRAHIM</t>
  </si>
  <si>
    <t>WIZIRI UMAR KINIDI</t>
  </si>
  <si>
    <t>ALI AALIYA SHEHU</t>
  </si>
  <si>
    <t>AUDU FATIMA ADO</t>
  </si>
  <si>
    <t>ABBA FATIMA KYARI</t>
  </si>
  <si>
    <t>AHMED FATIMA JIME</t>
  </si>
  <si>
    <t>ADAMU HASAT ISAH</t>
  </si>
  <si>
    <t>BABAGANA AISHA ARFO</t>
  </si>
  <si>
    <t>BABA AMINA ZANNAH</t>
  </si>
  <si>
    <t>BUKAR FATIMAH ALLAU</t>
  </si>
  <si>
    <t>BABAGANA FATIMA KARUMI</t>
  </si>
  <si>
    <t>HARUNA RUTH AFFIKU</t>
  </si>
  <si>
    <t>HABILA ROSE</t>
  </si>
  <si>
    <t>IBRAHIM HADIZA ABUBAKAR</t>
  </si>
  <si>
    <t>KALLI AMSATU SHETTIMA</t>
  </si>
  <si>
    <t>LUQMAN HIKMAH</t>
  </si>
  <si>
    <t>MADU AYAMU YARIMA</t>
  </si>
  <si>
    <t>MUHAMMED SAKINAH ABDU</t>
  </si>
  <si>
    <t>NASIRU KHADIJAH GAJI</t>
  </si>
  <si>
    <t>SULEIMAN LAILA</t>
  </si>
  <si>
    <t>TAHA AMINA</t>
  </si>
  <si>
    <t>UMAR ZAINAB ZARMA</t>
  </si>
  <si>
    <t>ZANNA ZARA MUSTAPHA</t>
  </si>
  <si>
    <t>ZUBAIRU KHADIJA H ALIN</t>
  </si>
  <si>
    <t>SS 1F</t>
  </si>
  <si>
    <t>1 st</t>
  </si>
  <si>
    <t>SHEHU LAWAN BUKAR</t>
  </si>
  <si>
    <t>LAWAN SHEHU BU8KAR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</si>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</sst>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5">
    <font>
      <sz val="11"/>
      <name val="Calibri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32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3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32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" fillId="0" borderId="1" xfId="1" applyFont="1" applyBorder="1" applyAlignment="1" applyProtection="1">
      <alignment horizontal="left" wrapText="1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2" fillId="0" borderId="1" xfId="1" applyFont="1" applyBorder="1" applyAlignment="1" applyProtection="1">
      <alignment horizontal="left" vertical="center" wrapText="1"/>
    </xf>
    <xf numFmtId="0" fontId="7" fillId="0" borderId="1" xfId="3" applyBorder="1" applyAlignment="1" applyProtection="1">
      <alignment vertical="center"/>
    </xf>
    <xf numFmtId="0" fontId="2" fillId="0" borderId="1" xfId="1" applyFont="1" applyBorder="1" applyAlignment="1" applyProtection="1">
      <alignment wrapText="1"/>
    </xf>
    <xf numFmtId="0" fontId="8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vertical="center" wrapText="1"/>
    </xf>
    <xf numFmtId="0" fontId="2" fillId="0" borderId="1" xfId="1" applyFont="1" applyBorder="1" applyAlignment="1" applyProtection="1">
      <alignment horizontal="left" vertical="center"/>
    </xf>
    <xf numFmtId="0" fontId="2" fillId="0" borderId="1" xfId="1" applyFont="1" applyBorder="1" applyAlignment="1" applyProtection="1">
      <alignment horizontal="left" vertical="top" wrapText="1"/>
    </xf>
    <xf numFmtId="0" fontId="5" fillId="0" borderId="0" xfId="0" applyFont="1" applyAlignment="1"/>
    <xf numFmtId="0" fontId="8" fillId="0" borderId="1" xfId="1" applyFont="1" applyBorder="1" applyAlignment="1" applyProtection="1">
      <alignment vertical="center" wrapText="1"/>
    </xf>
    <xf numFmtId="0" fontId="3" fillId="0" borderId="1" xfId="1" applyFont="1" applyBorder="1" applyAlignment="1" applyProtection="1">
      <alignment vertical="center"/>
    </xf>
    <xf numFmtId="0" fontId="2" fillId="0" borderId="1" xfId="1" applyFont="1" applyBorder="1" applyAlignment="1" applyProtection="1">
      <alignment vertical="top" wrapText="1"/>
    </xf>
    <xf numFmtId="0" fontId="9" fillId="0" borderId="1" xfId="1" applyFont="1" applyBorder="1" applyAlignment="1" applyProtection="1">
      <alignment vertical="top" wrapText="1"/>
    </xf>
    <xf numFmtId="0" fontId="10" fillId="0" borderId="1" xfId="1" applyFont="1" applyBorder="1" applyAlignment="1" applyProtection="1">
      <alignment vertical="center" wrapText="1"/>
    </xf>
    <xf numFmtId="0" fontId="10" fillId="0" borderId="1" xfId="1" applyFont="1" applyBorder="1" applyAlignment="1" applyProtection="1">
      <alignment horizontal="left" vertical="top" wrapText="1"/>
    </xf>
    <xf numFmtId="0" fontId="10" fillId="0" borderId="1" xfId="1" applyFont="1" applyBorder="1" applyAlignment="1" applyProtection="1">
      <alignment vertical="top" wrapText="1"/>
    </xf>
    <xf numFmtId="0" fontId="10" fillId="0" borderId="1" xfId="1" applyFont="1" applyBorder="1" applyAlignment="1" applyProtection="1">
      <alignment horizontal="left" vertical="center" wrapText="1"/>
    </xf>
    <xf numFmtId="0" fontId="10" fillId="0" borderId="1" xfId="1" applyFont="1" applyBorder="1" applyAlignment="1" applyProtection="1">
      <alignment wrapText="1"/>
    </xf>
    <xf numFmtId="0" fontId="5" fillId="0" borderId="1" xfId="3" applyFont="1" applyBorder="1" applyAlignment="1" applyProtection="1"/>
    <xf numFmtId="0" fontId="11" fillId="0" borderId="1" xfId="3" applyFont="1" applyBorder="1" applyAlignment="1" applyProtection="1"/>
    <xf numFmtId="0" fontId="1" fillId="0" borderId="1" xfId="3" applyFont="1" applyBorder="1" applyAlignment="1" applyProtection="1">
      <alignment vertical="center"/>
    </xf>
    <xf numFmtId="0" fontId="10" fillId="0" borderId="1" xfId="1" applyFont="1" applyFill="1" applyBorder="1" applyAlignment="1" applyProtection="1">
      <alignment vertical="center" wrapText="1"/>
    </xf>
    <xf numFmtId="0" fontId="7" fillId="0" borderId="1" xfId="3" applyBorder="1" applyAlignment="1" applyProtection="1"/>
    <xf numFmtId="0" fontId="1" fillId="0" borderId="1" xfId="3" applyFont="1" applyBorder="1" applyAlignment="1" applyProtection="1"/>
    <xf numFmtId="0" fontId="10" fillId="0" borderId="1" xfId="1" applyFont="1" applyFill="1" applyBorder="1" applyAlignment="1" applyProtection="1">
      <alignment horizontal="left" vertical="center" wrapText="1"/>
    </xf>
    <xf numFmtId="0" fontId="6" fillId="0" borderId="1" xfId="2" applyFont="1" applyFill="1" applyBorder="1" applyAlignment="1" applyProtection="1">
      <alignment vertical="center"/>
    </xf>
    <xf numFmtId="0" fontId="7" fillId="0" borderId="1" xfId="2" applyBorder="1" applyAlignment="1" applyProtection="1">
      <alignment vertical="center"/>
    </xf>
    <xf numFmtId="0" fontId="1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4" fillId="0" borderId="1" xfId="4" applyFont="1" applyBorder="1" applyAlignment="1" applyProtection="1">
      <alignment vertical="center"/>
    </xf>
    <xf numFmtId="0" fontId="13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5" fillId="0" borderId="1" xfId="0" applyFont="1" applyBorder="1" applyAlignment="1"/>
    <xf numFmtId="0" fontId="16" fillId="0" borderId="1" xfId="0" applyFont="1" applyFill="1" applyBorder="1" applyAlignment="1"/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textRotation="90"/>
    </xf>
    <xf numFmtId="0" fontId="13" fillId="2" borderId="1" xfId="0" applyFont="1" applyFill="1" applyBorder="1" applyAlignment="1">
      <alignment horizontal="left" vertical="center" textRotation="90" wrapText="1"/>
    </xf>
    <xf numFmtId="0" fontId="13" fillId="3" borderId="1" xfId="0" applyFont="1" applyFill="1" applyBorder="1">
      <alignment vertical="center"/>
    </xf>
    <xf numFmtId="0" fontId="13" fillId="3" borderId="1" xfId="0" applyFont="1" applyFill="1" applyBorder="1" applyAlignment="1">
      <alignment vertical="center" textRotation="90"/>
    </xf>
    <xf numFmtId="0" fontId="13" fillId="3" borderId="1" xfId="0" applyFont="1" applyFill="1" applyBorder="1" applyAlignment="1">
      <alignment horizontal="left" vertical="center" textRotation="90" wrapText="1"/>
    </xf>
    <xf numFmtId="0" fontId="13" fillId="4" borderId="1" xfId="0" applyFont="1" applyFill="1" applyBorder="1">
      <alignment vertical="center"/>
    </xf>
    <xf numFmtId="0" fontId="13" fillId="4" borderId="1" xfId="0" applyFont="1" applyFill="1" applyBorder="1" applyAlignment="1">
      <alignment vertical="center" textRotation="90"/>
    </xf>
    <xf numFmtId="0" fontId="13" fillId="4" borderId="1" xfId="0" applyFont="1" applyFill="1" applyBorder="1" applyAlignment="1">
      <alignment horizontal="left" vertical="center" textRotation="90" wrapText="1"/>
    </xf>
    <xf numFmtId="0" fontId="13" fillId="5" borderId="1" xfId="0" applyFont="1" applyFill="1" applyBorder="1">
      <alignment vertical="center"/>
    </xf>
    <xf numFmtId="0" fontId="13" fillId="5" borderId="1" xfId="0" applyFont="1" applyFill="1" applyBorder="1" applyAlignment="1">
      <alignment vertical="center" textRotation="90"/>
    </xf>
    <xf numFmtId="0" fontId="13" fillId="5" borderId="1" xfId="0" applyFont="1" applyFill="1" applyBorder="1" applyAlignment="1">
      <alignment horizontal="left" vertical="center" textRotation="90" wrapText="1"/>
    </xf>
    <xf numFmtId="0" fontId="13" fillId="6" borderId="1" xfId="0" applyFont="1" applyFill="1" applyBorder="1">
      <alignment vertical="center"/>
    </xf>
    <xf numFmtId="0" fontId="13" fillId="6" borderId="1" xfId="0" applyFont="1" applyFill="1" applyBorder="1" applyAlignment="1">
      <alignment vertical="center" textRotation="90"/>
    </xf>
    <xf numFmtId="0" fontId="13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textRotation="90"/>
    </xf>
    <xf numFmtId="0" fontId="13" fillId="7" borderId="1" xfId="0" applyFont="1" applyFill="1" applyBorder="1" applyAlignment="1">
      <alignment horizontal="center" vertical="center" textRotation="90" wrapText="1"/>
    </xf>
    <xf numFmtId="0" fontId="13" fillId="8" borderId="1" xfId="0" applyFont="1" applyFill="1" applyBorder="1">
      <alignment vertical="center"/>
    </xf>
    <xf numFmtId="0" fontId="13" fillId="8" borderId="1" xfId="0" applyFont="1" applyFill="1" applyBorder="1" applyAlignment="1">
      <alignment vertical="center" textRotation="90"/>
    </xf>
    <xf numFmtId="0" fontId="13" fillId="8" borderId="1" xfId="0" applyFont="1" applyFill="1" applyBorder="1" applyAlignment="1">
      <alignment horizontal="left" vertical="center" textRotation="90" wrapText="1"/>
    </xf>
    <xf numFmtId="0" fontId="13" fillId="9" borderId="1" xfId="0" applyFont="1" applyFill="1" applyBorder="1">
      <alignment vertical="center"/>
    </xf>
    <xf numFmtId="0" fontId="13" fillId="9" borderId="1" xfId="0" applyFont="1" applyFill="1" applyBorder="1" applyAlignment="1">
      <alignment vertical="center" textRotation="90"/>
    </xf>
    <xf numFmtId="0" fontId="13" fillId="9" borderId="1" xfId="0" applyFont="1" applyFill="1" applyBorder="1" applyAlignment="1">
      <alignment horizontal="left" vertical="center" textRotation="90" wrapText="1"/>
    </xf>
    <xf numFmtId="0" fontId="13" fillId="10" borderId="1" xfId="0" applyFont="1" applyFill="1" applyBorder="1">
      <alignment vertical="center"/>
    </xf>
    <xf numFmtId="0" fontId="13" fillId="10" borderId="1" xfId="0" applyFont="1" applyFill="1" applyBorder="1" applyAlignment="1">
      <alignment vertical="center" textRotation="90"/>
    </xf>
    <xf numFmtId="0" fontId="13" fillId="10" borderId="1" xfId="0" applyFont="1" applyFill="1" applyBorder="1" applyAlignment="1">
      <alignment horizontal="left" vertical="center" textRotation="90" wrapText="1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textRotation="90"/>
    </xf>
    <xf numFmtId="0" fontId="13" fillId="11" borderId="1" xfId="0" applyFont="1" applyFill="1" applyBorder="1" applyAlignment="1">
      <alignment horizontal="left" vertical="center" textRotation="90" wrapText="1"/>
    </xf>
    <xf numFmtId="0" fontId="13" fillId="12" borderId="1" xfId="0" applyFont="1" applyFill="1" applyBorder="1">
      <alignment vertical="center"/>
    </xf>
    <xf numFmtId="0" fontId="13" fillId="12" borderId="1" xfId="0" applyFont="1" applyFill="1" applyBorder="1" applyAlignment="1">
      <alignment vertical="center" textRotation="90"/>
    </xf>
    <xf numFmtId="0" fontId="13" fillId="12" borderId="1" xfId="0" applyFont="1" applyFill="1" applyBorder="1" applyAlignment="1">
      <alignment horizontal="left" vertical="center" textRotation="90" wrapText="1"/>
    </xf>
    <xf numFmtId="0" fontId="17" fillId="13" borderId="1" xfId="0" applyFont="1" applyFill="1" applyBorder="1">
      <alignment vertical="center"/>
    </xf>
    <xf numFmtId="0" fontId="17" fillId="13" borderId="1" xfId="0" applyFont="1" applyFill="1" applyBorder="1" applyAlignment="1">
      <alignment vertical="center" textRotation="90"/>
    </xf>
    <xf numFmtId="0" fontId="17" fillId="13" borderId="1" xfId="0" applyFont="1" applyFill="1" applyBorder="1" applyAlignment="1">
      <alignment horizontal="left" vertical="center" textRotation="90" wrapText="1"/>
    </xf>
    <xf numFmtId="0" fontId="13" fillId="14" borderId="1" xfId="0" applyFont="1" applyFill="1" applyBorder="1">
      <alignment vertical="center"/>
    </xf>
    <xf numFmtId="0" fontId="13" fillId="14" borderId="1" xfId="0" applyFont="1" applyFill="1" applyBorder="1" applyAlignment="1">
      <alignment vertical="center" textRotation="90"/>
    </xf>
    <xf numFmtId="0" fontId="13" fillId="14" borderId="1" xfId="0" applyFont="1" applyFill="1" applyBorder="1" applyAlignment="1">
      <alignment horizontal="left" vertical="center" textRotation="90" wrapText="1"/>
    </xf>
    <xf numFmtId="0" fontId="13" fillId="15" borderId="1" xfId="0" applyFont="1" applyFill="1" applyBorder="1">
      <alignment vertical="center"/>
    </xf>
    <xf numFmtId="0" fontId="13" fillId="15" borderId="1" xfId="0" applyFont="1" applyFill="1" applyBorder="1" applyAlignment="1">
      <alignment vertical="center" textRotation="90"/>
    </xf>
    <xf numFmtId="0" fontId="13" fillId="15" borderId="1" xfId="0" applyFont="1" applyFill="1" applyBorder="1" applyAlignment="1">
      <alignment horizontal="left" vertical="center" textRotation="90" wrapText="1"/>
    </xf>
    <xf numFmtId="0" fontId="13" fillId="16" borderId="1" xfId="0" applyFont="1" applyFill="1" applyBorder="1">
      <alignment vertical="center"/>
    </xf>
    <xf numFmtId="0" fontId="13" fillId="16" borderId="1" xfId="0" applyFont="1" applyFill="1" applyBorder="1" applyAlignment="1">
      <alignment vertical="center" textRotation="90"/>
    </xf>
    <xf numFmtId="0" fontId="13" fillId="16" borderId="1" xfId="0" applyFont="1" applyFill="1" applyBorder="1" applyAlignment="1">
      <alignment horizontal="left" vertical="center" textRotation="90" wrapText="1"/>
    </xf>
    <xf numFmtId="0" fontId="13" fillId="7" borderId="1" xfId="0" applyFont="1" applyFill="1" applyBorder="1">
      <alignment vertical="center"/>
    </xf>
    <xf numFmtId="0" fontId="13" fillId="7" borderId="1" xfId="0" applyFont="1" applyFill="1" applyBorder="1" applyAlignment="1">
      <alignment vertical="center" textRotation="90"/>
    </xf>
    <xf numFmtId="0" fontId="13" fillId="7" borderId="1" xfId="0" applyFont="1" applyFill="1" applyBorder="1" applyAlignment="1">
      <alignment horizontal="left" vertical="center" textRotation="90" wrapText="1"/>
    </xf>
    <xf numFmtId="0" fontId="13" fillId="13" borderId="1" xfId="0" applyFont="1" applyFill="1" applyBorder="1">
      <alignment vertical="center"/>
    </xf>
    <xf numFmtId="0" fontId="13" fillId="13" borderId="1" xfId="0" applyFont="1" applyFill="1" applyBorder="1" applyAlignment="1">
      <alignment vertical="center" textRotation="90"/>
    </xf>
    <xf numFmtId="0" fontId="13" fillId="13" borderId="1" xfId="0" applyFont="1" applyFill="1" applyBorder="1" applyAlignment="1">
      <alignment horizontal="left" vertical="center" textRotation="90" wrapText="1"/>
    </xf>
    <xf numFmtId="0" fontId="13" fillId="17" borderId="1" xfId="0" applyFont="1" applyFill="1" applyBorder="1">
      <alignment vertical="center"/>
    </xf>
    <xf numFmtId="0" fontId="13" fillId="17" borderId="1" xfId="0" applyFont="1" applyFill="1" applyBorder="1" applyAlignment="1">
      <alignment vertical="center" textRotation="90"/>
    </xf>
    <xf numFmtId="0" fontId="13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8" fillId="0" borderId="1" xfId="5" applyFont="1" applyBorder="1" applyAlignment="1" applyProtection="1">
      <alignment horizontal="left" vertical="center"/>
    </xf>
    <xf numFmtId="0" fontId="6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7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9" fillId="0" borderId="1" xfId="5" applyFont="1" applyBorder="1" applyAlignment="1" applyProtection="1">
      <alignment horizontal="left" vertical="center"/>
    </xf>
    <xf numFmtId="0" fontId="18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20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21" fillId="0" borderId="7" xfId="8" applyFont="1" applyBorder="1" applyAlignment="1" applyProtection="1"/>
    <xf numFmtId="0" fontId="6" fillId="3" borderId="1" xfId="9" applyFont="1" applyFill="1" applyBorder="1" applyAlignment="1" applyProtection="1">
      <alignment vertical="center"/>
    </xf>
    <xf numFmtId="0" fontId="6" fillId="3" borderId="1" xfId="10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6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1" fillId="0" borderId="1" xfId="8" applyFont="1" applyBorder="1" applyAlignment="1" applyProtection="1"/>
    <xf numFmtId="0" fontId="22" fillId="1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11" borderId="1" xfId="11" applyFont="1" applyFill="1" applyBorder="1" applyAlignment="1" applyProtection="1">
      <alignment vertical="center"/>
    </xf>
    <xf numFmtId="0" fontId="6" fillId="11" borderId="1" xfId="7" applyFont="1" applyFill="1" applyBorder="1" applyAlignment="1" applyProtection="1">
      <alignment vertical="center"/>
    </xf>
    <xf numFmtId="0" fontId="7" fillId="11" borderId="1" xfId="7" applyFill="1" applyBorder="1" applyAlignment="1" applyProtection="1">
      <alignment vertical="center"/>
    </xf>
    <xf numFmtId="0" fontId="23" fillId="0" borderId="0" xfId="0" applyFont="1">
      <alignment vertical="center"/>
    </xf>
    <xf numFmtId="0" fontId="24" fillId="0" borderId="1" xfId="0" applyFont="1" applyBorder="1" applyAlignment="1"/>
    <xf numFmtId="164" fontId="1" fillId="0" borderId="1" xfId="0" applyNumberFormat="1" applyFont="1" applyBorder="1" applyAlignment="1"/>
    <xf numFmtId="0" fontId="25" fillId="0" borderId="1" xfId="12" applyFont="1" applyBorder="1" applyAlignment="1" applyProtection="1">
      <alignment vertical="center"/>
    </xf>
    <xf numFmtId="0" fontId="26" fillId="0" borderId="1" xfId="12" applyFont="1" applyBorder="1" applyAlignment="1" applyProtection="1">
      <alignment vertical="center"/>
    </xf>
    <xf numFmtId="0" fontId="21" fillId="0" borderId="7" xfId="12" applyFont="1" applyBorder="1" applyAlignment="1" applyProtection="1"/>
    <xf numFmtId="0" fontId="21" fillId="0" borderId="1" xfId="12" applyFont="1" applyBorder="1" applyAlignment="1" applyProtection="1"/>
    <xf numFmtId="0" fontId="21" fillId="18" borderId="1" xfId="12" applyFont="1" applyFill="1" applyBorder="1" applyAlignment="1" applyProtection="1"/>
    <xf numFmtId="0" fontId="27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5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3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49" fontId="31" fillId="0" borderId="1" xfId="0" applyNumberFormat="1" applyFont="1" applyBorder="1" applyAlignment="1" applyProtection="1">
      <protection locked="0"/>
    </xf>
    <xf numFmtId="49" fontId="13" fillId="0" borderId="1" xfId="0" applyNumberFormat="1" applyFont="1" applyBorder="1" applyAlignment="1" applyProtection="1">
      <alignment textRotation="90" wrapText="1"/>
      <protection locked="0"/>
    </xf>
    <xf numFmtId="49" fontId="13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5" fillId="0" borderId="23" xfId="0" applyFont="1" applyBorder="1" applyAlignment="1" applyProtection="1">
      <protection locked="0"/>
    </xf>
    <xf numFmtId="0" fontId="30" fillId="0" borderId="3" xfId="0" applyFont="1" applyBorder="1" applyAlignment="1" applyProtection="1">
      <protection locked="0"/>
    </xf>
    <xf numFmtId="0" fontId="15" fillId="0" borderId="25" xfId="0" applyFont="1" applyBorder="1" applyAlignment="1" applyProtection="1">
      <protection locked="0"/>
    </xf>
    <xf numFmtId="0" fontId="15" fillId="0" borderId="1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0" borderId="6" xfId="0" applyFont="1" applyBorder="1" applyAlignment="1" applyProtection="1">
      <protection locked="0"/>
    </xf>
    <xf numFmtId="0" fontId="15" fillId="0" borderId="3" xfId="0" applyFont="1" applyBorder="1" applyAlignment="1" applyProtection="1">
      <protection locked="0"/>
    </xf>
    <xf numFmtId="0" fontId="30" fillId="0" borderId="0" xfId="0" applyFont="1" applyAlignment="1" applyProtection="1">
      <protection locked="0"/>
    </xf>
    <xf numFmtId="0" fontId="30" fillId="0" borderId="0" xfId="0" applyFont="1" applyAlignment="1" applyProtection="1">
      <alignment horizontal="left"/>
      <protection locked="0"/>
    </xf>
    <xf numFmtId="0" fontId="30" fillId="0" borderId="0" xfId="0" applyFont="1" applyAlignment="1" applyProtection="1">
      <alignment horizontal="center"/>
      <protection locked="0"/>
    </xf>
    <xf numFmtId="0" fontId="15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" fillId="21" borderId="32" xfId="1" applyNumberFormat="1" applyFont="1" applyFill="1" applyBorder="1" applyAlignment="1" applyProtection="1">
      <alignment horizontal="left"/>
    </xf>
    <xf numFmtId="0" fontId="13" fillId="22" borderId="33" xfId="0" applyFont="1" applyFill="1" applyBorder="1" applyAlignment="1">
      <alignment horizontal="left" wrapText="1"/>
    </xf>
    <xf numFmtId="0" fontId="13" fillId="22" borderId="34" xfId="0" applyFont="1" applyFill="1" applyBorder="1" applyAlignment="1">
      <alignment horizontal="left"/>
    </xf>
    <xf numFmtId="0" fontId="1" fillId="21" borderId="35" xfId="0" applyFont="1" applyFill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3" fillId="22" borderId="5" xfId="0" applyFont="1" applyFill="1" applyBorder="1" applyAlignment="1">
      <alignment horizontal="left" wrapText="1"/>
    </xf>
    <xf numFmtId="0" fontId="1" fillId="21" borderId="36" xfId="1" applyNumberFormat="1" applyFont="1" applyFill="1" applyBorder="1" applyAlignment="1" applyProtection="1">
      <alignment horizontal="left"/>
    </xf>
    <xf numFmtId="0" fontId="6" fillId="0" borderId="3" xfId="0" applyFont="1" applyFill="1" applyBorder="1" applyAlignment="1"/>
    <xf numFmtId="0" fontId="6" fillId="0" borderId="3" xfId="0" applyFont="1" applyFill="1" applyBorder="1" applyAlignment="1">
      <alignment wrapText="1"/>
    </xf>
    <xf numFmtId="0" fontId="13" fillId="22" borderId="8" xfId="0" applyFont="1" applyFill="1" applyBorder="1" applyAlignment="1">
      <alignment horizontal="left" wrapText="1"/>
    </xf>
    <xf numFmtId="0" fontId="1" fillId="0" borderId="7" xfId="0" applyFont="1" applyBorder="1" applyAlignment="1"/>
    <xf numFmtId="0" fontId="1" fillId="0" borderId="21" xfId="0" applyFont="1" applyBorder="1" applyAlignment="1"/>
    <xf numFmtId="0" fontId="1" fillId="0" borderId="26" xfId="0" applyFont="1" applyBorder="1" applyAlignment="1"/>
    <xf numFmtId="0" fontId="1" fillId="0" borderId="27" xfId="0" applyFont="1" applyBorder="1" applyAlignment="1"/>
    <xf numFmtId="0" fontId="15" fillId="0" borderId="3" xfId="0" applyFont="1" applyBorder="1" applyAlignment="1"/>
    <xf numFmtId="0" fontId="16" fillId="0" borderId="3" xfId="0" applyFont="1" applyFill="1" applyBorder="1" applyAlignment="1"/>
    <xf numFmtId="0" fontId="15" fillId="0" borderId="26" xfId="0" applyFont="1" applyBorder="1" applyAlignment="1"/>
    <xf numFmtId="0" fontId="15" fillId="0" borderId="27" xfId="0" applyFont="1" applyBorder="1" applyAlignment="1"/>
    <xf numFmtId="0" fontId="13" fillId="0" borderId="7" xfId="0" applyFont="1" applyBorder="1" applyAlignment="1"/>
    <xf numFmtId="0" fontId="13" fillId="0" borderId="21" xfId="0" applyFont="1" applyBorder="1" applyAlignment="1"/>
    <xf numFmtId="0" fontId="3" fillId="0" borderId="26" xfId="0" applyFont="1" applyFill="1" applyBorder="1">
      <alignment vertical="center"/>
    </xf>
    <xf numFmtId="0" fontId="6" fillId="0" borderId="27" xfId="0" applyFont="1" applyFill="1" applyBorder="1" applyAlignment="1"/>
    <xf numFmtId="0" fontId="16" fillId="0" borderId="26" xfId="4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13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25" fillId="0" borderId="3" xfId="12" applyFont="1" applyBorder="1" applyAlignment="1" applyProtection="1">
      <alignment horizontal="center"/>
    </xf>
    <xf numFmtId="0" fontId="25" fillId="0" borderId="4" xfId="12" applyFont="1" applyBorder="1" applyAlignment="1" applyProtection="1">
      <alignment horizontal="center"/>
    </xf>
    <xf numFmtId="0" fontId="25" fillId="0" borderId="9" xfId="12" applyFont="1" applyBorder="1" applyAlignment="1" applyProtection="1">
      <alignment horizontal="center"/>
    </xf>
    <xf numFmtId="0" fontId="26" fillId="0" borderId="1" xfId="12" applyFont="1" applyBorder="1" applyAlignment="1" applyProtection="1">
      <alignment horizontal="left"/>
    </xf>
    <xf numFmtId="0" fontId="26" fillId="0" borderId="3" xfId="12" applyFont="1" applyBorder="1" applyAlignment="1" applyProtection="1">
      <alignment horizontal="left"/>
    </xf>
    <xf numFmtId="0" fontId="26" fillId="0" borderId="5" xfId="12" applyFont="1" applyBorder="1" applyAlignment="1" applyProtection="1">
      <alignment horizontal="left"/>
    </xf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Protection="1">
      <alignment vertical="center"/>
      <protection locked="0"/>
    </xf>
    <xf numFmtId="49" fontId="30" fillId="0" borderId="7" xfId="0" applyNumberFormat="1" applyFont="1" applyBorder="1" applyAlignment="1" applyProtection="1">
      <alignment horizontal="center" textRotation="90" wrapText="1"/>
      <protection locked="0"/>
    </xf>
    <xf numFmtId="49" fontId="30" fillId="0" borderId="1" xfId="0" applyNumberFormat="1" applyFont="1" applyBorder="1" applyAlignment="1" applyProtection="1">
      <alignment horizontal="center" textRotation="90" wrapText="1"/>
      <protection locked="0"/>
    </xf>
    <xf numFmtId="0" fontId="13" fillId="0" borderId="4" xfId="0" applyFont="1" applyBorder="1" applyAlignment="1" applyProtection="1">
      <alignment horizontal="left"/>
      <protection locked="0"/>
    </xf>
    <xf numFmtId="0" fontId="13" fillId="0" borderId="24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14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protection locked="0"/>
    </xf>
    <xf numFmtId="0" fontId="1" fillId="0" borderId="0" xfId="0" applyFont="1" applyProtection="1">
      <alignment vertical="center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/>
      <protection locked="0"/>
    </xf>
    <xf numFmtId="0" fontId="28" fillId="0" borderId="0" xfId="0" applyFont="1" applyBorder="1" applyAlignment="1" applyProtection="1">
      <protection locked="0"/>
    </xf>
    <xf numFmtId="0" fontId="28" fillId="0" borderId="14" xfId="0" applyFont="1" applyBorder="1" applyAlignment="1" applyProtection="1">
      <protection locked="0"/>
    </xf>
    <xf numFmtId="0" fontId="13" fillId="0" borderId="7" xfId="0" applyFont="1" applyBorder="1" applyAlignment="1" applyProtection="1">
      <protection locked="0"/>
    </xf>
    <xf numFmtId="0" fontId="13" fillId="0" borderId="21" xfId="0" applyFont="1" applyBorder="1" applyAlignment="1" applyProtection="1">
      <protection locked="0"/>
    </xf>
    <xf numFmtId="49" fontId="13" fillId="0" borderId="7" xfId="0" applyNumberFormat="1" applyFont="1" applyBorder="1" applyAlignment="1" applyProtection="1">
      <alignment horizontal="center" textRotation="90"/>
      <protection locked="0"/>
    </xf>
    <xf numFmtId="49" fontId="13" fillId="0" borderId="1" xfId="0" applyNumberFormat="1" applyFont="1" applyBorder="1" applyAlignment="1" applyProtection="1">
      <alignment horizontal="center" textRotation="90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28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29" fillId="0" borderId="0" xfId="0" applyFont="1" applyBorder="1" applyAlignment="1" applyProtection="1">
      <protection locked="0"/>
    </xf>
    <xf numFmtId="0" fontId="29" fillId="0" borderId="14" xfId="0" applyFont="1" applyBorder="1" applyAlignment="1" applyProtection="1">
      <protection locked="0"/>
    </xf>
    <xf numFmtId="164" fontId="13" fillId="0" borderId="9" xfId="0" applyNumberFormat="1" applyFont="1" applyBorder="1" applyAlignment="1" applyProtection="1">
      <alignment horizontal="left"/>
      <protection locked="0"/>
    </xf>
    <xf numFmtId="164" fontId="13" fillId="0" borderId="16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protection locked="0"/>
    </xf>
    <xf numFmtId="0" fontId="13" fillId="0" borderId="3" xfId="0" applyFont="1" applyBorder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0" xfId="0" applyFont="1" applyFill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49" fontId="13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3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" fillId="0" borderId="13" xfId="0" applyFont="1" applyBorder="1" applyAlignment="1" applyProtection="1">
      <protection locked="0"/>
    </xf>
    <xf numFmtId="0" fontId="13" fillId="0" borderId="2" xfId="0" applyFont="1" applyBorder="1" applyAlignment="1" applyProtection="1">
      <alignment horizontal="left"/>
      <protection locked="0"/>
    </xf>
    <xf numFmtId="0" fontId="13" fillId="0" borderId="22" xfId="0" applyFont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28" xfId="0" applyFont="1" applyBorder="1" applyAlignment="1" applyProtection="1">
      <alignment horizontal="center"/>
      <protection locked="0"/>
    </xf>
    <xf numFmtId="0" fontId="13" fillId="0" borderId="26" xfId="0" applyFont="1" applyBorder="1" applyAlignment="1" applyProtection="1">
      <protection locked="0"/>
    </xf>
    <xf numFmtId="0" fontId="13" fillId="0" borderId="27" xfId="0" applyFont="1" applyBorder="1" applyAlignment="1" applyProtection="1">
      <protection locked="0"/>
    </xf>
    <xf numFmtId="0" fontId="1" fillId="0" borderId="7" xfId="0" applyFont="1" applyFill="1" applyBorder="1" applyAlignment="1"/>
    <xf numFmtId="0" fontId="34" fillId="0" borderId="1" xfId="5" applyFont="1" applyBorder="1" applyAlignment="1">
      <protection locked="0"/>
    </xf>
    <xf numFmtId="0" fontId="34" fillId="0" borderId="1" xfId="0" applyFont="1" applyBorder="1" applyAlignment="1"/>
    <xf numFmtId="0" fontId="34" fillId="0" borderId="7" xfId="5" applyFont="1" applyBorder="1" applyAlignment="1">
      <protection locked="0"/>
    </xf>
    <xf numFmtId="0" fontId="34" fillId="0" borderId="26" xfId="0" applyFont="1" applyBorder="1" applyAlignment="1"/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4284</xdr:colOff>
      <xdr:row>5</xdr:row>
      <xdr:rowOff>25300</xdr:rowOff>
    </xdr:from>
    <xdr:to>
      <xdr:col>9</xdr:col>
      <xdr:colOff>58482</xdr:colOff>
      <xdr:row>6</xdr:row>
      <xdr:rowOff>63251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>
    <xdr:from>
      <xdr:col>0</xdr:col>
      <xdr:colOff>1130469</xdr:colOff>
      <xdr:row>7</xdr:row>
      <xdr:rowOff>75902</xdr:rowOff>
    </xdr:from>
    <xdr:to>
      <xdr:col>10</xdr:col>
      <xdr:colOff>192261</xdr:colOff>
      <xdr:row>8</xdr:row>
      <xdr:rowOff>101203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>
    <xdr:from>
      <xdr:col>4</xdr:col>
      <xdr:colOff>71002</xdr:colOff>
      <xdr:row>16</xdr:row>
      <xdr:rowOff>37951</xdr:rowOff>
    </xdr:from>
    <xdr:to>
      <xdr:col>7</xdr:col>
      <xdr:colOff>167594</xdr:colOff>
      <xdr:row>17</xdr:row>
      <xdr:rowOff>75902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37884</xdr:colOff>
      <xdr:row>2</xdr:row>
      <xdr:rowOff>0</xdr:rowOff>
    </xdr:from>
    <xdr:to>
      <xdr:col>0</xdr:col>
      <xdr:colOff>804664</xdr:colOff>
      <xdr:row>6</xdr:row>
      <xdr:rowOff>75902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121683</xdr:colOff>
      <xdr:row>51</xdr:row>
      <xdr:rowOff>0</xdr:rowOff>
    </xdr:from>
    <xdr:to>
      <xdr:col>13</xdr:col>
      <xdr:colOff>523489</xdr:colOff>
      <xdr:row>56</xdr:row>
      <xdr:rowOff>126503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>
    <xdr:from>
      <xdr:col>0</xdr:col>
      <xdr:colOff>672826</xdr:colOff>
      <xdr:row>1</xdr:row>
      <xdr:rowOff>12650</xdr:rowOff>
    </xdr:from>
    <xdr:to>
      <xdr:col>4</xdr:col>
      <xdr:colOff>116405</xdr:colOff>
      <xdr:row>5</xdr:row>
      <xdr:rowOff>63251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83560</xdr:colOff>
      <xdr:row>1</xdr:row>
      <xdr:rowOff>75902</xdr:rowOff>
    </xdr:from>
    <xdr:to>
      <xdr:col>13</xdr:col>
      <xdr:colOff>333277</xdr:colOff>
      <xdr:row>4</xdr:row>
      <xdr:rowOff>113853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4" name="Table4" displayName="Table4" ref="A1:J55" totalsRowShown="0" dataDxfId="79">
  <autoFilter ref="A1:J55"/>
  <tableColumns count="10">
    <tableColumn id="1" name="Admission_No" dataDxfId="78"/>
    <tableColumn id="2" name="Name" dataDxfId="77"/>
    <tableColumn id="3" name="Class " dataDxfId="76" dataCellStyle="Normal 10 2"/>
    <tableColumn id="4" name="State of Origin " dataDxfId="75"/>
    <tableColumn id="5" name="Age" dataDxfId="74"/>
    <tableColumn id="6" name="LGA" dataDxfId="73"/>
    <tableColumn id="7" name="Term " dataDxfId="72"/>
    <tableColumn id="8" name="Next Term Begins" dataDxfId="71"/>
    <tableColumn id="9" name="Password"/>
    <tableColumn id="10" name="Emai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51" totalsRowShown="0" headerRowBorderDxfId="70" tableBorderDxfId="69">
  <autoFilter ref="A1:C51"/>
  <tableColumns count="3">
    <tableColumn id="1" name="Admission_No" dataDxfId="2" dataCellStyle="Normal 18"/>
    <tableColumn id="2" name="Comments" dataDxfId="68"/>
    <tableColumn id="3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I54" totalsRowShown="0" headerRowDxfId="66" dataDxfId="64" headerRowBorderDxfId="65" tableBorderDxfId="63">
  <autoFilter ref="A1:I54"/>
  <tableColumns count="9">
    <tableColumn id="1" name="Admission_No" dataDxfId="62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F51" totalsRowShown="0" headerRowDxfId="53" dataDxfId="51" headerRowBorderDxfId="52" tableBorderDxfId="50">
  <autoFilter ref="A1:F51"/>
  <tableColumns count="6">
    <tableColumn id="1" name="Admission_No" dataDxfId="1" dataCellStyle="Normal 18"/>
    <tableColumn id="2" name="Handwriting" dataDxfId="49"/>
    <tableColumn id="3" name="Musical Skill " dataDxfId="48"/>
    <tableColumn id="4" name="Craft" dataDxfId="47"/>
    <tableColumn id="5" name="Games" dataDxfId="46"/>
    <tableColumn id="6" name="Fluency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4" dataDxfId="42" headerRowBorderDxfId="43" tableBorderDxfId="41">
  <autoFilter ref="A1:AF52"/>
  <tableColumns count="32">
    <tableColumn id="1" name="Admission_No" dataDxfId="40" dataCellStyle="Normal 18"/>
    <tableColumn id="2" name="English Language" dataDxfId="39"/>
    <tableColumn id="3" name="Literature in English" dataDxfId="38">
      <calculatedColumnFormula>Scoresheet!U4</calculatedColumnFormula>
    </tableColumn>
    <tableColumn id="4" name="Mathematics" dataDxfId="37"/>
    <tableColumn id="5" name="Physics" dataDxfId="36"/>
    <tableColumn id="6" name="Chemistry" dataDxfId="35"/>
    <tableColumn id="7" name="Biology" dataDxfId="34"/>
    <tableColumn id="8" name="Economics" dataDxfId="33"/>
    <tableColumn id="9" name="History" dataDxfId="32"/>
    <tableColumn id="10" name="C.R.k" dataDxfId="31"/>
    <tableColumn id="11" name="Agric Science" dataDxfId="30"/>
    <tableColumn id="12" name="Geography" dataDxfId="29"/>
    <tableColumn id="13" name="Commerce" dataDxfId="28"/>
    <tableColumn id="14" name="Fine Art" dataDxfId="27"/>
    <tableColumn id="15" name="Accounting" dataDxfId="26"/>
    <tableColumn id="16" name="Technical Drawing" dataDxfId="25"/>
    <tableColumn id="17" name="Government" dataDxfId="24"/>
    <tableColumn id="18" name="Further Maths" dataDxfId="23"/>
    <tableColumn id="19" name="Hausa" dataDxfId="22"/>
    <tableColumn id="20" name="Food &amp; Nutrition" dataDxfId="21"/>
    <tableColumn id="21" name="Computer Science" dataDxfId="20"/>
    <tableColumn id="22" name="French" dataDxfId="19"/>
    <tableColumn id="23" name="Civic Educatuion" dataDxfId="18"/>
    <tableColumn id="24" name="Data Processing" dataDxfId="17"/>
    <tableColumn id="25" name="I.R.K." dataDxfId="16"/>
    <tableColumn id="26" name="Com Sub No." dataDxfId="15"/>
    <tableColumn id="27" name="Std Reg Sub No." dataDxfId="14">
      <calculatedColumnFormula>Data!H2</calculatedColumnFormula>
    </tableColumn>
    <tableColumn id="28" name="CrossXCheck" dataDxfId="13"/>
    <tableColumn id="29" name="Max Score" dataDxfId="12"/>
    <tableColumn id="30" name="Obtained Score" dataDxfId="11"/>
    <tableColumn id="31" name="Average" dataDxfId="10">
      <calculatedColumnFormula>IF(COUNTIF(B2:Y2,"&gt;=5")&lt;10,SUMIF(B2:Y2,"&gt;=5")/10,SUMIF(B2:Y2,"&gt;=5")/COUNTIF(B2:Y2,"&gt;=5"))</calculatedColumnFormula>
    </tableColumn>
    <tableColumn id="32" name="Position" dataDxfId="9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>
      <selection activeCell="J6" sqref="J6"/>
    </sheetView>
  </sheetViews>
  <sheetFormatPr defaultColWidth="10" defaultRowHeight="15"/>
  <cols>
    <col min="1" max="1" width="28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0">
      <c r="A1" s="216" t="s">
        <v>186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213" t="s">
        <v>17</v>
      </c>
      <c r="I1" s="50" t="s">
        <v>187</v>
      </c>
      <c r="J1" s="50" t="s">
        <v>189</v>
      </c>
    </row>
    <row r="2" spans="1:10" ht="15.75">
      <c r="A2" s="217">
        <v>1</v>
      </c>
      <c r="B2" s="5" t="s">
        <v>137</v>
      </c>
      <c r="C2" s="6" t="s">
        <v>182</v>
      </c>
      <c r="D2" s="7"/>
      <c r="F2" s="8"/>
      <c r="G2" s="9" t="s">
        <v>183</v>
      </c>
      <c r="H2" s="214" t="s">
        <v>188</v>
      </c>
      <c r="I2" s="327">
        <v>1234</v>
      </c>
      <c r="J2" s="330" t="s">
        <v>190</v>
      </c>
    </row>
    <row r="3" spans="1:10" ht="15.75">
      <c r="A3" s="217">
        <v>2</v>
      </c>
      <c r="B3" s="10" t="s">
        <v>138</v>
      </c>
      <c r="C3" s="6" t="s">
        <v>182</v>
      </c>
      <c r="D3" s="7"/>
      <c r="E3" s="11"/>
      <c r="F3" s="8"/>
      <c r="G3" s="9" t="s">
        <v>183</v>
      </c>
      <c r="H3" s="215" t="s">
        <v>188</v>
      </c>
      <c r="I3" s="327">
        <v>1234</v>
      </c>
      <c r="J3" s="328" t="s">
        <v>190</v>
      </c>
    </row>
    <row r="4" spans="1:10" ht="15.75">
      <c r="A4" s="217">
        <v>3</v>
      </c>
      <c r="B4" s="12" t="s">
        <v>139</v>
      </c>
      <c r="C4" s="6" t="s">
        <v>182</v>
      </c>
      <c r="D4" s="7"/>
      <c r="E4" s="11"/>
      <c r="F4" s="8"/>
      <c r="G4" s="9" t="s">
        <v>183</v>
      </c>
      <c r="H4" s="214" t="s">
        <v>188</v>
      </c>
      <c r="I4" s="327">
        <v>1234</v>
      </c>
      <c r="J4" s="328" t="s">
        <v>190</v>
      </c>
    </row>
    <row r="5" spans="1:10" ht="15.75">
      <c r="A5" s="217">
        <v>4</v>
      </c>
      <c r="B5" s="13" t="s">
        <v>140</v>
      </c>
      <c r="C5" s="6" t="s">
        <v>182</v>
      </c>
      <c r="D5" s="7"/>
      <c r="E5" s="11"/>
      <c r="F5" s="8"/>
      <c r="G5" s="9" t="s">
        <v>183</v>
      </c>
      <c r="H5" s="215" t="s">
        <v>188</v>
      </c>
      <c r="I5" s="327">
        <v>1234</v>
      </c>
      <c r="J5" s="328" t="s">
        <v>190</v>
      </c>
    </row>
    <row r="6" spans="1:10" ht="15.75">
      <c r="A6" s="217">
        <v>5</v>
      </c>
      <c r="B6" s="14" t="s">
        <v>141</v>
      </c>
      <c r="C6" s="6" t="s">
        <v>182</v>
      </c>
      <c r="D6" s="7"/>
      <c r="E6" s="11"/>
      <c r="F6" s="8"/>
      <c r="G6" s="9" t="s">
        <v>183</v>
      </c>
      <c r="H6" s="214" t="s">
        <v>188</v>
      </c>
      <c r="I6" s="327">
        <v>1234</v>
      </c>
      <c r="J6" s="328" t="s">
        <v>190</v>
      </c>
    </row>
    <row r="7" spans="1:10" ht="15.75">
      <c r="A7" s="217">
        <v>6</v>
      </c>
      <c r="B7" s="10" t="s">
        <v>142</v>
      </c>
      <c r="C7" s="6" t="s">
        <v>182</v>
      </c>
      <c r="D7" s="7"/>
      <c r="E7" s="11"/>
      <c r="F7" s="8"/>
      <c r="G7" s="9" t="s">
        <v>183</v>
      </c>
      <c r="H7" s="215" t="s">
        <v>188</v>
      </c>
      <c r="I7" s="327">
        <v>1234</v>
      </c>
      <c r="J7" s="328" t="s">
        <v>190</v>
      </c>
    </row>
    <row r="8" spans="1:10" ht="15.75">
      <c r="A8" s="217">
        <v>7</v>
      </c>
      <c r="B8" s="15" t="s">
        <v>143</v>
      </c>
      <c r="C8" s="6" t="s">
        <v>182</v>
      </c>
      <c r="D8" s="7"/>
      <c r="E8" s="11"/>
      <c r="F8" s="8"/>
      <c r="G8" s="9" t="s">
        <v>183</v>
      </c>
      <c r="H8" s="214" t="s">
        <v>188</v>
      </c>
      <c r="I8" s="327">
        <v>1234</v>
      </c>
      <c r="J8" s="328" t="s">
        <v>190</v>
      </c>
    </row>
    <row r="9" spans="1:10" ht="15.75">
      <c r="A9" s="217">
        <v>8</v>
      </c>
      <c r="B9" s="10" t="s">
        <v>144</v>
      </c>
      <c r="C9" s="6" t="s">
        <v>182</v>
      </c>
      <c r="D9" s="7"/>
      <c r="E9" s="11"/>
      <c r="F9" s="8"/>
      <c r="G9" s="9" t="s">
        <v>183</v>
      </c>
      <c r="H9" s="215" t="s">
        <v>188</v>
      </c>
      <c r="I9" s="327">
        <v>1234</v>
      </c>
      <c r="J9" s="328" t="s">
        <v>190</v>
      </c>
    </row>
    <row r="10" spans="1:10" ht="15.75">
      <c r="A10" s="217">
        <v>9</v>
      </c>
      <c r="B10" s="10" t="s">
        <v>145</v>
      </c>
      <c r="C10" s="6" t="s">
        <v>182</v>
      </c>
      <c r="D10" s="7"/>
      <c r="E10" s="11"/>
      <c r="F10" s="8"/>
      <c r="G10" s="9" t="s">
        <v>183</v>
      </c>
      <c r="H10" s="214" t="s">
        <v>188</v>
      </c>
      <c r="I10" s="327">
        <v>1234</v>
      </c>
      <c r="J10" s="328" t="s">
        <v>190</v>
      </c>
    </row>
    <row r="11" spans="1:10" ht="15.75">
      <c r="A11" s="217">
        <v>10</v>
      </c>
      <c r="B11" s="5" t="s">
        <v>146</v>
      </c>
      <c r="C11" s="6" t="s">
        <v>182</v>
      </c>
      <c r="D11" s="7"/>
      <c r="E11" s="11"/>
      <c r="F11" s="8"/>
      <c r="G11" s="9" t="s">
        <v>183</v>
      </c>
      <c r="H11" s="215" t="s">
        <v>188</v>
      </c>
      <c r="I11" s="327">
        <v>1234</v>
      </c>
      <c r="J11" s="328" t="s">
        <v>190</v>
      </c>
    </row>
    <row r="12" spans="1:10" ht="15.75">
      <c r="A12" s="217">
        <v>11</v>
      </c>
      <c r="B12" s="16" t="s">
        <v>147</v>
      </c>
      <c r="C12" s="6" t="s">
        <v>182</v>
      </c>
      <c r="D12" s="7"/>
      <c r="E12" s="11"/>
      <c r="F12" s="8"/>
      <c r="G12" s="9" t="s">
        <v>183</v>
      </c>
      <c r="H12" s="214" t="s">
        <v>188</v>
      </c>
      <c r="I12" s="327">
        <v>1234</v>
      </c>
      <c r="J12" s="328" t="s">
        <v>190</v>
      </c>
    </row>
    <row r="13" spans="1:10" ht="15.75">
      <c r="A13" s="217">
        <v>12</v>
      </c>
      <c r="B13" s="5" t="s">
        <v>148</v>
      </c>
      <c r="C13" s="6" t="s">
        <v>182</v>
      </c>
      <c r="D13" s="7"/>
      <c r="E13" s="11"/>
      <c r="F13" s="17"/>
      <c r="G13" s="9" t="s">
        <v>183</v>
      </c>
      <c r="H13" s="215" t="s">
        <v>188</v>
      </c>
      <c r="I13" s="327">
        <v>1234</v>
      </c>
      <c r="J13" s="328" t="s">
        <v>190</v>
      </c>
    </row>
    <row r="14" spans="1:10" ht="15.75">
      <c r="A14" s="217">
        <v>13</v>
      </c>
      <c r="B14" s="10" t="s">
        <v>149</v>
      </c>
      <c r="C14" s="6" t="s">
        <v>182</v>
      </c>
      <c r="D14" s="7"/>
      <c r="E14" s="11"/>
      <c r="F14" s="8"/>
      <c r="G14" s="9" t="s">
        <v>183</v>
      </c>
      <c r="H14" s="214" t="s">
        <v>188</v>
      </c>
      <c r="I14" s="327">
        <v>1234</v>
      </c>
      <c r="J14" s="328" t="s">
        <v>190</v>
      </c>
    </row>
    <row r="15" spans="1:10" ht="15.75">
      <c r="A15" s="217">
        <v>14</v>
      </c>
      <c r="B15" s="10" t="s">
        <v>150</v>
      </c>
      <c r="C15" s="6" t="s">
        <v>182</v>
      </c>
      <c r="D15" s="7"/>
      <c r="E15" s="11"/>
      <c r="F15" s="8"/>
      <c r="G15" s="9" t="s">
        <v>183</v>
      </c>
      <c r="H15" s="215" t="s">
        <v>188</v>
      </c>
      <c r="I15" s="327">
        <v>1234</v>
      </c>
      <c r="J15" s="328" t="s">
        <v>190</v>
      </c>
    </row>
    <row r="16" spans="1:10" ht="15.75">
      <c r="A16" s="217">
        <v>15</v>
      </c>
      <c r="B16" s="10" t="s">
        <v>151</v>
      </c>
      <c r="C16" s="6" t="s">
        <v>182</v>
      </c>
      <c r="D16" s="7"/>
      <c r="E16" s="11"/>
      <c r="F16" s="8"/>
      <c r="G16" s="9" t="s">
        <v>183</v>
      </c>
      <c r="H16" s="214" t="s">
        <v>188</v>
      </c>
      <c r="I16" s="327">
        <v>1234</v>
      </c>
      <c r="J16" s="328" t="s">
        <v>190</v>
      </c>
    </row>
    <row r="17" spans="1:10" ht="19.5" customHeight="1">
      <c r="A17" s="217">
        <v>16</v>
      </c>
      <c r="B17" s="18" t="s">
        <v>152</v>
      </c>
      <c r="C17" s="6" t="s">
        <v>182</v>
      </c>
      <c r="D17" s="7"/>
      <c r="E17" s="11"/>
      <c r="F17" s="8"/>
      <c r="G17" s="9" t="s">
        <v>183</v>
      </c>
      <c r="H17" s="215" t="s">
        <v>188</v>
      </c>
      <c r="I17" s="327">
        <v>1234</v>
      </c>
      <c r="J17" s="328" t="s">
        <v>190</v>
      </c>
    </row>
    <row r="18" spans="1:10" ht="15.75">
      <c r="A18" s="217">
        <v>17</v>
      </c>
      <c r="B18" s="10" t="s">
        <v>153</v>
      </c>
      <c r="C18" s="6" t="s">
        <v>182</v>
      </c>
      <c r="D18" s="7"/>
      <c r="E18" s="11"/>
      <c r="F18" s="8"/>
      <c r="G18" s="9" t="s">
        <v>183</v>
      </c>
      <c r="H18" s="214" t="s">
        <v>188</v>
      </c>
      <c r="I18" s="327">
        <v>1234</v>
      </c>
      <c r="J18" s="328" t="s">
        <v>190</v>
      </c>
    </row>
    <row r="19" spans="1:10" ht="15.75">
      <c r="A19" s="217">
        <v>18</v>
      </c>
      <c r="B19" s="12" t="s">
        <v>154</v>
      </c>
      <c r="C19" s="6" t="s">
        <v>182</v>
      </c>
      <c r="D19" s="7"/>
      <c r="E19" s="11"/>
      <c r="F19" s="8"/>
      <c r="G19" s="9" t="s">
        <v>183</v>
      </c>
      <c r="H19" s="214" t="s">
        <v>188</v>
      </c>
      <c r="I19" s="327">
        <v>1234</v>
      </c>
      <c r="J19" s="328" t="s">
        <v>190</v>
      </c>
    </row>
    <row r="20" spans="1:10" ht="15.75">
      <c r="A20" s="217">
        <v>19</v>
      </c>
      <c r="B20" s="19" t="s">
        <v>155</v>
      </c>
      <c r="C20" s="6" t="s">
        <v>182</v>
      </c>
      <c r="D20" s="7"/>
      <c r="E20" s="11"/>
      <c r="F20" s="8"/>
      <c r="G20" s="9" t="s">
        <v>183</v>
      </c>
      <c r="H20" s="214" t="s">
        <v>188</v>
      </c>
      <c r="I20" s="327">
        <v>1234</v>
      </c>
      <c r="J20" s="328" t="s">
        <v>190</v>
      </c>
    </row>
    <row r="21" spans="1:10" ht="15.75">
      <c r="A21" s="217">
        <v>20</v>
      </c>
      <c r="B21" s="20" t="s">
        <v>156</v>
      </c>
      <c r="C21" s="6" t="s">
        <v>182</v>
      </c>
      <c r="D21" s="7"/>
      <c r="E21" s="11"/>
      <c r="F21" s="8"/>
      <c r="G21" s="9" t="s">
        <v>183</v>
      </c>
      <c r="H21" s="214" t="s">
        <v>188</v>
      </c>
      <c r="I21" s="327">
        <v>1234</v>
      </c>
      <c r="J21" s="328" t="s">
        <v>190</v>
      </c>
    </row>
    <row r="22" spans="1:10" ht="15.75">
      <c r="A22" s="217">
        <v>21</v>
      </c>
      <c r="B22" s="10" t="s">
        <v>157</v>
      </c>
      <c r="C22" s="6" t="s">
        <v>182</v>
      </c>
      <c r="D22" s="7"/>
      <c r="E22" s="11"/>
      <c r="F22" s="8"/>
      <c r="G22" s="9" t="s">
        <v>183</v>
      </c>
      <c r="H22" s="214" t="s">
        <v>188</v>
      </c>
      <c r="I22" s="327">
        <v>1234</v>
      </c>
      <c r="J22" s="328" t="s">
        <v>190</v>
      </c>
    </row>
    <row r="23" spans="1:10" ht="15.75">
      <c r="A23" s="217">
        <v>22</v>
      </c>
      <c r="B23" s="21" t="s">
        <v>158</v>
      </c>
      <c r="C23" s="6" t="s">
        <v>182</v>
      </c>
      <c r="D23" s="7"/>
      <c r="E23" s="11"/>
      <c r="F23" s="8"/>
      <c r="G23" s="9" t="s">
        <v>183</v>
      </c>
      <c r="H23" s="214" t="s">
        <v>188</v>
      </c>
      <c r="I23" s="327">
        <v>1234</v>
      </c>
      <c r="J23" s="328" t="s">
        <v>190</v>
      </c>
    </row>
    <row r="24" spans="1:10" ht="15.75">
      <c r="A24" s="217">
        <v>23</v>
      </c>
      <c r="B24" s="22" t="s">
        <v>159</v>
      </c>
      <c r="C24" s="6" t="s">
        <v>182</v>
      </c>
      <c r="D24" s="7"/>
      <c r="E24" s="11"/>
      <c r="F24" s="8"/>
      <c r="G24" s="9" t="s">
        <v>183</v>
      </c>
      <c r="H24" s="214" t="s">
        <v>188</v>
      </c>
      <c r="I24" s="327">
        <v>1234</v>
      </c>
      <c r="J24" s="328" t="s">
        <v>190</v>
      </c>
    </row>
    <row r="25" spans="1:10" ht="15.75">
      <c r="A25" s="217">
        <v>24</v>
      </c>
      <c r="B25" s="23"/>
      <c r="C25" s="6" t="s">
        <v>182</v>
      </c>
      <c r="D25" s="7"/>
      <c r="E25" s="11"/>
      <c r="F25" s="8"/>
      <c r="G25" s="9" t="s">
        <v>183</v>
      </c>
      <c r="H25" s="214" t="s">
        <v>188</v>
      </c>
      <c r="I25" s="327">
        <v>1234</v>
      </c>
      <c r="J25" s="328" t="s">
        <v>190</v>
      </c>
    </row>
    <row r="26" spans="1:10" ht="15.75">
      <c r="A26" s="217">
        <v>25</v>
      </c>
      <c r="B26" s="22"/>
      <c r="C26" s="6" t="s">
        <v>182</v>
      </c>
      <c r="D26" s="7"/>
      <c r="E26" s="11"/>
      <c r="F26" s="8"/>
      <c r="G26" s="9" t="s">
        <v>183</v>
      </c>
      <c r="H26" s="214" t="s">
        <v>188</v>
      </c>
      <c r="I26" s="327">
        <v>1234</v>
      </c>
      <c r="J26" s="328" t="s">
        <v>190</v>
      </c>
    </row>
    <row r="27" spans="1:10" ht="15.75">
      <c r="A27" s="217">
        <v>26</v>
      </c>
      <c r="B27" s="24"/>
      <c r="C27" s="6" t="s">
        <v>182</v>
      </c>
      <c r="D27" s="7"/>
      <c r="E27" s="11"/>
      <c r="F27" s="8"/>
      <c r="G27" s="9" t="s">
        <v>183</v>
      </c>
      <c r="H27" s="214" t="s">
        <v>188</v>
      </c>
      <c r="I27" s="327">
        <v>1234</v>
      </c>
      <c r="J27" s="328" t="s">
        <v>190</v>
      </c>
    </row>
    <row r="28" spans="1:10" ht="15.75">
      <c r="A28" s="217">
        <v>27</v>
      </c>
      <c r="B28" s="22"/>
      <c r="C28" s="6" t="s">
        <v>182</v>
      </c>
      <c r="D28" s="7"/>
      <c r="E28" s="11"/>
      <c r="F28" s="8"/>
      <c r="G28" s="9" t="s">
        <v>183</v>
      </c>
      <c r="H28" s="214" t="s">
        <v>188</v>
      </c>
      <c r="I28" s="327">
        <v>1234</v>
      </c>
      <c r="J28" s="328" t="s">
        <v>190</v>
      </c>
    </row>
    <row r="29" spans="1:10" ht="15.75">
      <c r="A29" s="217">
        <v>28</v>
      </c>
      <c r="B29" s="24"/>
      <c r="C29" s="6" t="s">
        <v>182</v>
      </c>
      <c r="D29" s="7"/>
      <c r="E29" s="11"/>
      <c r="F29" s="8"/>
      <c r="G29" s="9" t="s">
        <v>183</v>
      </c>
      <c r="H29" s="214" t="s">
        <v>188</v>
      </c>
      <c r="I29" s="327">
        <v>1234</v>
      </c>
      <c r="J29" s="328" t="s">
        <v>190</v>
      </c>
    </row>
    <row r="30" spans="1:10" ht="15.75">
      <c r="A30" s="217">
        <v>29</v>
      </c>
      <c r="B30" s="25" t="s">
        <v>160</v>
      </c>
      <c r="C30" s="6" t="s">
        <v>182</v>
      </c>
      <c r="D30" s="7"/>
      <c r="E30" s="11"/>
      <c r="F30" s="8"/>
      <c r="G30" s="9" t="s">
        <v>183</v>
      </c>
      <c r="H30" s="214" t="s">
        <v>188</v>
      </c>
      <c r="I30" s="327">
        <v>1234</v>
      </c>
      <c r="J30" s="328" t="s">
        <v>190</v>
      </c>
    </row>
    <row r="31" spans="1:10" ht="15.75">
      <c r="A31" s="217">
        <v>30</v>
      </c>
      <c r="B31" s="24" t="s">
        <v>161</v>
      </c>
      <c r="C31" s="6" t="s">
        <v>182</v>
      </c>
      <c r="D31" s="7"/>
      <c r="E31" s="11"/>
      <c r="F31" s="8"/>
      <c r="G31" s="9" t="s">
        <v>183</v>
      </c>
      <c r="H31" s="214" t="s">
        <v>188</v>
      </c>
      <c r="I31" s="327">
        <v>1234</v>
      </c>
      <c r="J31" s="328" t="s">
        <v>190</v>
      </c>
    </row>
    <row r="32" spans="1:10" ht="15.75">
      <c r="A32" s="217">
        <v>31</v>
      </c>
      <c r="B32" s="22" t="s">
        <v>162</v>
      </c>
      <c r="C32" s="6" t="s">
        <v>182</v>
      </c>
      <c r="D32" s="7"/>
      <c r="E32" s="11"/>
      <c r="F32" s="8"/>
      <c r="G32" s="9" t="s">
        <v>183</v>
      </c>
      <c r="H32" s="214" t="s">
        <v>188</v>
      </c>
      <c r="I32" s="327">
        <v>1234</v>
      </c>
      <c r="J32" s="328" t="s">
        <v>190</v>
      </c>
    </row>
    <row r="33" spans="1:10" ht="15.75">
      <c r="A33" s="217">
        <v>32</v>
      </c>
      <c r="B33" s="26" t="s">
        <v>163</v>
      </c>
      <c r="C33" s="6" t="s">
        <v>182</v>
      </c>
      <c r="D33" s="7"/>
      <c r="E33" s="11"/>
      <c r="F33" s="17"/>
      <c r="G33" s="9" t="s">
        <v>183</v>
      </c>
      <c r="H33" s="214" t="s">
        <v>188</v>
      </c>
      <c r="I33" s="327">
        <v>1234</v>
      </c>
      <c r="J33" s="328" t="s">
        <v>190</v>
      </c>
    </row>
    <row r="34" spans="1:10" ht="15.75">
      <c r="A34" s="217">
        <v>33</v>
      </c>
      <c r="B34" s="22" t="s">
        <v>164</v>
      </c>
      <c r="C34" s="6" t="s">
        <v>182</v>
      </c>
      <c r="D34" s="7"/>
      <c r="E34" s="11"/>
      <c r="F34" s="8"/>
      <c r="G34" s="9" t="s">
        <v>183</v>
      </c>
      <c r="H34" s="214" t="s">
        <v>188</v>
      </c>
      <c r="I34" s="327">
        <v>1234</v>
      </c>
      <c r="J34" s="328" t="s">
        <v>190</v>
      </c>
    </row>
    <row r="35" spans="1:10" ht="15.75">
      <c r="A35" s="217">
        <v>34</v>
      </c>
      <c r="B35" s="26" t="s">
        <v>165</v>
      </c>
      <c r="C35" s="6" t="s">
        <v>182</v>
      </c>
      <c r="D35" s="7"/>
      <c r="E35" s="11"/>
      <c r="F35" s="27"/>
      <c r="G35" s="9" t="s">
        <v>183</v>
      </c>
      <c r="H35" s="214" t="s">
        <v>188</v>
      </c>
      <c r="I35" s="327">
        <v>1234</v>
      </c>
      <c r="J35" s="328" t="s">
        <v>190</v>
      </c>
    </row>
    <row r="36" spans="1:10" ht="15.75">
      <c r="A36" s="217">
        <v>35</v>
      </c>
      <c r="B36" s="22" t="s">
        <v>166</v>
      </c>
      <c r="C36" s="6" t="s">
        <v>182</v>
      </c>
      <c r="D36" s="7"/>
      <c r="E36" s="11"/>
      <c r="F36" s="8"/>
      <c r="G36" s="9" t="s">
        <v>183</v>
      </c>
      <c r="H36" s="214" t="s">
        <v>188</v>
      </c>
      <c r="I36" s="327">
        <v>1234</v>
      </c>
      <c r="J36" s="328" t="s">
        <v>190</v>
      </c>
    </row>
    <row r="37" spans="1:10" ht="15.75">
      <c r="A37" s="217">
        <v>36</v>
      </c>
      <c r="B37" s="22" t="s">
        <v>167</v>
      </c>
      <c r="C37" s="6" t="s">
        <v>182</v>
      </c>
      <c r="D37" s="7"/>
      <c r="E37" s="11"/>
      <c r="F37" s="8"/>
      <c r="G37" s="9" t="s">
        <v>183</v>
      </c>
      <c r="H37" s="214" t="s">
        <v>188</v>
      </c>
      <c r="I37" s="327">
        <v>1234</v>
      </c>
      <c r="J37" s="328" t="s">
        <v>190</v>
      </c>
    </row>
    <row r="38" spans="1:10" ht="15.75">
      <c r="A38" s="217">
        <v>37</v>
      </c>
      <c r="B38" s="22" t="s">
        <v>168</v>
      </c>
      <c r="C38" s="6" t="s">
        <v>182</v>
      </c>
      <c r="D38" s="28"/>
      <c r="E38" s="11"/>
      <c r="F38" s="29"/>
      <c r="G38" s="9" t="s">
        <v>183</v>
      </c>
      <c r="H38" s="214" t="s">
        <v>188</v>
      </c>
      <c r="I38" s="327">
        <v>1234</v>
      </c>
      <c r="J38" s="328" t="s">
        <v>190</v>
      </c>
    </row>
    <row r="39" spans="1:10" ht="15.75">
      <c r="A39" s="217">
        <v>38</v>
      </c>
      <c r="B39" s="22" t="s">
        <v>169</v>
      </c>
      <c r="C39" s="6" t="s">
        <v>182</v>
      </c>
      <c r="D39" s="28"/>
      <c r="E39" s="11"/>
      <c r="F39" s="11"/>
      <c r="G39" s="9" t="s">
        <v>183</v>
      </c>
      <c r="H39" s="214" t="s">
        <v>188</v>
      </c>
      <c r="I39" s="327">
        <v>1234</v>
      </c>
      <c r="J39" s="328" t="s">
        <v>190</v>
      </c>
    </row>
    <row r="40" spans="1:10" ht="15.75">
      <c r="A40" s="217">
        <v>39</v>
      </c>
      <c r="B40" s="22" t="s">
        <v>170</v>
      </c>
      <c r="C40" s="6" t="s">
        <v>182</v>
      </c>
      <c r="D40" s="28"/>
      <c r="E40" s="11"/>
      <c r="F40" s="29"/>
      <c r="G40" s="9" t="s">
        <v>183</v>
      </c>
      <c r="H40" s="214" t="s">
        <v>188</v>
      </c>
      <c r="I40" s="327">
        <v>1234</v>
      </c>
      <c r="J40" s="328" t="s">
        <v>190</v>
      </c>
    </row>
    <row r="41" spans="1:10" ht="15.75">
      <c r="A41" s="217">
        <v>40</v>
      </c>
      <c r="B41" s="30" t="s">
        <v>171</v>
      </c>
      <c r="C41" s="6" t="s">
        <v>182</v>
      </c>
      <c r="D41" s="28"/>
      <c r="E41" s="11"/>
      <c r="F41" s="31"/>
      <c r="G41" s="9" t="s">
        <v>183</v>
      </c>
      <c r="H41" s="214" t="s">
        <v>188</v>
      </c>
      <c r="I41" s="327">
        <v>1234</v>
      </c>
      <c r="J41" s="328" t="s">
        <v>190</v>
      </c>
    </row>
    <row r="42" spans="1:10" ht="15.75">
      <c r="A42" s="217">
        <v>41</v>
      </c>
      <c r="B42" s="30" t="s">
        <v>172</v>
      </c>
      <c r="C42" s="6" t="s">
        <v>182</v>
      </c>
      <c r="D42" s="28"/>
      <c r="E42" s="11"/>
      <c r="F42" s="32"/>
      <c r="G42" s="9" t="s">
        <v>183</v>
      </c>
      <c r="H42" s="214" t="s">
        <v>188</v>
      </c>
      <c r="I42" s="327">
        <v>1234</v>
      </c>
      <c r="J42" s="328" t="s">
        <v>190</v>
      </c>
    </row>
    <row r="43" spans="1:10" ht="15.75">
      <c r="A43" s="217">
        <v>42</v>
      </c>
      <c r="B43" s="30" t="s">
        <v>173</v>
      </c>
      <c r="C43" s="6" t="s">
        <v>182</v>
      </c>
      <c r="D43" s="28"/>
      <c r="E43" s="11"/>
      <c r="F43" s="32"/>
      <c r="G43" s="9" t="s">
        <v>183</v>
      </c>
      <c r="H43" s="214" t="s">
        <v>188</v>
      </c>
      <c r="I43" s="327">
        <v>1234</v>
      </c>
      <c r="J43" s="328" t="s">
        <v>190</v>
      </c>
    </row>
    <row r="44" spans="1:10" ht="15.75">
      <c r="A44" s="217">
        <v>43</v>
      </c>
      <c r="B44" s="30" t="s">
        <v>174</v>
      </c>
      <c r="C44" s="6" t="s">
        <v>182</v>
      </c>
      <c r="D44" s="28"/>
      <c r="E44" s="11"/>
      <c r="F44" s="29"/>
      <c r="G44" s="9" t="s">
        <v>183</v>
      </c>
      <c r="H44" s="214" t="s">
        <v>188</v>
      </c>
      <c r="I44" s="327">
        <v>1234</v>
      </c>
      <c r="J44" s="328" t="s">
        <v>190</v>
      </c>
    </row>
    <row r="45" spans="1:10" ht="15.75">
      <c r="A45" s="217">
        <v>44</v>
      </c>
      <c r="B45" s="33" t="s">
        <v>175</v>
      </c>
      <c r="C45" s="6" t="s">
        <v>182</v>
      </c>
      <c r="D45" s="28"/>
      <c r="E45" s="11"/>
      <c r="F45" s="29"/>
      <c r="G45" s="9" t="s">
        <v>183</v>
      </c>
      <c r="H45" s="214" t="s">
        <v>188</v>
      </c>
      <c r="I45" s="327">
        <v>1234</v>
      </c>
      <c r="J45" s="328" t="s">
        <v>190</v>
      </c>
    </row>
    <row r="46" spans="1:10" ht="15.75">
      <c r="A46" s="217">
        <v>45</v>
      </c>
      <c r="B46" s="30" t="s">
        <v>176</v>
      </c>
      <c r="C46" s="6" t="s">
        <v>182</v>
      </c>
      <c r="D46" s="28"/>
      <c r="E46" s="11"/>
      <c r="F46" s="29"/>
      <c r="G46" s="9" t="s">
        <v>183</v>
      </c>
      <c r="H46" s="214" t="s">
        <v>188</v>
      </c>
      <c r="I46" s="327">
        <v>1234</v>
      </c>
      <c r="J46" s="328" t="s">
        <v>190</v>
      </c>
    </row>
    <row r="47" spans="1:10" ht="15.75">
      <c r="A47" s="217">
        <v>46</v>
      </c>
      <c r="B47" s="33" t="s">
        <v>177</v>
      </c>
      <c r="C47" s="6" t="s">
        <v>182</v>
      </c>
      <c r="D47" s="28"/>
      <c r="E47" s="11"/>
      <c r="F47" s="34"/>
      <c r="G47" s="9" t="s">
        <v>183</v>
      </c>
      <c r="H47" s="214" t="s">
        <v>188</v>
      </c>
      <c r="I47" s="327">
        <v>1234</v>
      </c>
      <c r="J47" s="328" t="s">
        <v>190</v>
      </c>
    </row>
    <row r="48" spans="1:10" ht="15.75">
      <c r="A48" s="217">
        <v>47</v>
      </c>
      <c r="B48" s="30" t="s">
        <v>178</v>
      </c>
      <c r="C48" s="6" t="s">
        <v>182</v>
      </c>
      <c r="D48" s="28"/>
      <c r="E48" s="11"/>
      <c r="F48" s="34"/>
      <c r="G48" s="9" t="s">
        <v>183</v>
      </c>
      <c r="H48" s="214" t="s">
        <v>188</v>
      </c>
      <c r="I48" s="327">
        <v>1234</v>
      </c>
      <c r="J48" s="328" t="s">
        <v>190</v>
      </c>
    </row>
    <row r="49" spans="1:10" ht="15.75">
      <c r="A49" s="217">
        <v>48</v>
      </c>
      <c r="B49" s="33" t="s">
        <v>179</v>
      </c>
      <c r="C49" s="6" t="s">
        <v>182</v>
      </c>
      <c r="D49" s="28"/>
      <c r="E49" s="11"/>
      <c r="F49" s="34"/>
      <c r="G49" s="9" t="s">
        <v>183</v>
      </c>
      <c r="H49" s="214" t="s">
        <v>188</v>
      </c>
      <c r="I49" s="214">
        <v>1234</v>
      </c>
      <c r="J49" s="329"/>
    </row>
    <row r="50" spans="1:10" ht="15.75">
      <c r="A50" s="217">
        <v>49</v>
      </c>
      <c r="B50" s="33" t="s">
        <v>180</v>
      </c>
      <c r="C50" s="6" t="s">
        <v>182</v>
      </c>
      <c r="D50" s="28"/>
      <c r="E50" s="11"/>
      <c r="F50" s="35"/>
      <c r="G50" s="9" t="s">
        <v>183</v>
      </c>
      <c r="H50" s="214" t="s">
        <v>188</v>
      </c>
      <c r="I50" s="214">
        <v>1234</v>
      </c>
      <c r="J50" s="329"/>
    </row>
    <row r="51" spans="1:10">
      <c r="A51" s="217">
        <v>50</v>
      </c>
      <c r="B51" s="33" t="s">
        <v>181</v>
      </c>
      <c r="C51" s="6" t="s">
        <v>182</v>
      </c>
      <c r="D51" s="4"/>
      <c r="E51" s="4"/>
      <c r="F51" s="4"/>
      <c r="G51" s="9" t="s">
        <v>183</v>
      </c>
      <c r="H51" s="214" t="s">
        <v>188</v>
      </c>
      <c r="I51" s="214">
        <v>1234</v>
      </c>
      <c r="J51" s="329"/>
    </row>
    <row r="52" spans="1:10">
      <c r="A52" s="2"/>
      <c r="B52" s="36"/>
      <c r="C52" s="6" t="s">
        <v>182</v>
      </c>
      <c r="D52" s="2"/>
      <c r="E52" s="2"/>
      <c r="F52" s="2"/>
      <c r="G52" s="9" t="s">
        <v>183</v>
      </c>
      <c r="H52" s="2"/>
      <c r="J52" s="329"/>
    </row>
    <row r="53" spans="1:10">
      <c r="A53" s="2"/>
      <c r="B53" s="37"/>
      <c r="C53" s="6" t="s">
        <v>182</v>
      </c>
      <c r="D53" s="2"/>
      <c r="E53" s="2"/>
      <c r="F53" s="2"/>
      <c r="G53" s="9" t="s">
        <v>183</v>
      </c>
      <c r="H53" s="2"/>
      <c r="J53" s="329"/>
    </row>
    <row r="54" spans="1:10">
      <c r="A54" s="2"/>
      <c r="B54" s="37"/>
      <c r="C54" s="6" t="s">
        <v>182</v>
      </c>
      <c r="D54" s="2"/>
      <c r="E54" s="2"/>
      <c r="F54" s="2"/>
      <c r="G54" s="9" t="s">
        <v>183</v>
      </c>
      <c r="H54" s="2"/>
      <c r="J54" s="329"/>
    </row>
    <row r="55" spans="1:10">
      <c r="A55" s="2"/>
      <c r="B55" s="37"/>
      <c r="C55" s="6" t="s">
        <v>182</v>
      </c>
      <c r="D55" s="2"/>
      <c r="E55" s="2"/>
      <c r="F55" s="2"/>
      <c r="G55" s="9" t="s">
        <v>183</v>
      </c>
      <c r="H55" s="2"/>
      <c r="J55" s="331"/>
    </row>
  </sheetData>
  <hyperlinks>
    <hyperlink ref="J2" r:id="rId1"/>
    <hyperlink ref="J3:J48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25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35" t="s">
        <v>18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2" spans="1:12">
      <c r="A2" s="4"/>
      <c r="B2" s="38" t="s">
        <v>19</v>
      </c>
      <c r="C2" s="236" t="s">
        <v>20</v>
      </c>
      <c r="D2" s="236"/>
      <c r="E2" s="236"/>
      <c r="F2" s="236"/>
      <c r="G2" s="236"/>
      <c r="H2" s="237" t="s">
        <v>21</v>
      </c>
      <c r="I2" s="238"/>
      <c r="J2" s="238"/>
      <c r="K2" s="238"/>
      <c r="L2" s="239"/>
    </row>
    <row r="3" spans="1:12" ht="53.25">
      <c r="A3" s="4" t="s">
        <v>4</v>
      </c>
      <c r="B3" s="4" t="s">
        <v>22</v>
      </c>
      <c r="C3" s="39" t="s">
        <v>6</v>
      </c>
      <c r="D3" s="39" t="s">
        <v>7</v>
      </c>
      <c r="E3" s="39" t="s">
        <v>8</v>
      </c>
      <c r="F3" s="39" t="s">
        <v>9</v>
      </c>
      <c r="G3" s="39" t="s">
        <v>23</v>
      </c>
      <c r="H3" s="39" t="s">
        <v>10</v>
      </c>
      <c r="I3" s="39" t="s">
        <v>24</v>
      </c>
      <c r="J3" s="39" t="s">
        <v>25</v>
      </c>
      <c r="K3" s="39" t="s">
        <v>26</v>
      </c>
      <c r="L3" s="40" t="s">
        <v>27</v>
      </c>
    </row>
    <row r="4" spans="1:12" ht="12.95" customHeight="1">
      <c r="A4" s="4">
        <v>1</v>
      </c>
      <c r="B4" s="41" t="str">
        <f>Data!B2</f>
        <v>ALI AHMED ASHEMI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41" t="str">
        <f>Data!B3</f>
        <v>ALHAJI MUSTAPHA ABUBAKAR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41" t="str">
        <f>Data!B4</f>
        <v>ALI MUHAMMED UMAR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41" t="str">
        <f>Data!B5</f>
        <v>ADAM UMAR LAMINU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41" t="str">
        <f>Data!B6</f>
        <v>ABUBAKAR UMAR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41" t="str">
        <f>Data!B7</f>
        <v>BABAGANA ISA ABBA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41" t="str">
        <f>Data!B8</f>
        <v>BABASHEHU ABDULLAHI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41" t="str">
        <f>Data!B9</f>
        <v>BUKAR MUHAMMED GAMBO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41" t="str">
        <f>Data!B10</f>
        <v>ELKANAH DANIEL KAIGAMA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41" t="str">
        <f>Data!B11</f>
        <v>GANA ABUBAKAR ALHAJ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41" t="str">
        <f>Data!B12</f>
        <v>IBRAHIM HASSAN HELMA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41" t="str">
        <f>Data!B13</f>
        <v>MODUYE ALI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41" t="str">
        <f>Data!B14</f>
        <v>MUSA AYUNDA JAMES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41" t="str">
        <f>Data!B15</f>
        <v>MUHAMMED KOLE MUHAMMED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41" t="str">
        <f>Data!B16</f>
        <v>MOHAMMED IBRAHIM SHETTIMA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41" t="str">
        <f>Data!B17</f>
        <v>MUHAMMED MUSA BUKAR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41" t="str">
        <f>Data!B18</f>
        <v>MOHAMMED KASHIM ADAM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41" t="str">
        <f>Data!B19</f>
        <v>MOHAMMED KALA JUNIOR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41" t="str">
        <f>Data!B20</f>
        <v>MUSTAPHA NGABURA LAMINU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41" t="str">
        <f>Data!B21</f>
        <v>MOHAMMED ALKALI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41" t="str">
        <f>Data!B22</f>
        <v>MOHAMMED TAHIR KOTOKO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41" t="str">
        <f>Data!B23</f>
        <v>SUGUN IBRAHIM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41" t="str">
        <f>Data!B24</f>
        <v>WIZIRI UMAR KINIDI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41">
        <f>Data!B25</f>
        <v>0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41">
        <f>Data!B26</f>
        <v>0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41">
        <f>Data!B27</f>
        <v>0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41">
        <f>Data!B28</f>
        <v>0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41">
        <f>Data!B29</f>
        <v>0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41" t="str">
        <f>Data!B30</f>
        <v>ALI AALIYA SHEHU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41" t="str">
        <f>Data!B31</f>
        <v>AUDU FATIMA ADO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41" t="str">
        <f>Data!B32</f>
        <v>ABBA FATIMA KYARI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41" t="str">
        <f>Data!B33</f>
        <v>AHMED FATIMA JIME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41" t="str">
        <f>Data!B34</f>
        <v>ADAMU HASAT ISAH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41" t="str">
        <f>Data!B35</f>
        <v>BABAGANA AISHA ARFO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41" t="str">
        <f>Data!B36</f>
        <v>BABA AMINA ZANNAH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41" t="str">
        <f>Data!B37</f>
        <v>BUKAR FATIMAH ALLAU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41" t="str">
        <f>Data!B38</f>
        <v>BABAGANA FATIMA KARUMI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41" t="str">
        <f>Data!B39</f>
        <v>HARUNA RUTH AFFIKU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41" t="str">
        <f>Data!B40</f>
        <v>HABILA ROSE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41" t="str">
        <f>Data!B41</f>
        <v>IBRAHIM HADIZA ABUBAKAR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41" t="str">
        <f>Data!B42</f>
        <v>KALLI AMSATU SHETTIMA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41" t="str">
        <f>Data!B43</f>
        <v>LUQMAN HIKMAH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41" t="str">
        <f>Data!B44</f>
        <v>MADU AYAMU YARIMA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41" t="str">
        <f>Data!B45</f>
        <v>MUHAMMED SAKINAH ABDU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41" t="str">
        <f>Data!B46</f>
        <v>NASIRU KHADIJAH GAJI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41" t="str">
        <f>Data!B47</f>
        <v>SULEIMAN LAILA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41" t="str">
        <f>Data!B48</f>
        <v>TAHA AMINA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41" t="str">
        <f>Data!B49</f>
        <v>UMAR ZAINAB ZARMA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41" t="str">
        <f>Data!B50</f>
        <v>ZANNA ZARA MUSTAPHA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41" t="str">
        <f>Data!B51</f>
        <v>ZUBAIRU KHADIJA H ALIN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51"/>
    </sheetView>
  </sheetViews>
  <sheetFormatPr defaultColWidth="9" defaultRowHeight="15"/>
  <cols>
    <col min="1" max="1" width="28.28515625" customWidth="1"/>
    <col min="2" max="2" width="41.85546875" customWidth="1"/>
    <col min="3" max="3" width="22.42578125" customWidth="1"/>
  </cols>
  <sheetData>
    <row r="1" spans="1:5">
      <c r="A1" s="220" t="s">
        <v>186</v>
      </c>
      <c r="B1" s="229" t="s">
        <v>29</v>
      </c>
      <c r="C1" s="230" t="s">
        <v>30</v>
      </c>
      <c r="D1" s="42"/>
      <c r="E1" s="42"/>
    </row>
    <row r="2" spans="1:5">
      <c r="A2" s="217">
        <v>1</v>
      </c>
      <c r="B2" s="43" t="s">
        <v>31</v>
      </c>
      <c r="C2" s="218" t="s">
        <v>32</v>
      </c>
    </row>
    <row r="3" spans="1:5">
      <c r="A3" s="217">
        <v>2</v>
      </c>
      <c r="B3" s="43" t="s">
        <v>31</v>
      </c>
      <c r="C3" s="218" t="s">
        <v>32</v>
      </c>
    </row>
    <row r="4" spans="1:5">
      <c r="A4" s="217">
        <v>3</v>
      </c>
      <c r="B4" s="43" t="s">
        <v>31</v>
      </c>
      <c r="C4" s="218" t="s">
        <v>32</v>
      </c>
    </row>
    <row r="5" spans="1:5">
      <c r="A5" s="217">
        <v>4</v>
      </c>
      <c r="B5" s="43" t="s">
        <v>31</v>
      </c>
      <c r="C5" s="218" t="s">
        <v>32</v>
      </c>
    </row>
    <row r="6" spans="1:5">
      <c r="A6" s="217">
        <v>5</v>
      </c>
      <c r="B6" s="43" t="s">
        <v>31</v>
      </c>
      <c r="C6" s="218" t="s">
        <v>32</v>
      </c>
    </row>
    <row r="7" spans="1:5">
      <c r="A7" s="217">
        <v>6</v>
      </c>
      <c r="B7" s="43" t="s">
        <v>31</v>
      </c>
      <c r="C7" s="218" t="s">
        <v>32</v>
      </c>
    </row>
    <row r="8" spans="1:5">
      <c r="A8" s="217">
        <v>7</v>
      </c>
      <c r="B8" s="43" t="s">
        <v>31</v>
      </c>
      <c r="C8" s="218" t="s">
        <v>32</v>
      </c>
    </row>
    <row r="9" spans="1:5">
      <c r="A9" s="217">
        <v>8</v>
      </c>
      <c r="B9" s="43" t="s">
        <v>31</v>
      </c>
      <c r="C9" s="218" t="s">
        <v>32</v>
      </c>
    </row>
    <row r="10" spans="1:5">
      <c r="A10" s="217">
        <v>9</v>
      </c>
      <c r="B10" s="43" t="s">
        <v>31</v>
      </c>
      <c r="C10" s="218" t="s">
        <v>32</v>
      </c>
    </row>
    <row r="11" spans="1:5">
      <c r="A11" s="217">
        <v>10</v>
      </c>
      <c r="B11" s="43" t="s">
        <v>31</v>
      </c>
      <c r="C11" s="218" t="s">
        <v>32</v>
      </c>
    </row>
    <row r="12" spans="1:5">
      <c r="A12" s="217">
        <v>11</v>
      </c>
      <c r="B12" s="43" t="s">
        <v>31</v>
      </c>
      <c r="C12" s="218" t="s">
        <v>32</v>
      </c>
    </row>
    <row r="13" spans="1:5">
      <c r="A13" s="217">
        <v>12</v>
      </c>
      <c r="B13" s="9" t="s">
        <v>136</v>
      </c>
      <c r="C13" s="218" t="s">
        <v>32</v>
      </c>
    </row>
    <row r="14" spans="1:5">
      <c r="A14" s="217">
        <v>13</v>
      </c>
      <c r="B14" s="9" t="s">
        <v>136</v>
      </c>
      <c r="C14" s="218" t="s">
        <v>32</v>
      </c>
    </row>
    <row r="15" spans="1:5">
      <c r="A15" s="217">
        <v>14</v>
      </c>
      <c r="B15" s="9" t="s">
        <v>136</v>
      </c>
      <c r="C15" s="218" t="s">
        <v>32</v>
      </c>
    </row>
    <row r="16" spans="1:5">
      <c r="A16" s="217">
        <v>15</v>
      </c>
      <c r="B16" s="9" t="s">
        <v>136</v>
      </c>
      <c r="C16" s="218" t="s">
        <v>32</v>
      </c>
    </row>
    <row r="17" spans="1:3">
      <c r="A17" s="217">
        <v>16</v>
      </c>
      <c r="B17" s="9" t="s">
        <v>136</v>
      </c>
      <c r="C17" s="218" t="s">
        <v>32</v>
      </c>
    </row>
    <row r="18" spans="1:3">
      <c r="A18" s="217">
        <v>17</v>
      </c>
      <c r="B18" s="9" t="s">
        <v>136</v>
      </c>
      <c r="C18" s="218" t="s">
        <v>32</v>
      </c>
    </row>
    <row r="19" spans="1:3">
      <c r="A19" s="217">
        <v>18</v>
      </c>
      <c r="B19" s="9" t="s">
        <v>136</v>
      </c>
      <c r="C19" s="218" t="s">
        <v>32</v>
      </c>
    </row>
    <row r="20" spans="1:3">
      <c r="A20" s="217">
        <v>19</v>
      </c>
      <c r="B20" s="9" t="s">
        <v>136</v>
      </c>
      <c r="C20" s="218" t="s">
        <v>32</v>
      </c>
    </row>
    <row r="21" spans="1:3">
      <c r="A21" s="217">
        <v>20</v>
      </c>
      <c r="B21" s="9" t="s">
        <v>136</v>
      </c>
      <c r="C21" s="218" t="s">
        <v>32</v>
      </c>
    </row>
    <row r="22" spans="1:3">
      <c r="A22" s="217">
        <v>21</v>
      </c>
      <c r="B22" s="9" t="s">
        <v>136</v>
      </c>
      <c r="C22" s="218" t="s">
        <v>32</v>
      </c>
    </row>
    <row r="23" spans="1:3">
      <c r="A23" s="217">
        <v>22</v>
      </c>
      <c r="B23" s="9" t="s">
        <v>136</v>
      </c>
      <c r="C23" s="218" t="s">
        <v>32</v>
      </c>
    </row>
    <row r="24" spans="1:3">
      <c r="A24" s="217">
        <v>23</v>
      </c>
      <c r="B24" s="9" t="s">
        <v>136</v>
      </c>
      <c r="C24" s="218" t="s">
        <v>32</v>
      </c>
    </row>
    <row r="25" spans="1:3">
      <c r="A25" s="217">
        <v>24</v>
      </c>
      <c r="B25" s="9" t="s">
        <v>136</v>
      </c>
      <c r="C25" s="218" t="s">
        <v>32</v>
      </c>
    </row>
    <row r="26" spans="1:3">
      <c r="A26" s="217">
        <v>25</v>
      </c>
      <c r="B26" s="9" t="s">
        <v>136</v>
      </c>
      <c r="C26" s="218" t="s">
        <v>32</v>
      </c>
    </row>
    <row r="27" spans="1:3">
      <c r="A27" s="217">
        <v>26</v>
      </c>
      <c r="B27" s="9" t="s">
        <v>136</v>
      </c>
      <c r="C27" s="218" t="s">
        <v>32</v>
      </c>
    </row>
    <row r="28" spans="1:3">
      <c r="A28" s="217">
        <v>27</v>
      </c>
      <c r="B28" s="9" t="s">
        <v>136</v>
      </c>
      <c r="C28" s="218" t="s">
        <v>32</v>
      </c>
    </row>
    <row r="29" spans="1:3">
      <c r="A29" s="217">
        <v>28</v>
      </c>
      <c r="B29" s="9" t="s">
        <v>136</v>
      </c>
      <c r="C29" s="218" t="s">
        <v>32</v>
      </c>
    </row>
    <row r="30" spans="1:3">
      <c r="A30" s="217">
        <v>29</v>
      </c>
      <c r="B30" s="9" t="s">
        <v>136</v>
      </c>
      <c r="C30" s="218" t="s">
        <v>32</v>
      </c>
    </row>
    <row r="31" spans="1:3">
      <c r="A31" s="217">
        <v>30</v>
      </c>
      <c r="B31" s="9" t="s">
        <v>136</v>
      </c>
      <c r="C31" s="218" t="s">
        <v>32</v>
      </c>
    </row>
    <row r="32" spans="1:3">
      <c r="A32" s="217">
        <v>31</v>
      </c>
      <c r="B32" s="9" t="s">
        <v>136</v>
      </c>
      <c r="C32" s="218" t="s">
        <v>32</v>
      </c>
    </row>
    <row r="33" spans="1:3">
      <c r="A33" s="217">
        <v>32</v>
      </c>
      <c r="B33" s="9" t="s">
        <v>136</v>
      </c>
      <c r="C33" s="218" t="s">
        <v>32</v>
      </c>
    </row>
    <row r="34" spans="1:3">
      <c r="A34" s="217">
        <v>33</v>
      </c>
      <c r="B34" s="9" t="s">
        <v>136</v>
      </c>
      <c r="C34" s="218" t="s">
        <v>32</v>
      </c>
    </row>
    <row r="35" spans="1:3">
      <c r="A35" s="217">
        <v>34</v>
      </c>
      <c r="B35" s="9" t="s">
        <v>136</v>
      </c>
      <c r="C35" s="218" t="s">
        <v>32</v>
      </c>
    </row>
    <row r="36" spans="1:3">
      <c r="A36" s="217">
        <v>35</v>
      </c>
      <c r="B36" s="9" t="s">
        <v>136</v>
      </c>
      <c r="C36" s="218" t="s">
        <v>32</v>
      </c>
    </row>
    <row r="37" spans="1:3">
      <c r="A37" s="217">
        <v>36</v>
      </c>
      <c r="B37" s="9" t="s">
        <v>136</v>
      </c>
      <c r="C37" s="218" t="s">
        <v>32</v>
      </c>
    </row>
    <row r="38" spans="1:3">
      <c r="A38" s="217">
        <v>37</v>
      </c>
      <c r="B38" s="9" t="s">
        <v>136</v>
      </c>
      <c r="C38" s="218" t="s">
        <v>32</v>
      </c>
    </row>
    <row r="39" spans="1:3">
      <c r="A39" s="217">
        <v>38</v>
      </c>
      <c r="B39" s="9" t="s">
        <v>136</v>
      </c>
      <c r="C39" s="218" t="s">
        <v>32</v>
      </c>
    </row>
    <row r="40" spans="1:3">
      <c r="A40" s="217">
        <v>39</v>
      </c>
      <c r="B40" s="9" t="s">
        <v>136</v>
      </c>
      <c r="C40" s="218" t="s">
        <v>32</v>
      </c>
    </row>
    <row r="41" spans="1:3">
      <c r="A41" s="217">
        <v>40</v>
      </c>
      <c r="B41" s="9" t="s">
        <v>136</v>
      </c>
      <c r="C41" s="218" t="s">
        <v>32</v>
      </c>
    </row>
    <row r="42" spans="1:3">
      <c r="A42" s="217">
        <v>41</v>
      </c>
      <c r="B42" s="9" t="s">
        <v>136</v>
      </c>
      <c r="C42" s="218" t="s">
        <v>32</v>
      </c>
    </row>
    <row r="43" spans="1:3">
      <c r="A43" s="217">
        <v>42</v>
      </c>
      <c r="B43" s="9" t="s">
        <v>136</v>
      </c>
      <c r="C43" s="218" t="s">
        <v>32</v>
      </c>
    </row>
    <row r="44" spans="1:3">
      <c r="A44" s="217">
        <v>43</v>
      </c>
      <c r="B44" s="9" t="s">
        <v>136</v>
      </c>
      <c r="C44" s="218" t="s">
        <v>32</v>
      </c>
    </row>
    <row r="45" spans="1:3">
      <c r="A45" s="217">
        <v>44</v>
      </c>
      <c r="B45" s="9" t="s">
        <v>136</v>
      </c>
      <c r="C45" s="218" t="s">
        <v>32</v>
      </c>
    </row>
    <row r="46" spans="1:3">
      <c r="A46" s="217">
        <v>45</v>
      </c>
      <c r="B46" s="9" t="s">
        <v>136</v>
      </c>
      <c r="C46" s="218" t="s">
        <v>32</v>
      </c>
    </row>
    <row r="47" spans="1:3">
      <c r="A47" s="217">
        <v>46</v>
      </c>
      <c r="B47" s="9" t="s">
        <v>136</v>
      </c>
      <c r="C47" s="218" t="s">
        <v>32</v>
      </c>
    </row>
    <row r="48" spans="1:3">
      <c r="A48" s="217">
        <v>47</v>
      </c>
      <c r="B48" s="9" t="s">
        <v>136</v>
      </c>
      <c r="C48" s="218" t="s">
        <v>32</v>
      </c>
    </row>
    <row r="49" spans="1:3">
      <c r="A49" s="217">
        <v>48</v>
      </c>
      <c r="B49" s="9" t="s">
        <v>136</v>
      </c>
      <c r="C49" s="218" t="s">
        <v>32</v>
      </c>
    </row>
    <row r="50" spans="1:3">
      <c r="A50" s="217">
        <v>49</v>
      </c>
      <c r="B50" s="9" t="s">
        <v>136</v>
      </c>
      <c r="C50" s="218" t="s">
        <v>32</v>
      </c>
    </row>
    <row r="51" spans="1:3">
      <c r="A51" s="217">
        <v>50</v>
      </c>
      <c r="B51" s="231" t="s">
        <v>136</v>
      </c>
      <c r="C51" s="232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51"/>
    </sheetView>
  </sheetViews>
  <sheetFormatPr defaultColWidth="9" defaultRowHeight="15"/>
  <cols>
    <col min="1" max="1" width="28.28515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20" t="s">
        <v>186</v>
      </c>
      <c r="B1" s="221" t="s">
        <v>33</v>
      </c>
      <c r="C1" s="221" t="s">
        <v>34</v>
      </c>
      <c r="D1" s="221" t="s">
        <v>35</v>
      </c>
      <c r="E1" s="221" t="s">
        <v>36</v>
      </c>
      <c r="F1" s="221" t="s">
        <v>37</v>
      </c>
      <c r="G1" s="221" t="s">
        <v>38</v>
      </c>
      <c r="H1" s="221" t="s">
        <v>39</v>
      </c>
      <c r="I1" s="222" t="s">
        <v>40</v>
      </c>
    </row>
    <row r="2" spans="1:9">
      <c r="A2" s="217">
        <v>1</v>
      </c>
      <c r="B2" s="44">
        <v>4</v>
      </c>
      <c r="C2" s="44">
        <v>5</v>
      </c>
      <c r="D2" s="44">
        <v>4</v>
      </c>
      <c r="E2" s="44">
        <v>4</v>
      </c>
      <c r="F2" s="44">
        <v>4</v>
      </c>
      <c r="G2" s="44">
        <v>4</v>
      </c>
      <c r="H2" s="44">
        <v>4</v>
      </c>
      <c r="I2" s="218">
        <v>4</v>
      </c>
    </row>
    <row r="3" spans="1:9">
      <c r="A3" s="217">
        <v>2</v>
      </c>
      <c r="B3" s="44">
        <v>4</v>
      </c>
      <c r="C3" s="44">
        <v>4</v>
      </c>
      <c r="D3" s="44">
        <v>4</v>
      </c>
      <c r="E3" s="44">
        <v>4</v>
      </c>
      <c r="F3" s="44">
        <v>3</v>
      </c>
      <c r="G3" s="44">
        <v>4</v>
      </c>
      <c r="H3" s="44">
        <v>4</v>
      </c>
      <c r="I3" s="218">
        <v>4</v>
      </c>
    </row>
    <row r="4" spans="1:9">
      <c r="A4" s="217">
        <v>3</v>
      </c>
      <c r="B4" s="44">
        <v>3</v>
      </c>
      <c r="C4" s="44">
        <v>3</v>
      </c>
      <c r="D4" s="44">
        <v>4</v>
      </c>
      <c r="E4" s="44">
        <v>4</v>
      </c>
      <c r="F4" s="44">
        <v>4</v>
      </c>
      <c r="G4" s="44">
        <v>4</v>
      </c>
      <c r="H4" s="44">
        <v>4</v>
      </c>
      <c r="I4" s="218">
        <v>4</v>
      </c>
    </row>
    <row r="5" spans="1:9">
      <c r="A5" s="217">
        <v>4</v>
      </c>
      <c r="B5" s="44">
        <v>4</v>
      </c>
      <c r="C5" s="44">
        <v>5</v>
      </c>
      <c r="D5" s="44">
        <v>4</v>
      </c>
      <c r="E5" s="44">
        <v>4</v>
      </c>
      <c r="F5" s="44">
        <v>4</v>
      </c>
      <c r="G5" s="44">
        <v>4</v>
      </c>
      <c r="H5" s="44">
        <v>4</v>
      </c>
      <c r="I5" s="218">
        <v>5</v>
      </c>
    </row>
    <row r="6" spans="1:9">
      <c r="A6" s="217">
        <v>5</v>
      </c>
      <c r="B6" s="44">
        <v>4</v>
      </c>
      <c r="C6" s="44">
        <v>5</v>
      </c>
      <c r="D6" s="44">
        <v>4</v>
      </c>
      <c r="E6" s="44">
        <v>4</v>
      </c>
      <c r="F6" s="44">
        <v>4</v>
      </c>
      <c r="G6" s="44">
        <v>4</v>
      </c>
      <c r="H6" s="44">
        <v>4</v>
      </c>
      <c r="I6" s="218">
        <v>4</v>
      </c>
    </row>
    <row r="7" spans="1:9">
      <c r="A7" s="217">
        <v>6</v>
      </c>
      <c r="B7" s="44">
        <v>4</v>
      </c>
      <c r="C7" s="44">
        <v>5</v>
      </c>
      <c r="D7" s="44">
        <v>3</v>
      </c>
      <c r="E7" s="44">
        <v>4</v>
      </c>
      <c r="F7" s="44">
        <v>4</v>
      </c>
      <c r="G7" s="44">
        <v>4</v>
      </c>
      <c r="H7" s="44">
        <v>4</v>
      </c>
      <c r="I7" s="218">
        <v>3</v>
      </c>
    </row>
    <row r="8" spans="1:9">
      <c r="A8" s="217">
        <v>7</v>
      </c>
      <c r="B8" s="44">
        <v>3</v>
      </c>
      <c r="C8" s="44">
        <v>3</v>
      </c>
      <c r="D8" s="44">
        <v>4</v>
      </c>
      <c r="E8" s="44">
        <v>4</v>
      </c>
      <c r="F8" s="44">
        <v>4</v>
      </c>
      <c r="G8" s="44">
        <v>4</v>
      </c>
      <c r="H8" s="44">
        <v>4</v>
      </c>
      <c r="I8" s="218">
        <v>4</v>
      </c>
    </row>
    <row r="9" spans="1:9">
      <c r="A9" s="217">
        <v>8</v>
      </c>
      <c r="B9" s="44">
        <v>3</v>
      </c>
      <c r="C9" s="44">
        <v>3</v>
      </c>
      <c r="D9" s="44">
        <v>4</v>
      </c>
      <c r="E9" s="44">
        <v>4</v>
      </c>
      <c r="F9" s="44">
        <v>4</v>
      </c>
      <c r="G9" s="44">
        <v>4</v>
      </c>
      <c r="H9" s="44">
        <v>4</v>
      </c>
      <c r="I9" s="218">
        <v>4</v>
      </c>
    </row>
    <row r="10" spans="1:9">
      <c r="A10" s="217">
        <v>9</v>
      </c>
      <c r="B10" s="44">
        <v>4</v>
      </c>
      <c r="C10" s="44">
        <v>3</v>
      </c>
      <c r="D10" s="44">
        <v>4</v>
      </c>
      <c r="E10" s="44">
        <v>4</v>
      </c>
      <c r="F10" s="44">
        <v>4</v>
      </c>
      <c r="G10" s="44">
        <v>4</v>
      </c>
      <c r="H10" s="44">
        <v>4</v>
      </c>
      <c r="I10" s="218">
        <v>4</v>
      </c>
    </row>
    <row r="11" spans="1:9">
      <c r="A11" s="217">
        <v>10</v>
      </c>
      <c r="B11" s="44">
        <v>4</v>
      </c>
      <c r="C11" s="44">
        <v>5</v>
      </c>
      <c r="D11" s="44">
        <v>3</v>
      </c>
      <c r="E11" s="44">
        <v>3</v>
      </c>
      <c r="F11" s="44">
        <v>2</v>
      </c>
      <c r="G11" s="44">
        <v>4</v>
      </c>
      <c r="H11" s="44">
        <v>2</v>
      </c>
      <c r="I11" s="218">
        <v>4</v>
      </c>
    </row>
    <row r="12" spans="1:9">
      <c r="A12" s="217">
        <v>11</v>
      </c>
      <c r="B12" s="44">
        <v>4</v>
      </c>
      <c r="C12" s="44">
        <v>4</v>
      </c>
      <c r="D12" s="44">
        <v>4</v>
      </c>
      <c r="E12" s="44">
        <v>4</v>
      </c>
      <c r="F12" s="44">
        <v>3</v>
      </c>
      <c r="G12" s="44">
        <v>4</v>
      </c>
      <c r="H12" s="44">
        <v>4</v>
      </c>
      <c r="I12" s="218">
        <v>4</v>
      </c>
    </row>
    <row r="13" spans="1:9">
      <c r="A13" s="217">
        <v>12</v>
      </c>
      <c r="B13" s="44">
        <v>4</v>
      </c>
      <c r="C13" s="44">
        <v>4</v>
      </c>
      <c r="D13" s="44">
        <v>4</v>
      </c>
      <c r="E13" s="44">
        <v>4</v>
      </c>
      <c r="F13" s="44">
        <v>4</v>
      </c>
      <c r="G13" s="44">
        <v>4</v>
      </c>
      <c r="H13" s="44">
        <v>3</v>
      </c>
      <c r="I13" s="218">
        <v>4</v>
      </c>
    </row>
    <row r="14" spans="1:9">
      <c r="A14" s="217">
        <v>13</v>
      </c>
      <c r="B14" s="44">
        <v>4</v>
      </c>
      <c r="C14" s="44">
        <v>5</v>
      </c>
      <c r="D14" s="44">
        <v>4</v>
      </c>
      <c r="E14" s="44">
        <v>4</v>
      </c>
      <c r="F14" s="44">
        <v>4</v>
      </c>
      <c r="G14" s="44">
        <v>4</v>
      </c>
      <c r="H14" s="44">
        <v>4</v>
      </c>
      <c r="I14" s="218">
        <v>4</v>
      </c>
    </row>
    <row r="15" spans="1:9">
      <c r="A15" s="217">
        <v>14</v>
      </c>
      <c r="B15" s="44">
        <v>4</v>
      </c>
      <c r="C15" s="44">
        <v>5</v>
      </c>
      <c r="D15" s="44">
        <v>4</v>
      </c>
      <c r="E15" s="44">
        <v>3</v>
      </c>
      <c r="F15" s="44">
        <v>3</v>
      </c>
      <c r="G15" s="44">
        <v>3</v>
      </c>
      <c r="H15" s="44">
        <v>3</v>
      </c>
      <c r="I15" s="218">
        <v>4</v>
      </c>
    </row>
    <row r="16" spans="1:9">
      <c r="A16" s="217">
        <v>15</v>
      </c>
      <c r="B16" s="44">
        <v>4</v>
      </c>
      <c r="C16" s="44">
        <v>5</v>
      </c>
      <c r="D16" s="44">
        <v>4</v>
      </c>
      <c r="E16" s="44">
        <v>4</v>
      </c>
      <c r="F16" s="44">
        <v>4</v>
      </c>
      <c r="G16" s="44">
        <v>4</v>
      </c>
      <c r="H16" s="44">
        <v>4</v>
      </c>
      <c r="I16" s="218">
        <v>4</v>
      </c>
    </row>
    <row r="17" spans="1:9">
      <c r="A17" s="217">
        <v>16</v>
      </c>
      <c r="B17" s="44">
        <v>4</v>
      </c>
      <c r="C17" s="44">
        <v>5</v>
      </c>
      <c r="D17" s="44">
        <v>3</v>
      </c>
      <c r="E17" s="44">
        <v>4</v>
      </c>
      <c r="F17" s="44">
        <v>3</v>
      </c>
      <c r="G17" s="44">
        <v>4</v>
      </c>
      <c r="H17" s="44">
        <v>4</v>
      </c>
      <c r="I17" s="218">
        <v>4</v>
      </c>
    </row>
    <row r="18" spans="1:9">
      <c r="A18" s="217">
        <v>17</v>
      </c>
      <c r="B18" s="44">
        <v>4</v>
      </c>
      <c r="C18" s="44">
        <v>5</v>
      </c>
      <c r="D18" s="44">
        <v>4</v>
      </c>
      <c r="E18" s="44">
        <v>3</v>
      </c>
      <c r="F18" s="44">
        <v>3</v>
      </c>
      <c r="G18" s="44">
        <v>3</v>
      </c>
      <c r="H18" s="44">
        <v>4</v>
      </c>
      <c r="I18" s="218">
        <v>4</v>
      </c>
    </row>
    <row r="19" spans="1:9">
      <c r="A19" s="217">
        <v>18</v>
      </c>
      <c r="B19" s="44">
        <v>4</v>
      </c>
      <c r="C19" s="44">
        <v>5</v>
      </c>
      <c r="D19" s="44">
        <v>4</v>
      </c>
      <c r="E19" s="44">
        <v>3</v>
      </c>
      <c r="F19" s="44">
        <v>3</v>
      </c>
      <c r="G19" s="44">
        <v>4</v>
      </c>
      <c r="H19" s="44">
        <v>4</v>
      </c>
      <c r="I19" s="218">
        <v>4</v>
      </c>
    </row>
    <row r="20" spans="1:9">
      <c r="A20" s="217">
        <v>19</v>
      </c>
      <c r="B20" s="44">
        <v>4</v>
      </c>
      <c r="C20" s="44">
        <v>4</v>
      </c>
      <c r="D20" s="44">
        <v>4</v>
      </c>
      <c r="E20" s="44">
        <v>4</v>
      </c>
      <c r="F20" s="44">
        <v>4</v>
      </c>
      <c r="G20" s="44">
        <v>4</v>
      </c>
      <c r="H20" s="44">
        <v>4</v>
      </c>
      <c r="I20" s="218">
        <v>4</v>
      </c>
    </row>
    <row r="21" spans="1:9">
      <c r="A21" s="217">
        <v>20</v>
      </c>
      <c r="B21" s="44">
        <v>4</v>
      </c>
      <c r="C21" s="44">
        <v>5</v>
      </c>
      <c r="D21" s="44">
        <v>4</v>
      </c>
      <c r="E21" s="44">
        <v>4</v>
      </c>
      <c r="F21" s="44">
        <v>4</v>
      </c>
      <c r="G21" s="44">
        <v>4</v>
      </c>
      <c r="H21" s="44">
        <v>4</v>
      </c>
      <c r="I21" s="218">
        <v>4</v>
      </c>
    </row>
    <row r="22" spans="1:9">
      <c r="A22" s="217">
        <v>21</v>
      </c>
      <c r="B22" s="44">
        <v>3</v>
      </c>
      <c r="C22" s="44">
        <v>4</v>
      </c>
      <c r="D22" s="44">
        <v>4</v>
      </c>
      <c r="E22" s="44">
        <v>4</v>
      </c>
      <c r="F22" s="44">
        <v>3</v>
      </c>
      <c r="G22" s="44">
        <v>4</v>
      </c>
      <c r="H22" s="44">
        <v>3</v>
      </c>
      <c r="I22" s="218">
        <v>4</v>
      </c>
    </row>
    <row r="23" spans="1:9">
      <c r="A23" s="217">
        <v>22</v>
      </c>
      <c r="B23" s="44">
        <v>4</v>
      </c>
      <c r="C23" s="44">
        <v>5</v>
      </c>
      <c r="D23" s="44">
        <v>4</v>
      </c>
      <c r="E23" s="44">
        <v>4</v>
      </c>
      <c r="F23" s="44">
        <v>4</v>
      </c>
      <c r="G23" s="44">
        <v>4</v>
      </c>
      <c r="H23" s="44">
        <v>4</v>
      </c>
      <c r="I23" s="218">
        <v>4</v>
      </c>
    </row>
    <row r="24" spans="1:9">
      <c r="A24" s="217">
        <v>23</v>
      </c>
      <c r="B24" s="44">
        <v>3</v>
      </c>
      <c r="C24" s="44">
        <v>4</v>
      </c>
      <c r="D24" s="44">
        <v>4</v>
      </c>
      <c r="E24" s="44">
        <v>4</v>
      </c>
      <c r="F24" s="44">
        <v>4</v>
      </c>
      <c r="G24" s="44">
        <v>4</v>
      </c>
      <c r="H24" s="44">
        <v>4</v>
      </c>
      <c r="I24" s="218">
        <v>4</v>
      </c>
    </row>
    <row r="25" spans="1:9">
      <c r="A25" s="217">
        <v>24</v>
      </c>
      <c r="B25" s="44">
        <v>3</v>
      </c>
      <c r="C25" s="44">
        <v>3</v>
      </c>
      <c r="D25" s="44">
        <v>4</v>
      </c>
      <c r="E25" s="44">
        <v>4</v>
      </c>
      <c r="F25" s="44">
        <v>4</v>
      </c>
      <c r="G25" s="44">
        <v>5</v>
      </c>
      <c r="H25" s="44">
        <v>4</v>
      </c>
      <c r="I25" s="218">
        <v>4</v>
      </c>
    </row>
    <row r="26" spans="1:9">
      <c r="A26" s="217">
        <v>25</v>
      </c>
      <c r="B26" s="44">
        <v>4</v>
      </c>
      <c r="C26" s="44">
        <v>3</v>
      </c>
      <c r="D26" s="44">
        <v>5</v>
      </c>
      <c r="E26" s="44">
        <v>4</v>
      </c>
      <c r="F26" s="44">
        <v>4</v>
      </c>
      <c r="G26" s="44">
        <v>4</v>
      </c>
      <c r="H26" s="44">
        <v>4</v>
      </c>
      <c r="I26" s="218">
        <v>5</v>
      </c>
    </row>
    <row r="27" spans="1:9">
      <c r="A27" s="217">
        <v>26</v>
      </c>
      <c r="B27" s="44">
        <v>4</v>
      </c>
      <c r="C27" s="44">
        <v>4</v>
      </c>
      <c r="D27" s="44">
        <v>4</v>
      </c>
      <c r="E27" s="44">
        <v>4</v>
      </c>
      <c r="F27" s="44">
        <v>4</v>
      </c>
      <c r="G27" s="44">
        <v>4</v>
      </c>
      <c r="H27" s="44">
        <v>4</v>
      </c>
      <c r="I27" s="218">
        <v>4</v>
      </c>
    </row>
    <row r="28" spans="1:9">
      <c r="A28" s="217">
        <v>27</v>
      </c>
      <c r="B28" s="44">
        <v>5</v>
      </c>
      <c r="C28" s="44">
        <v>5</v>
      </c>
      <c r="D28" s="44">
        <v>4</v>
      </c>
      <c r="E28" s="44">
        <v>4</v>
      </c>
      <c r="F28" s="44">
        <v>4</v>
      </c>
      <c r="G28" s="44">
        <v>4</v>
      </c>
      <c r="H28" s="44">
        <v>4</v>
      </c>
      <c r="I28" s="218">
        <v>4</v>
      </c>
    </row>
    <row r="29" spans="1:9">
      <c r="A29" s="217">
        <v>28</v>
      </c>
      <c r="B29" s="44">
        <v>3</v>
      </c>
      <c r="C29" s="44">
        <v>4</v>
      </c>
      <c r="D29" s="44">
        <v>4</v>
      </c>
      <c r="E29" s="44">
        <v>4</v>
      </c>
      <c r="F29" s="44">
        <v>4</v>
      </c>
      <c r="G29" s="44">
        <v>4</v>
      </c>
      <c r="H29" s="44">
        <v>4</v>
      </c>
      <c r="I29" s="218">
        <v>4</v>
      </c>
    </row>
    <row r="30" spans="1:9">
      <c r="A30" s="217">
        <v>29</v>
      </c>
      <c r="B30" s="44">
        <v>4</v>
      </c>
      <c r="C30" s="44">
        <v>5</v>
      </c>
      <c r="D30" s="44">
        <v>4</v>
      </c>
      <c r="E30" s="44">
        <v>4</v>
      </c>
      <c r="F30" s="44">
        <v>4</v>
      </c>
      <c r="G30" s="44">
        <v>4</v>
      </c>
      <c r="H30" s="44">
        <v>4</v>
      </c>
      <c r="I30" s="218">
        <v>5</v>
      </c>
    </row>
    <row r="31" spans="1:9">
      <c r="A31" s="217">
        <v>30</v>
      </c>
      <c r="B31" s="44">
        <v>5</v>
      </c>
      <c r="C31" s="44">
        <v>5</v>
      </c>
      <c r="D31" s="44">
        <v>4</v>
      </c>
      <c r="E31" s="44">
        <v>4</v>
      </c>
      <c r="F31" s="44">
        <v>4</v>
      </c>
      <c r="G31" s="44">
        <v>5</v>
      </c>
      <c r="H31" s="44">
        <v>4</v>
      </c>
      <c r="I31" s="218">
        <v>5</v>
      </c>
    </row>
    <row r="32" spans="1:9">
      <c r="A32" s="217">
        <v>31</v>
      </c>
      <c r="B32" s="44">
        <v>4</v>
      </c>
      <c r="C32" s="44">
        <v>5</v>
      </c>
      <c r="D32" s="44">
        <v>4</v>
      </c>
      <c r="E32" s="44">
        <v>3</v>
      </c>
      <c r="F32" s="44">
        <v>4</v>
      </c>
      <c r="G32" s="44">
        <v>3</v>
      </c>
      <c r="H32" s="44">
        <v>3</v>
      </c>
      <c r="I32" s="218">
        <v>3</v>
      </c>
    </row>
    <row r="33" spans="1:9">
      <c r="A33" s="217">
        <v>32</v>
      </c>
      <c r="B33" s="44">
        <v>3</v>
      </c>
      <c r="C33" s="44">
        <v>4</v>
      </c>
      <c r="D33" s="44">
        <v>4</v>
      </c>
      <c r="E33" s="44">
        <v>4</v>
      </c>
      <c r="F33" s="44">
        <v>4</v>
      </c>
      <c r="G33" s="44">
        <v>4</v>
      </c>
      <c r="H33" s="44">
        <v>4</v>
      </c>
      <c r="I33" s="218">
        <v>4</v>
      </c>
    </row>
    <row r="34" spans="1:9">
      <c r="A34" s="217">
        <v>33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218">
        <v>4</v>
      </c>
    </row>
    <row r="35" spans="1:9">
      <c r="A35" s="217">
        <v>34</v>
      </c>
      <c r="B35" s="44">
        <v>3</v>
      </c>
      <c r="C35" s="44">
        <v>4</v>
      </c>
      <c r="D35" s="44">
        <v>4</v>
      </c>
      <c r="E35" s="44">
        <v>4</v>
      </c>
      <c r="F35" s="44">
        <v>4</v>
      </c>
      <c r="G35" s="44">
        <v>4</v>
      </c>
      <c r="H35" s="44">
        <v>4</v>
      </c>
      <c r="I35" s="218">
        <v>4</v>
      </c>
    </row>
    <row r="36" spans="1:9">
      <c r="A36" s="217">
        <v>35</v>
      </c>
      <c r="B36" s="44">
        <v>4</v>
      </c>
      <c r="C36" s="44">
        <v>5</v>
      </c>
      <c r="D36" s="44">
        <v>4</v>
      </c>
      <c r="E36" s="44">
        <v>4</v>
      </c>
      <c r="F36" s="44">
        <v>4</v>
      </c>
      <c r="G36" s="44">
        <v>5</v>
      </c>
      <c r="H36" s="44">
        <v>4</v>
      </c>
      <c r="I36" s="218">
        <v>4</v>
      </c>
    </row>
    <row r="37" spans="1:9">
      <c r="A37" s="217">
        <v>36</v>
      </c>
      <c r="B37" s="44">
        <v>4</v>
      </c>
      <c r="C37" s="44">
        <v>4</v>
      </c>
      <c r="D37" s="44">
        <v>4</v>
      </c>
      <c r="E37" s="44">
        <v>3</v>
      </c>
      <c r="F37" s="44">
        <v>4</v>
      </c>
      <c r="G37" s="44">
        <v>4</v>
      </c>
      <c r="H37" s="44">
        <v>4</v>
      </c>
      <c r="I37" s="218">
        <v>4</v>
      </c>
    </row>
    <row r="38" spans="1:9">
      <c r="A38" s="217">
        <v>37</v>
      </c>
      <c r="B38" s="44">
        <v>5</v>
      </c>
      <c r="C38" s="44">
        <v>4</v>
      </c>
      <c r="D38" s="44">
        <v>4</v>
      </c>
      <c r="E38" s="44">
        <v>4</v>
      </c>
      <c r="F38" s="44">
        <v>4</v>
      </c>
      <c r="G38" s="44">
        <v>4</v>
      </c>
      <c r="H38" s="44">
        <v>4</v>
      </c>
      <c r="I38" s="218">
        <v>4</v>
      </c>
    </row>
    <row r="39" spans="1:9">
      <c r="A39" s="217">
        <v>38</v>
      </c>
      <c r="B39" s="44">
        <v>3</v>
      </c>
      <c r="C39" s="44">
        <v>4</v>
      </c>
      <c r="D39" s="44">
        <v>4</v>
      </c>
      <c r="E39" s="44">
        <v>3</v>
      </c>
      <c r="F39" s="44">
        <v>3</v>
      </c>
      <c r="G39" s="44">
        <v>3</v>
      </c>
      <c r="H39" s="44">
        <v>3</v>
      </c>
      <c r="I39" s="218">
        <v>3</v>
      </c>
    </row>
    <row r="40" spans="1:9">
      <c r="A40" s="217">
        <v>39</v>
      </c>
      <c r="B40" s="44">
        <v>4</v>
      </c>
      <c r="C40" s="44">
        <v>4</v>
      </c>
      <c r="D40" s="44">
        <v>4</v>
      </c>
      <c r="E40" s="44">
        <v>4</v>
      </c>
      <c r="F40" s="44">
        <v>4</v>
      </c>
      <c r="G40" s="44">
        <v>4</v>
      </c>
      <c r="H40" s="44">
        <v>4</v>
      </c>
      <c r="I40" s="218">
        <v>5</v>
      </c>
    </row>
    <row r="41" spans="1:9">
      <c r="A41" s="217">
        <v>40</v>
      </c>
      <c r="B41" s="44">
        <v>4</v>
      </c>
      <c r="C41" s="44">
        <v>4</v>
      </c>
      <c r="D41" s="44">
        <v>5</v>
      </c>
      <c r="E41" s="44">
        <v>4</v>
      </c>
      <c r="F41" s="44">
        <v>4</v>
      </c>
      <c r="G41" s="44">
        <v>4</v>
      </c>
      <c r="H41" s="44">
        <v>4</v>
      </c>
      <c r="I41" s="218">
        <v>5</v>
      </c>
    </row>
    <row r="42" spans="1:9">
      <c r="A42" s="217">
        <v>41</v>
      </c>
      <c r="B42" s="44">
        <v>4</v>
      </c>
      <c r="C42" s="44">
        <v>4</v>
      </c>
      <c r="D42" s="44">
        <v>4</v>
      </c>
      <c r="E42" s="44">
        <v>4</v>
      </c>
      <c r="F42" s="44">
        <v>4</v>
      </c>
      <c r="G42" s="44">
        <v>4</v>
      </c>
      <c r="H42" s="44">
        <v>3</v>
      </c>
      <c r="I42" s="218">
        <v>4</v>
      </c>
    </row>
    <row r="43" spans="1:9">
      <c r="A43" s="217">
        <v>42</v>
      </c>
      <c r="B43" s="44">
        <v>3</v>
      </c>
      <c r="C43" s="44">
        <v>3</v>
      </c>
      <c r="D43" s="44">
        <v>4</v>
      </c>
      <c r="E43" s="44">
        <v>4</v>
      </c>
      <c r="F43" s="44">
        <v>3</v>
      </c>
      <c r="G43" s="44">
        <v>4</v>
      </c>
      <c r="H43" s="44">
        <v>3</v>
      </c>
      <c r="I43" s="218">
        <v>4</v>
      </c>
    </row>
    <row r="44" spans="1:9">
      <c r="A44" s="217">
        <v>43</v>
      </c>
      <c r="B44" s="44">
        <v>4</v>
      </c>
      <c r="C44" s="44">
        <v>3</v>
      </c>
      <c r="D44" s="44">
        <v>4</v>
      </c>
      <c r="E44" s="44">
        <v>4</v>
      </c>
      <c r="F44" s="44">
        <v>4</v>
      </c>
      <c r="G44" s="44">
        <v>4</v>
      </c>
      <c r="H44" s="44">
        <v>4</v>
      </c>
      <c r="I44" s="218">
        <v>4</v>
      </c>
    </row>
    <row r="45" spans="1:9">
      <c r="A45" s="217">
        <v>44</v>
      </c>
      <c r="B45" s="44">
        <v>5</v>
      </c>
      <c r="C45" s="44">
        <v>4</v>
      </c>
      <c r="D45" s="44">
        <v>4</v>
      </c>
      <c r="E45" s="44">
        <v>4</v>
      </c>
      <c r="F45" s="44">
        <v>4</v>
      </c>
      <c r="G45" s="44">
        <v>4</v>
      </c>
      <c r="H45" s="44">
        <v>4</v>
      </c>
      <c r="I45" s="219">
        <v>5</v>
      </c>
    </row>
    <row r="46" spans="1:9">
      <c r="A46" s="217">
        <v>45</v>
      </c>
      <c r="B46" s="44">
        <v>4</v>
      </c>
      <c r="C46" s="44">
        <v>3</v>
      </c>
      <c r="D46" s="44">
        <v>4</v>
      </c>
      <c r="E46" s="44">
        <v>4</v>
      </c>
      <c r="F46" s="44">
        <v>4</v>
      </c>
      <c r="G46" s="44">
        <v>5</v>
      </c>
      <c r="H46" s="44">
        <v>4</v>
      </c>
      <c r="I46" s="218">
        <v>4</v>
      </c>
    </row>
    <row r="47" spans="1:9">
      <c r="A47" s="217">
        <v>46</v>
      </c>
      <c r="B47" s="44">
        <v>3</v>
      </c>
      <c r="C47" s="44">
        <v>3</v>
      </c>
      <c r="D47" s="44">
        <v>4</v>
      </c>
      <c r="E47" s="44">
        <v>4</v>
      </c>
      <c r="F47" s="44">
        <v>4</v>
      </c>
      <c r="G47" s="44">
        <v>4</v>
      </c>
      <c r="H47" s="44">
        <v>4</v>
      </c>
      <c r="I47" s="218">
        <v>5</v>
      </c>
    </row>
    <row r="48" spans="1:9">
      <c r="A48" s="217">
        <v>47</v>
      </c>
      <c r="B48" s="44">
        <v>4</v>
      </c>
      <c r="C48" s="44">
        <v>3</v>
      </c>
      <c r="D48" s="44">
        <v>4</v>
      </c>
      <c r="E48" s="44">
        <v>4</v>
      </c>
      <c r="F48" s="44">
        <v>4</v>
      </c>
      <c r="G48" s="44">
        <v>4</v>
      </c>
      <c r="H48" s="44">
        <v>4</v>
      </c>
      <c r="I48" s="218">
        <v>4</v>
      </c>
    </row>
    <row r="49" spans="1:9">
      <c r="A49" s="217">
        <v>48</v>
      </c>
      <c r="B49" s="44">
        <v>4</v>
      </c>
      <c r="C49" s="44">
        <v>3</v>
      </c>
      <c r="D49" s="44">
        <v>4</v>
      </c>
      <c r="E49" s="44">
        <v>4</v>
      </c>
      <c r="F49" s="44">
        <v>4</v>
      </c>
      <c r="G49" s="44">
        <v>4</v>
      </c>
      <c r="H49" s="44">
        <v>4</v>
      </c>
      <c r="I49" s="218">
        <v>4</v>
      </c>
    </row>
    <row r="50" spans="1:9">
      <c r="A50" s="217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38">
        <v>4</v>
      </c>
    </row>
    <row r="51" spans="1:9">
      <c r="A51" s="217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38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38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38">
        <v>4</v>
      </c>
    </row>
    <row r="54" spans="1:9">
      <c r="A54" s="223"/>
      <c r="B54" s="223">
        <v>4</v>
      </c>
      <c r="C54" s="223">
        <v>5</v>
      </c>
      <c r="D54" s="223">
        <v>3</v>
      </c>
      <c r="E54" s="223">
        <v>3</v>
      </c>
      <c r="F54" s="223">
        <v>2</v>
      </c>
      <c r="G54" s="223">
        <v>4</v>
      </c>
      <c r="H54" s="223">
        <v>2</v>
      </c>
      <c r="I54" s="224">
        <v>4</v>
      </c>
    </row>
    <row r="55" spans="1:9">
      <c r="A5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51"/>
    </sheetView>
  </sheetViews>
  <sheetFormatPr defaultColWidth="9" defaultRowHeight="15"/>
  <cols>
    <col min="1" max="1" width="28.28515625" customWidth="1"/>
    <col min="2" max="3" width="12.7109375" customWidth="1"/>
  </cols>
  <sheetData>
    <row r="1" spans="1:6">
      <c r="A1" s="220" t="s">
        <v>186</v>
      </c>
      <c r="B1" s="45" t="s">
        <v>41</v>
      </c>
      <c r="C1" s="45" t="s">
        <v>42</v>
      </c>
      <c r="D1" s="45" t="s">
        <v>43</v>
      </c>
      <c r="E1" s="45" t="s">
        <v>44</v>
      </c>
      <c r="F1" s="225" t="s">
        <v>45</v>
      </c>
    </row>
    <row r="2" spans="1:6">
      <c r="A2" s="217">
        <v>1</v>
      </c>
      <c r="B2" s="46">
        <v>4</v>
      </c>
      <c r="C2" s="46">
        <v>4</v>
      </c>
      <c r="D2" s="46">
        <v>4</v>
      </c>
      <c r="E2" s="46">
        <v>4</v>
      </c>
      <c r="F2" s="226">
        <v>4</v>
      </c>
    </row>
    <row r="3" spans="1:6">
      <c r="A3" s="217">
        <v>2</v>
      </c>
      <c r="B3" s="46">
        <v>3</v>
      </c>
      <c r="C3" s="46">
        <v>3</v>
      </c>
      <c r="D3" s="46">
        <v>3</v>
      </c>
      <c r="E3" s="46">
        <v>4</v>
      </c>
      <c r="F3" s="226">
        <v>4</v>
      </c>
    </row>
    <row r="4" spans="1:6">
      <c r="A4" s="217">
        <v>3</v>
      </c>
      <c r="B4" s="46">
        <v>3</v>
      </c>
      <c r="C4" s="46">
        <v>4</v>
      </c>
      <c r="D4" s="46">
        <v>3</v>
      </c>
      <c r="E4" s="46">
        <v>4</v>
      </c>
      <c r="F4" s="226">
        <v>4</v>
      </c>
    </row>
    <row r="5" spans="1:6">
      <c r="A5" s="217">
        <v>4</v>
      </c>
      <c r="B5" s="46">
        <v>4</v>
      </c>
      <c r="C5" s="46">
        <v>3</v>
      </c>
      <c r="D5" s="46">
        <v>4</v>
      </c>
      <c r="E5" s="46">
        <v>3</v>
      </c>
      <c r="F5" s="226">
        <v>3</v>
      </c>
    </row>
    <row r="6" spans="1:6">
      <c r="A6" s="217">
        <v>5</v>
      </c>
      <c r="B6" s="46">
        <v>3</v>
      </c>
      <c r="C6" s="46">
        <v>3</v>
      </c>
      <c r="D6" s="46">
        <v>3</v>
      </c>
      <c r="E6" s="46">
        <v>3</v>
      </c>
      <c r="F6" s="226">
        <v>3</v>
      </c>
    </row>
    <row r="7" spans="1:6">
      <c r="A7" s="217">
        <v>6</v>
      </c>
      <c r="B7" s="46">
        <v>3</v>
      </c>
      <c r="C7" s="46">
        <v>4</v>
      </c>
      <c r="D7" s="46">
        <v>4</v>
      </c>
      <c r="E7" s="46">
        <v>4</v>
      </c>
      <c r="F7" s="226">
        <v>4</v>
      </c>
    </row>
    <row r="8" spans="1:6">
      <c r="A8" s="217">
        <v>7</v>
      </c>
      <c r="B8" s="46">
        <v>4</v>
      </c>
      <c r="C8" s="46">
        <v>3</v>
      </c>
      <c r="D8" s="46">
        <v>3</v>
      </c>
      <c r="E8" s="46">
        <v>3</v>
      </c>
      <c r="F8" s="226">
        <v>4</v>
      </c>
    </row>
    <row r="9" spans="1:6">
      <c r="A9" s="217">
        <v>8</v>
      </c>
      <c r="B9" s="46">
        <v>4</v>
      </c>
      <c r="C9" s="46">
        <v>3</v>
      </c>
      <c r="D9" s="46">
        <v>4</v>
      </c>
      <c r="E9" s="46">
        <v>4</v>
      </c>
      <c r="F9" s="226">
        <v>3</v>
      </c>
    </row>
    <row r="10" spans="1:6">
      <c r="A10" s="217">
        <v>9</v>
      </c>
      <c r="B10" s="46">
        <v>3</v>
      </c>
      <c r="C10" s="46">
        <v>3</v>
      </c>
      <c r="D10" s="46">
        <v>3</v>
      </c>
      <c r="E10" s="46">
        <v>5</v>
      </c>
      <c r="F10" s="226">
        <v>3</v>
      </c>
    </row>
    <row r="11" spans="1:6">
      <c r="A11" s="217">
        <v>10</v>
      </c>
      <c r="B11" s="46">
        <v>4</v>
      </c>
      <c r="C11" s="46">
        <v>4</v>
      </c>
      <c r="D11" s="46">
        <v>3</v>
      </c>
      <c r="E11" s="46">
        <v>3</v>
      </c>
      <c r="F11" s="226">
        <v>3</v>
      </c>
    </row>
    <row r="12" spans="1:6">
      <c r="A12" s="217">
        <v>11</v>
      </c>
      <c r="B12" s="46">
        <v>3</v>
      </c>
      <c r="C12" s="46">
        <v>3</v>
      </c>
      <c r="D12" s="46">
        <v>3</v>
      </c>
      <c r="E12" s="46">
        <v>4</v>
      </c>
      <c r="F12" s="226">
        <v>3</v>
      </c>
    </row>
    <row r="13" spans="1:6">
      <c r="A13" s="217">
        <v>12</v>
      </c>
      <c r="B13" s="46">
        <v>4</v>
      </c>
      <c r="C13" s="46">
        <v>4</v>
      </c>
      <c r="D13" s="46">
        <v>4</v>
      </c>
      <c r="E13" s="46">
        <v>5</v>
      </c>
      <c r="F13" s="226">
        <v>4</v>
      </c>
    </row>
    <row r="14" spans="1:6">
      <c r="A14" s="217">
        <v>13</v>
      </c>
      <c r="B14" s="46">
        <v>5</v>
      </c>
      <c r="C14" s="46">
        <v>4</v>
      </c>
      <c r="D14" s="46">
        <v>4</v>
      </c>
      <c r="E14" s="46">
        <v>3</v>
      </c>
      <c r="F14" s="226">
        <v>4</v>
      </c>
    </row>
    <row r="15" spans="1:6">
      <c r="A15" s="217">
        <v>14</v>
      </c>
      <c r="B15" s="46">
        <v>3</v>
      </c>
      <c r="C15" s="46">
        <v>4</v>
      </c>
      <c r="D15" s="46">
        <v>3</v>
      </c>
      <c r="E15" s="46">
        <v>5</v>
      </c>
      <c r="F15" s="226">
        <v>4</v>
      </c>
    </row>
    <row r="16" spans="1:6">
      <c r="A16" s="217">
        <v>15</v>
      </c>
      <c r="B16" s="46">
        <v>3</v>
      </c>
      <c r="C16" s="46">
        <v>4</v>
      </c>
      <c r="D16" s="46">
        <v>4</v>
      </c>
      <c r="E16" s="46">
        <v>4</v>
      </c>
      <c r="F16" s="226">
        <v>4</v>
      </c>
    </row>
    <row r="17" spans="1:6">
      <c r="A17" s="217">
        <v>16</v>
      </c>
      <c r="B17" s="46">
        <v>3</v>
      </c>
      <c r="C17" s="46">
        <v>3</v>
      </c>
      <c r="D17" s="46">
        <v>3</v>
      </c>
      <c r="E17" s="46">
        <v>3</v>
      </c>
      <c r="F17" s="226">
        <v>3</v>
      </c>
    </row>
    <row r="18" spans="1:6">
      <c r="A18" s="217">
        <v>17</v>
      </c>
      <c r="B18" s="46">
        <v>3</v>
      </c>
      <c r="C18" s="46">
        <v>3</v>
      </c>
      <c r="D18" s="46">
        <v>4</v>
      </c>
      <c r="E18" s="46">
        <v>5</v>
      </c>
      <c r="F18" s="226">
        <v>4</v>
      </c>
    </row>
    <row r="19" spans="1:6">
      <c r="A19" s="217">
        <v>18</v>
      </c>
      <c r="B19" s="46">
        <v>3</v>
      </c>
      <c r="C19" s="46">
        <v>3</v>
      </c>
      <c r="D19" s="46">
        <v>3</v>
      </c>
      <c r="E19" s="46">
        <v>4</v>
      </c>
      <c r="F19" s="226">
        <v>4</v>
      </c>
    </row>
    <row r="20" spans="1:6">
      <c r="A20" s="217">
        <v>19</v>
      </c>
      <c r="B20" s="46">
        <v>4</v>
      </c>
      <c r="C20" s="46">
        <v>4</v>
      </c>
      <c r="D20" s="46">
        <v>4</v>
      </c>
      <c r="E20" s="46">
        <v>3</v>
      </c>
      <c r="F20" s="226">
        <v>3</v>
      </c>
    </row>
    <row r="21" spans="1:6">
      <c r="A21" s="217">
        <v>20</v>
      </c>
      <c r="B21" s="46">
        <v>3</v>
      </c>
      <c r="C21" s="46">
        <v>3</v>
      </c>
      <c r="D21" s="46">
        <v>3</v>
      </c>
      <c r="E21" s="46">
        <v>4</v>
      </c>
      <c r="F21" s="226">
        <v>3</v>
      </c>
    </row>
    <row r="22" spans="1:6">
      <c r="A22" s="217">
        <v>21</v>
      </c>
      <c r="B22" s="46">
        <v>3</v>
      </c>
      <c r="C22" s="46">
        <v>4</v>
      </c>
      <c r="D22" s="46">
        <v>4</v>
      </c>
      <c r="E22" s="46">
        <v>3</v>
      </c>
      <c r="F22" s="226">
        <v>4</v>
      </c>
    </row>
    <row r="23" spans="1:6">
      <c r="A23" s="217">
        <v>22</v>
      </c>
      <c r="B23" s="46">
        <v>3</v>
      </c>
      <c r="C23" s="46">
        <v>4</v>
      </c>
      <c r="D23" s="46">
        <v>3</v>
      </c>
      <c r="E23" s="46">
        <v>4</v>
      </c>
      <c r="F23" s="226">
        <v>4</v>
      </c>
    </row>
    <row r="24" spans="1:6">
      <c r="A24" s="217">
        <v>23</v>
      </c>
      <c r="B24" s="46">
        <v>4</v>
      </c>
      <c r="C24" s="46">
        <v>4</v>
      </c>
      <c r="D24" s="46">
        <v>3</v>
      </c>
      <c r="E24" s="46">
        <v>3</v>
      </c>
      <c r="F24" s="226">
        <v>4</v>
      </c>
    </row>
    <row r="25" spans="1:6">
      <c r="A25" s="217">
        <v>24</v>
      </c>
      <c r="B25" s="46">
        <v>4</v>
      </c>
      <c r="C25" s="46">
        <v>4</v>
      </c>
      <c r="D25" s="46">
        <v>4</v>
      </c>
      <c r="E25" s="46">
        <v>4</v>
      </c>
      <c r="F25" s="226">
        <v>4</v>
      </c>
    </row>
    <row r="26" spans="1:6">
      <c r="A26" s="217">
        <v>25</v>
      </c>
      <c r="B26" s="46">
        <v>4</v>
      </c>
      <c r="C26" s="46">
        <v>4</v>
      </c>
      <c r="D26" s="46">
        <v>4</v>
      </c>
      <c r="E26" s="46">
        <v>3</v>
      </c>
      <c r="F26" s="226">
        <v>3</v>
      </c>
    </row>
    <row r="27" spans="1:6">
      <c r="A27" s="217">
        <v>26</v>
      </c>
      <c r="B27" s="46">
        <v>4</v>
      </c>
      <c r="C27" s="46">
        <v>3</v>
      </c>
      <c r="D27" s="46">
        <v>3</v>
      </c>
      <c r="E27" s="46">
        <v>5</v>
      </c>
      <c r="F27" s="226">
        <v>3</v>
      </c>
    </row>
    <row r="28" spans="1:6">
      <c r="A28" s="217">
        <v>27</v>
      </c>
      <c r="B28" s="46">
        <v>5</v>
      </c>
      <c r="C28" s="46">
        <v>3</v>
      </c>
      <c r="D28" s="46">
        <v>3</v>
      </c>
      <c r="E28" s="46">
        <v>4</v>
      </c>
      <c r="F28" s="226">
        <v>4</v>
      </c>
    </row>
    <row r="29" spans="1:6">
      <c r="A29" s="217">
        <v>28</v>
      </c>
      <c r="B29" s="46">
        <v>4</v>
      </c>
      <c r="C29" s="46">
        <v>3</v>
      </c>
      <c r="D29" s="46">
        <v>4</v>
      </c>
      <c r="E29" s="46">
        <v>3</v>
      </c>
      <c r="F29" s="226">
        <v>3</v>
      </c>
    </row>
    <row r="30" spans="1:6">
      <c r="A30" s="217">
        <v>29</v>
      </c>
      <c r="B30" s="46">
        <v>4</v>
      </c>
      <c r="C30" s="46">
        <v>3</v>
      </c>
      <c r="D30" s="46">
        <v>3</v>
      </c>
      <c r="E30" s="46">
        <v>4</v>
      </c>
      <c r="F30" s="226">
        <v>4</v>
      </c>
    </row>
    <row r="31" spans="1:6">
      <c r="A31" s="217">
        <v>30</v>
      </c>
      <c r="B31" s="46">
        <v>4</v>
      </c>
      <c r="C31" s="46">
        <v>4</v>
      </c>
      <c r="D31" s="46">
        <v>3</v>
      </c>
      <c r="E31" s="46">
        <v>5</v>
      </c>
      <c r="F31" s="226">
        <v>4</v>
      </c>
    </row>
    <row r="32" spans="1:6">
      <c r="A32" s="217">
        <v>31</v>
      </c>
      <c r="B32" s="46">
        <v>4</v>
      </c>
      <c r="C32" s="46">
        <v>3</v>
      </c>
      <c r="D32" s="46">
        <v>4</v>
      </c>
      <c r="E32" s="46">
        <v>3</v>
      </c>
      <c r="F32" s="226">
        <v>3</v>
      </c>
    </row>
    <row r="33" spans="1:6">
      <c r="A33" s="217">
        <v>32</v>
      </c>
      <c r="B33" s="46">
        <v>3</v>
      </c>
      <c r="C33" s="46">
        <v>3</v>
      </c>
      <c r="D33" s="46">
        <v>3</v>
      </c>
      <c r="E33" s="46">
        <v>4</v>
      </c>
      <c r="F33" s="226">
        <v>4</v>
      </c>
    </row>
    <row r="34" spans="1:6">
      <c r="A34" s="217">
        <v>33</v>
      </c>
      <c r="B34" s="46">
        <v>4</v>
      </c>
      <c r="C34" s="46">
        <v>4</v>
      </c>
      <c r="D34" s="46">
        <v>3</v>
      </c>
      <c r="E34" s="46">
        <v>3</v>
      </c>
      <c r="F34" s="226">
        <v>3</v>
      </c>
    </row>
    <row r="35" spans="1:6">
      <c r="A35" s="217">
        <v>34</v>
      </c>
      <c r="B35" s="46">
        <v>3</v>
      </c>
      <c r="C35" s="46">
        <v>3</v>
      </c>
      <c r="D35" s="46">
        <v>3</v>
      </c>
      <c r="E35" s="46">
        <v>4</v>
      </c>
      <c r="F35" s="226">
        <v>3</v>
      </c>
    </row>
    <row r="36" spans="1:6">
      <c r="A36" s="217">
        <v>35</v>
      </c>
      <c r="B36" s="46">
        <v>4</v>
      </c>
      <c r="C36" s="46">
        <v>3</v>
      </c>
      <c r="D36" s="46">
        <v>4</v>
      </c>
      <c r="E36" s="46">
        <v>3</v>
      </c>
      <c r="F36" s="226">
        <v>3</v>
      </c>
    </row>
    <row r="37" spans="1:6">
      <c r="A37" s="217">
        <v>36</v>
      </c>
      <c r="B37" s="46">
        <v>4</v>
      </c>
      <c r="C37" s="46">
        <v>4</v>
      </c>
      <c r="D37" s="46">
        <v>4</v>
      </c>
      <c r="E37" s="46">
        <v>4</v>
      </c>
      <c r="F37" s="226">
        <v>4</v>
      </c>
    </row>
    <row r="38" spans="1:6">
      <c r="A38" s="217">
        <v>37</v>
      </c>
      <c r="B38" s="46">
        <v>4</v>
      </c>
      <c r="C38" s="46">
        <v>3</v>
      </c>
      <c r="D38" s="46">
        <v>3</v>
      </c>
      <c r="E38" s="46">
        <v>3</v>
      </c>
      <c r="F38" s="226">
        <v>4</v>
      </c>
    </row>
    <row r="39" spans="1:6">
      <c r="A39" s="217">
        <v>38</v>
      </c>
      <c r="B39" s="46">
        <v>4</v>
      </c>
      <c r="C39" s="46">
        <v>3</v>
      </c>
      <c r="D39" s="46">
        <v>4</v>
      </c>
      <c r="E39" s="46">
        <v>3</v>
      </c>
      <c r="F39" s="226">
        <v>4</v>
      </c>
    </row>
    <row r="40" spans="1:6">
      <c r="A40" s="217">
        <v>39</v>
      </c>
      <c r="B40" s="46">
        <v>4</v>
      </c>
      <c r="C40" s="46">
        <v>4</v>
      </c>
      <c r="D40" s="46">
        <v>3</v>
      </c>
      <c r="E40" s="46">
        <v>3</v>
      </c>
      <c r="F40" s="226">
        <v>3</v>
      </c>
    </row>
    <row r="41" spans="1:6">
      <c r="A41" s="217">
        <v>40</v>
      </c>
      <c r="B41" s="46">
        <v>4</v>
      </c>
      <c r="C41" s="46">
        <v>3</v>
      </c>
      <c r="D41" s="46">
        <v>4</v>
      </c>
      <c r="E41" s="46">
        <v>3</v>
      </c>
      <c r="F41" s="226">
        <v>4</v>
      </c>
    </row>
    <row r="42" spans="1:6">
      <c r="A42" s="217">
        <v>41</v>
      </c>
      <c r="B42" s="46">
        <v>4</v>
      </c>
      <c r="C42" s="46">
        <v>3</v>
      </c>
      <c r="D42" s="46">
        <v>3</v>
      </c>
      <c r="E42" s="46">
        <v>3</v>
      </c>
      <c r="F42" s="226">
        <v>4</v>
      </c>
    </row>
    <row r="43" spans="1:6">
      <c r="A43" s="217">
        <v>42</v>
      </c>
      <c r="B43" s="46">
        <v>4</v>
      </c>
      <c r="C43" s="46">
        <v>4</v>
      </c>
      <c r="D43" s="46">
        <v>4</v>
      </c>
      <c r="E43" s="46">
        <v>4</v>
      </c>
      <c r="F43" s="226">
        <v>3</v>
      </c>
    </row>
    <row r="44" spans="1:6">
      <c r="A44" s="217">
        <v>43</v>
      </c>
      <c r="B44" s="46">
        <v>4</v>
      </c>
      <c r="C44" s="46">
        <v>3</v>
      </c>
      <c r="D44" s="46">
        <v>3</v>
      </c>
      <c r="E44" s="46">
        <v>5</v>
      </c>
      <c r="F44" s="226">
        <v>3</v>
      </c>
    </row>
    <row r="45" spans="1:6">
      <c r="A45" s="217">
        <v>44</v>
      </c>
      <c r="B45" s="46">
        <v>4</v>
      </c>
      <c r="C45" s="46">
        <v>3</v>
      </c>
      <c r="D45" s="46">
        <v>4</v>
      </c>
      <c r="E45" s="46">
        <v>4</v>
      </c>
      <c r="F45" s="226">
        <v>4</v>
      </c>
    </row>
    <row r="46" spans="1:6">
      <c r="A46" s="217">
        <v>45</v>
      </c>
      <c r="B46" s="46">
        <v>4</v>
      </c>
      <c r="C46" s="46">
        <v>3</v>
      </c>
      <c r="D46" s="46">
        <v>4</v>
      </c>
      <c r="E46" s="46">
        <v>4</v>
      </c>
      <c r="F46" s="226">
        <v>4</v>
      </c>
    </row>
    <row r="47" spans="1:6">
      <c r="A47" s="217">
        <v>46</v>
      </c>
      <c r="B47" s="46">
        <v>4</v>
      </c>
      <c r="C47" s="46">
        <v>4</v>
      </c>
      <c r="D47" s="46">
        <v>3</v>
      </c>
      <c r="E47" s="46">
        <v>3</v>
      </c>
      <c r="F47" s="226">
        <v>3</v>
      </c>
    </row>
    <row r="48" spans="1:6">
      <c r="A48" s="217">
        <v>47</v>
      </c>
      <c r="B48" s="46">
        <v>4</v>
      </c>
      <c r="C48" s="46">
        <v>3</v>
      </c>
      <c r="D48" s="46">
        <v>4</v>
      </c>
      <c r="E48" s="46">
        <v>3</v>
      </c>
      <c r="F48" s="226">
        <v>4</v>
      </c>
    </row>
    <row r="49" spans="1:6">
      <c r="A49" s="217">
        <v>48</v>
      </c>
      <c r="B49" s="46">
        <v>5</v>
      </c>
      <c r="C49" s="46">
        <v>3</v>
      </c>
      <c r="D49" s="46">
        <v>4</v>
      </c>
      <c r="E49" s="46">
        <v>3</v>
      </c>
      <c r="F49" s="226">
        <v>4</v>
      </c>
    </row>
    <row r="50" spans="1:6">
      <c r="A50" s="217">
        <v>49</v>
      </c>
      <c r="B50" s="45">
        <v>4</v>
      </c>
      <c r="C50" s="45">
        <v>3</v>
      </c>
      <c r="D50" s="45">
        <v>3</v>
      </c>
      <c r="E50" s="45">
        <v>5</v>
      </c>
      <c r="F50" s="225">
        <v>3</v>
      </c>
    </row>
    <row r="51" spans="1:6">
      <c r="A51" s="217">
        <v>50</v>
      </c>
      <c r="B51" s="227">
        <v>4</v>
      </c>
      <c r="C51" s="227">
        <v>3</v>
      </c>
      <c r="D51" s="227">
        <v>3</v>
      </c>
      <c r="E51" s="227">
        <v>5</v>
      </c>
      <c r="F51" s="228">
        <v>3</v>
      </c>
    </row>
    <row r="52" spans="1:6">
      <c r="A52" s="2"/>
    </row>
    <row r="53" spans="1:6">
      <c r="A53" s="2"/>
    </row>
    <row r="54" spans="1:6">
      <c r="A54" s="223"/>
    </row>
    <row r="55" spans="1:6">
      <c r="A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73"/>
  <sheetViews>
    <sheetView zoomScale="93" zoomScaleNormal="93" workbookViewId="0">
      <selection activeCell="A4" sqref="A4:A53"/>
    </sheetView>
  </sheetViews>
  <sheetFormatPr defaultColWidth="9" defaultRowHeight="15"/>
  <cols>
    <col min="1" max="1" width="29.710937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42"/>
    <col min="26" max="26" width="29.42578125" customWidth="1"/>
    <col min="27" max="35" width="3.7109375" customWidth="1"/>
    <col min="36" max="36" width="9.140625" customWidth="1"/>
    <col min="37" max="37" width="9" style="42"/>
    <col min="38" max="38" width="32.5703125" customWidth="1"/>
    <col min="39" max="47" width="3.7109375" customWidth="1"/>
    <col min="48" max="48" width="9.140625" customWidth="1"/>
    <col min="49" max="49" width="9" style="42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11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Z1">
        <v>2</v>
      </c>
      <c r="AA1">
        <v>3</v>
      </c>
      <c r="AB1">
        <v>4</v>
      </c>
      <c r="AC1">
        <v>5</v>
      </c>
      <c r="AD1">
        <v>6</v>
      </c>
      <c r="AE1">
        <v>7</v>
      </c>
      <c r="AF1">
        <v>8</v>
      </c>
      <c r="AG1">
        <v>9</v>
      </c>
      <c r="AH1">
        <v>11</v>
      </c>
      <c r="AL1">
        <v>2</v>
      </c>
      <c r="AM1">
        <v>3</v>
      </c>
      <c r="AN1">
        <v>4</v>
      </c>
      <c r="AO1">
        <v>5</v>
      </c>
      <c r="AP1">
        <v>6</v>
      </c>
      <c r="AQ1">
        <v>7</v>
      </c>
      <c r="AR1">
        <v>8</v>
      </c>
      <c r="AS1">
        <v>9</v>
      </c>
      <c r="AT1">
        <v>11</v>
      </c>
      <c r="AX1">
        <v>2</v>
      </c>
      <c r="AZ1">
        <v>4</v>
      </c>
      <c r="BA1">
        <v>5</v>
      </c>
      <c r="BB1">
        <v>6</v>
      </c>
      <c r="BC1">
        <v>7</v>
      </c>
      <c r="BD1">
        <v>8</v>
      </c>
      <c r="BE1">
        <v>9</v>
      </c>
      <c r="BF1">
        <v>11</v>
      </c>
      <c r="BJ1">
        <v>2</v>
      </c>
      <c r="BK1">
        <v>3</v>
      </c>
      <c r="BL1">
        <v>4</v>
      </c>
      <c r="BM1">
        <v>5</v>
      </c>
      <c r="BN1">
        <v>6</v>
      </c>
      <c r="BO1">
        <v>7</v>
      </c>
      <c r="BP1">
        <v>8</v>
      </c>
      <c r="BQ1">
        <v>9</v>
      </c>
      <c r="BR1">
        <v>11</v>
      </c>
      <c r="BV1">
        <v>2</v>
      </c>
      <c r="BW1">
        <v>3</v>
      </c>
      <c r="BX1">
        <v>4</v>
      </c>
      <c r="BY1">
        <v>5</v>
      </c>
      <c r="BZ1">
        <v>6</v>
      </c>
      <c r="CA1">
        <v>7</v>
      </c>
      <c r="CB1">
        <v>8</v>
      </c>
      <c r="CC1">
        <v>9</v>
      </c>
      <c r="CD1">
        <v>11</v>
      </c>
      <c r="CH1">
        <v>2</v>
      </c>
      <c r="CI1">
        <v>3</v>
      </c>
      <c r="CJ1">
        <v>4</v>
      </c>
      <c r="CK1">
        <v>5</v>
      </c>
      <c r="CL1">
        <v>6</v>
      </c>
      <c r="CM1">
        <v>7</v>
      </c>
      <c r="CN1">
        <v>8</v>
      </c>
      <c r="CO1">
        <v>9</v>
      </c>
      <c r="CP1">
        <v>11</v>
      </c>
      <c r="CT1">
        <v>2</v>
      </c>
      <c r="CU1">
        <v>3</v>
      </c>
      <c r="CV1">
        <v>4</v>
      </c>
      <c r="CW1">
        <v>5</v>
      </c>
      <c r="CX1">
        <v>6</v>
      </c>
      <c r="CY1">
        <v>7</v>
      </c>
      <c r="CZ1">
        <v>8</v>
      </c>
      <c r="DA1">
        <v>9</v>
      </c>
      <c r="DB1">
        <v>11</v>
      </c>
      <c r="DF1">
        <v>2</v>
      </c>
      <c r="DG1">
        <v>3</v>
      </c>
      <c r="DH1">
        <v>4</v>
      </c>
      <c r="DI1">
        <v>5</v>
      </c>
      <c r="DJ1">
        <v>6</v>
      </c>
      <c r="DK1">
        <v>7</v>
      </c>
      <c r="DL1">
        <v>8</v>
      </c>
      <c r="DM1">
        <v>9</v>
      </c>
      <c r="DN1">
        <v>11</v>
      </c>
      <c r="DR1">
        <v>2</v>
      </c>
      <c r="DS1">
        <v>3</v>
      </c>
      <c r="DT1">
        <v>4</v>
      </c>
      <c r="DU1">
        <v>5</v>
      </c>
      <c r="DV1">
        <v>6</v>
      </c>
      <c r="DW1">
        <v>7</v>
      </c>
      <c r="DX1">
        <v>8</v>
      </c>
      <c r="DY1">
        <v>9</v>
      </c>
      <c r="DZ1">
        <v>11</v>
      </c>
      <c r="ED1">
        <v>2</v>
      </c>
      <c r="EE1">
        <v>3</v>
      </c>
      <c r="EF1">
        <v>4</v>
      </c>
      <c r="EG1">
        <v>5</v>
      </c>
      <c r="EH1">
        <v>6</v>
      </c>
      <c r="EI1">
        <v>7</v>
      </c>
      <c r="EJ1">
        <v>8</v>
      </c>
      <c r="EK1">
        <v>9</v>
      </c>
      <c r="EL1">
        <v>11</v>
      </c>
      <c r="EP1">
        <v>2</v>
      </c>
      <c r="EQ1">
        <v>3</v>
      </c>
      <c r="ER1">
        <v>4</v>
      </c>
      <c r="ES1">
        <v>5</v>
      </c>
      <c r="ET1">
        <v>6</v>
      </c>
      <c r="EU1">
        <v>7</v>
      </c>
      <c r="EV1">
        <v>8</v>
      </c>
      <c r="EW1">
        <v>9</v>
      </c>
      <c r="EX1">
        <v>11</v>
      </c>
      <c r="FB1">
        <v>2</v>
      </c>
      <c r="FC1">
        <v>3</v>
      </c>
      <c r="FD1">
        <v>4</v>
      </c>
      <c r="FE1">
        <v>5</v>
      </c>
      <c r="FF1">
        <v>6</v>
      </c>
      <c r="FG1">
        <v>7</v>
      </c>
      <c r="FH1">
        <v>8</v>
      </c>
      <c r="FI1">
        <v>9</v>
      </c>
      <c r="FJ1">
        <v>11</v>
      </c>
      <c r="FN1">
        <v>2</v>
      </c>
      <c r="FO1">
        <v>3</v>
      </c>
      <c r="FP1">
        <v>4</v>
      </c>
      <c r="FQ1">
        <v>5</v>
      </c>
      <c r="FR1">
        <v>6</v>
      </c>
      <c r="FS1">
        <v>7</v>
      </c>
      <c r="FT1">
        <v>8</v>
      </c>
      <c r="FU1">
        <v>9</v>
      </c>
      <c r="FV1">
        <v>11</v>
      </c>
      <c r="FZ1">
        <v>2</v>
      </c>
      <c r="GA1">
        <v>3</v>
      </c>
      <c r="GB1">
        <v>4</v>
      </c>
      <c r="GC1">
        <v>5</v>
      </c>
      <c r="GD1">
        <v>6</v>
      </c>
      <c r="GE1">
        <v>7</v>
      </c>
      <c r="GF1">
        <v>8</v>
      </c>
      <c r="GG1">
        <v>9</v>
      </c>
      <c r="GH1">
        <v>11</v>
      </c>
      <c r="GL1">
        <v>2</v>
      </c>
      <c r="GM1">
        <v>3</v>
      </c>
      <c r="GN1">
        <v>4</v>
      </c>
      <c r="GO1">
        <v>5</v>
      </c>
      <c r="GP1">
        <v>6</v>
      </c>
      <c r="GQ1">
        <v>7</v>
      </c>
      <c r="GR1">
        <v>8</v>
      </c>
      <c r="GS1">
        <v>9</v>
      </c>
      <c r="GT1">
        <v>11</v>
      </c>
      <c r="GX1">
        <v>2</v>
      </c>
      <c r="GY1">
        <v>3</v>
      </c>
      <c r="GZ1">
        <v>4</v>
      </c>
      <c r="HA1">
        <v>5</v>
      </c>
      <c r="HB1">
        <v>6</v>
      </c>
      <c r="HC1">
        <v>7</v>
      </c>
      <c r="HD1">
        <v>8</v>
      </c>
      <c r="HE1">
        <v>9</v>
      </c>
      <c r="HF1">
        <v>11</v>
      </c>
      <c r="HJ1">
        <v>2</v>
      </c>
      <c r="HK1">
        <v>3</v>
      </c>
      <c r="HL1">
        <v>4</v>
      </c>
      <c r="HM1">
        <v>5</v>
      </c>
      <c r="HN1">
        <v>6</v>
      </c>
      <c r="HO1">
        <v>7</v>
      </c>
      <c r="HP1">
        <v>8</v>
      </c>
      <c r="HQ1">
        <v>9</v>
      </c>
      <c r="HR1">
        <v>11</v>
      </c>
      <c r="HV1">
        <v>2</v>
      </c>
      <c r="HW1">
        <v>3</v>
      </c>
      <c r="HX1">
        <v>4</v>
      </c>
      <c r="HY1">
        <v>5</v>
      </c>
      <c r="HZ1">
        <v>6</v>
      </c>
      <c r="IA1">
        <v>7</v>
      </c>
      <c r="IB1">
        <v>8</v>
      </c>
      <c r="IC1">
        <v>9</v>
      </c>
    </row>
    <row r="2" spans="1:308">
      <c r="A2" s="47"/>
      <c r="B2" s="255" t="s">
        <v>46</v>
      </c>
      <c r="C2" s="256"/>
      <c r="D2" s="256"/>
      <c r="E2" s="256"/>
      <c r="F2" s="256"/>
      <c r="G2" s="256"/>
      <c r="H2" s="256"/>
      <c r="I2" s="256"/>
      <c r="J2" s="256"/>
      <c r="K2" s="256"/>
      <c r="L2" s="257"/>
      <c r="M2" s="48"/>
      <c r="N2" s="242" t="s">
        <v>47</v>
      </c>
      <c r="O2" s="243"/>
      <c r="P2" s="243"/>
      <c r="Q2" s="243"/>
      <c r="R2" s="243"/>
      <c r="S2" s="243"/>
      <c r="T2" s="243"/>
      <c r="U2" s="243"/>
      <c r="V2" s="243"/>
      <c r="W2" s="243"/>
      <c r="X2" s="244"/>
      <c r="Y2" s="49"/>
      <c r="Z2" s="245" t="s">
        <v>48</v>
      </c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L2" s="262" t="s">
        <v>49</v>
      </c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X2" s="246" t="s">
        <v>50</v>
      </c>
      <c r="AY2" s="247"/>
      <c r="AZ2" s="247"/>
      <c r="BA2" s="247"/>
      <c r="BB2" s="247"/>
      <c r="BC2" s="247"/>
      <c r="BD2" s="247"/>
      <c r="BE2" s="247"/>
      <c r="BF2" s="247"/>
      <c r="BG2" s="247"/>
      <c r="BH2" s="248"/>
      <c r="BI2" s="50"/>
      <c r="BJ2" s="260" t="s">
        <v>51</v>
      </c>
      <c r="BK2" s="260"/>
      <c r="BL2" s="260"/>
      <c r="BM2" s="260"/>
      <c r="BN2" s="260"/>
      <c r="BO2" s="260"/>
      <c r="BP2" s="260"/>
      <c r="BQ2" s="260"/>
      <c r="BR2" s="260"/>
      <c r="BS2" s="260"/>
      <c r="BT2" s="260"/>
      <c r="BV2" s="259" t="s">
        <v>52</v>
      </c>
      <c r="BW2" s="259"/>
      <c r="BX2" s="259"/>
      <c r="BY2" s="259"/>
      <c r="BZ2" s="259"/>
      <c r="CA2" s="259"/>
      <c r="CB2" s="259"/>
      <c r="CC2" s="259"/>
      <c r="CD2" s="259"/>
      <c r="CE2" s="259"/>
      <c r="CF2" s="259"/>
      <c r="CH2" s="261" t="s">
        <v>53</v>
      </c>
      <c r="CI2" s="261"/>
      <c r="CJ2" s="261"/>
      <c r="CK2" s="261"/>
      <c r="CL2" s="261"/>
      <c r="CM2" s="261"/>
      <c r="CN2" s="261"/>
      <c r="CO2" s="261"/>
      <c r="CP2" s="261"/>
      <c r="CQ2" s="261"/>
      <c r="CR2" s="261"/>
      <c r="CT2" s="240" t="s">
        <v>54</v>
      </c>
      <c r="CU2" s="240"/>
      <c r="CV2" s="240"/>
      <c r="CW2" s="240"/>
      <c r="CX2" s="240"/>
      <c r="CY2" s="240"/>
      <c r="CZ2" s="240"/>
      <c r="DA2" s="240"/>
      <c r="DB2" s="240"/>
      <c r="DC2" s="240"/>
      <c r="DD2" s="240"/>
      <c r="DF2" s="249" t="s">
        <v>55</v>
      </c>
      <c r="DG2" s="249"/>
      <c r="DH2" s="249"/>
      <c r="DI2" s="249"/>
      <c r="DJ2" s="249"/>
      <c r="DK2" s="249"/>
      <c r="DL2" s="249"/>
      <c r="DM2" s="249"/>
      <c r="DN2" s="249"/>
      <c r="DO2" s="249"/>
      <c r="DP2" s="249"/>
      <c r="DR2" s="258" t="s">
        <v>56</v>
      </c>
      <c r="DS2" s="258"/>
      <c r="DT2" s="258"/>
      <c r="DU2" s="258"/>
      <c r="DV2" s="258"/>
      <c r="DW2" s="258"/>
      <c r="DX2" s="258"/>
      <c r="DY2" s="258"/>
      <c r="DZ2" s="258"/>
      <c r="EA2" s="258"/>
      <c r="EB2" s="258"/>
      <c r="ED2" s="241" t="s">
        <v>57</v>
      </c>
      <c r="EE2" s="241"/>
      <c r="EF2" s="241"/>
      <c r="EG2" s="241"/>
      <c r="EH2" s="241"/>
      <c r="EI2" s="241"/>
      <c r="EJ2" s="241"/>
      <c r="EK2" s="241"/>
      <c r="EL2" s="241"/>
      <c r="EM2" s="241"/>
      <c r="EN2" s="241"/>
      <c r="EP2" s="240" t="s">
        <v>58</v>
      </c>
      <c r="EQ2" s="240"/>
      <c r="ER2" s="240"/>
      <c r="ES2" s="240"/>
      <c r="ET2" s="240"/>
      <c r="EU2" s="240"/>
      <c r="EV2" s="240"/>
      <c r="EW2" s="240"/>
      <c r="EX2" s="240"/>
      <c r="EY2" s="240"/>
      <c r="EZ2" s="240"/>
      <c r="FA2" s="51"/>
      <c r="FB2" s="250" t="s">
        <v>59</v>
      </c>
      <c r="FC2" s="250"/>
      <c r="FD2" s="250"/>
      <c r="FE2" s="250"/>
      <c r="FF2" s="250"/>
      <c r="FG2" s="250"/>
      <c r="FH2" s="250"/>
      <c r="FI2" s="250"/>
      <c r="FJ2" s="250"/>
      <c r="FK2" s="250"/>
      <c r="FL2" s="250"/>
      <c r="FN2" s="252" t="s">
        <v>60</v>
      </c>
      <c r="FO2" s="252"/>
      <c r="FP2" s="252"/>
      <c r="FQ2" s="252"/>
      <c r="FR2" s="252"/>
      <c r="FS2" s="252"/>
      <c r="FT2" s="252"/>
      <c r="FU2" s="252"/>
      <c r="FV2" s="252"/>
      <c r="FW2" s="252"/>
      <c r="FX2" s="252"/>
      <c r="FY2" s="47"/>
      <c r="FZ2" s="254" t="s">
        <v>61</v>
      </c>
      <c r="GA2" s="254"/>
      <c r="GB2" s="254"/>
      <c r="GC2" s="254"/>
      <c r="GD2" s="254"/>
      <c r="GE2" s="254"/>
      <c r="GF2" s="254"/>
      <c r="GG2" s="254"/>
      <c r="GH2" s="254"/>
      <c r="GI2" s="254"/>
      <c r="GJ2" s="254"/>
      <c r="GL2" s="263" t="s">
        <v>62</v>
      </c>
      <c r="GM2" s="263"/>
      <c r="GN2" s="263"/>
      <c r="GO2" s="263"/>
      <c r="GP2" s="263"/>
      <c r="GQ2" s="263"/>
      <c r="GR2" s="263"/>
      <c r="GS2" s="263"/>
      <c r="GT2" s="263"/>
      <c r="GU2" s="263"/>
      <c r="GV2" s="263"/>
      <c r="GX2" s="260" t="s">
        <v>63</v>
      </c>
      <c r="GY2" s="260"/>
      <c r="GZ2" s="260"/>
      <c r="HA2" s="260"/>
      <c r="HB2" s="260"/>
      <c r="HC2" s="260"/>
      <c r="HD2" s="260"/>
      <c r="HE2" s="260"/>
      <c r="HF2" s="260"/>
      <c r="HG2" s="260"/>
      <c r="HH2" s="260"/>
      <c r="HJ2" s="265" t="s">
        <v>64</v>
      </c>
      <c r="HK2" s="265"/>
      <c r="HL2" s="265"/>
      <c r="HM2" s="265"/>
      <c r="HN2" s="265"/>
      <c r="HO2" s="265"/>
      <c r="HP2" s="265"/>
      <c r="HQ2" s="265"/>
      <c r="HR2" s="265"/>
      <c r="HS2" s="265"/>
      <c r="HT2" s="265"/>
      <c r="HV2" s="249" t="s">
        <v>65</v>
      </c>
      <c r="HW2" s="249"/>
      <c r="HX2" s="249"/>
      <c r="HY2" s="249"/>
      <c r="HZ2" s="249"/>
      <c r="IA2" s="249"/>
      <c r="IB2" s="249"/>
      <c r="IC2" s="249"/>
      <c r="ID2" s="249"/>
      <c r="IE2" s="249"/>
      <c r="IF2" s="249"/>
      <c r="IH2" s="264" t="s">
        <v>66</v>
      </c>
      <c r="II2" s="264"/>
      <c r="IJ2" s="264"/>
      <c r="IK2" s="264"/>
      <c r="IL2" s="264"/>
      <c r="IM2" s="264"/>
      <c r="IN2" s="264"/>
      <c r="IO2" s="264"/>
      <c r="IP2" s="264"/>
      <c r="IQ2" s="264"/>
      <c r="IR2" s="264"/>
      <c r="IT2" s="254" t="s">
        <v>67</v>
      </c>
      <c r="IU2" s="254"/>
      <c r="IV2" s="254"/>
      <c r="IW2" s="254"/>
      <c r="IX2" s="254"/>
      <c r="IY2" s="254"/>
      <c r="IZ2" s="254"/>
      <c r="JA2" s="254"/>
      <c r="JB2" s="254"/>
      <c r="JC2" s="254"/>
      <c r="JD2" s="254"/>
      <c r="JF2" s="245" t="s">
        <v>68</v>
      </c>
      <c r="JG2" s="245"/>
      <c r="JH2" s="245"/>
      <c r="JI2" s="245"/>
      <c r="JJ2" s="245"/>
      <c r="JK2" s="245"/>
      <c r="JL2" s="245"/>
      <c r="JM2" s="245"/>
      <c r="JN2" s="245"/>
      <c r="JO2" s="245"/>
      <c r="JP2" s="245"/>
      <c r="JR2" s="253" t="s">
        <v>69</v>
      </c>
      <c r="JS2" s="253"/>
      <c r="JT2" s="253"/>
      <c r="JU2" s="253"/>
      <c r="JV2" s="253"/>
      <c r="JW2" s="253"/>
      <c r="JX2" s="253"/>
      <c r="JY2" s="253"/>
      <c r="JZ2" s="253"/>
      <c r="KA2" s="253"/>
      <c r="KB2" s="253"/>
      <c r="KD2" s="251"/>
      <c r="KE2" s="251"/>
      <c r="KF2" s="251"/>
      <c r="KG2" s="251"/>
      <c r="KH2" s="251"/>
      <c r="KI2" s="251"/>
      <c r="KJ2" s="47"/>
      <c r="KK2" s="47"/>
      <c r="KM2" s="47"/>
      <c r="KN2" s="251"/>
      <c r="KO2" s="251"/>
      <c r="KP2" s="251"/>
      <c r="KQ2" s="251"/>
      <c r="KR2" s="251"/>
      <c r="KS2" s="251"/>
      <c r="KT2" s="251"/>
      <c r="KU2" s="47"/>
      <c r="KV2" s="47"/>
    </row>
    <row r="3" spans="1:308" ht="68.25" customHeight="1">
      <c r="A3" s="212" t="s">
        <v>186</v>
      </c>
      <c r="B3" s="52" t="s">
        <v>70</v>
      </c>
      <c r="C3" s="53" t="s">
        <v>71</v>
      </c>
      <c r="D3" s="53" t="s">
        <v>72</v>
      </c>
      <c r="E3" s="53" t="s">
        <v>73</v>
      </c>
      <c r="F3" s="53" t="s">
        <v>74</v>
      </c>
      <c r="G3" s="53" t="s">
        <v>75</v>
      </c>
      <c r="H3" s="53" t="s">
        <v>76</v>
      </c>
      <c r="I3" s="53" t="s">
        <v>24</v>
      </c>
      <c r="J3" s="53" t="s">
        <v>25</v>
      </c>
      <c r="K3" s="53" t="s">
        <v>26</v>
      </c>
      <c r="L3" s="54" t="s">
        <v>27</v>
      </c>
      <c r="M3" s="48"/>
      <c r="N3" s="55" t="s">
        <v>70</v>
      </c>
      <c r="O3" s="56" t="s">
        <v>71</v>
      </c>
      <c r="P3" s="56" t="s">
        <v>72</v>
      </c>
      <c r="Q3" s="56" t="s">
        <v>73</v>
      </c>
      <c r="R3" s="56" t="s">
        <v>74</v>
      </c>
      <c r="S3" s="56" t="s">
        <v>75</v>
      </c>
      <c r="T3" s="56" t="s">
        <v>76</v>
      </c>
      <c r="U3" s="56" t="s">
        <v>24</v>
      </c>
      <c r="V3" s="56" t="s">
        <v>25</v>
      </c>
      <c r="W3" s="56" t="s">
        <v>26</v>
      </c>
      <c r="X3" s="57" t="s">
        <v>27</v>
      </c>
      <c r="Z3" s="58" t="s">
        <v>70</v>
      </c>
      <c r="AA3" s="59" t="s">
        <v>71</v>
      </c>
      <c r="AB3" s="59" t="s">
        <v>72</v>
      </c>
      <c r="AC3" s="59" t="s">
        <v>73</v>
      </c>
      <c r="AD3" s="59" t="s">
        <v>74</v>
      </c>
      <c r="AE3" s="59" t="s">
        <v>75</v>
      </c>
      <c r="AF3" s="59" t="s">
        <v>76</v>
      </c>
      <c r="AG3" s="59" t="s">
        <v>24</v>
      </c>
      <c r="AH3" s="59" t="s">
        <v>25</v>
      </c>
      <c r="AI3" s="59" t="s">
        <v>26</v>
      </c>
      <c r="AJ3" s="60" t="s">
        <v>27</v>
      </c>
      <c r="AL3" s="61" t="s">
        <v>70</v>
      </c>
      <c r="AM3" s="62" t="s">
        <v>71</v>
      </c>
      <c r="AN3" s="62" t="s">
        <v>72</v>
      </c>
      <c r="AO3" s="62" t="s">
        <v>73</v>
      </c>
      <c r="AP3" s="62" t="s">
        <v>74</v>
      </c>
      <c r="AQ3" s="62" t="s">
        <v>75</v>
      </c>
      <c r="AR3" s="62" t="s">
        <v>76</v>
      </c>
      <c r="AS3" s="62" t="s">
        <v>24</v>
      </c>
      <c r="AT3" s="62" t="s">
        <v>25</v>
      </c>
      <c r="AU3" s="62" t="s">
        <v>26</v>
      </c>
      <c r="AV3" s="63" t="s">
        <v>27</v>
      </c>
      <c r="AX3" s="64" t="s">
        <v>70</v>
      </c>
      <c r="AY3" s="65" t="s">
        <v>71</v>
      </c>
      <c r="AZ3" s="65" t="s">
        <v>72</v>
      </c>
      <c r="BA3" s="65" t="s">
        <v>73</v>
      </c>
      <c r="BB3" s="65" t="s">
        <v>74</v>
      </c>
      <c r="BC3" s="65" t="s">
        <v>75</v>
      </c>
      <c r="BD3" s="65" t="s">
        <v>76</v>
      </c>
      <c r="BE3" s="65" t="s">
        <v>24</v>
      </c>
      <c r="BF3" s="65" t="s">
        <v>25</v>
      </c>
      <c r="BG3" s="65" t="s">
        <v>26</v>
      </c>
      <c r="BH3" s="66" t="s">
        <v>27</v>
      </c>
      <c r="BI3" s="67"/>
      <c r="BJ3" s="68" t="s">
        <v>70</v>
      </c>
      <c r="BK3" s="69" t="s">
        <v>71</v>
      </c>
      <c r="BL3" s="69" t="s">
        <v>72</v>
      </c>
      <c r="BM3" s="69" t="s">
        <v>73</v>
      </c>
      <c r="BN3" s="69" t="s">
        <v>74</v>
      </c>
      <c r="BO3" s="69" t="s">
        <v>75</v>
      </c>
      <c r="BP3" s="69" t="s">
        <v>76</v>
      </c>
      <c r="BQ3" s="69" t="s">
        <v>24</v>
      </c>
      <c r="BR3" s="69" t="s">
        <v>25</v>
      </c>
      <c r="BS3" s="69" t="s">
        <v>26</v>
      </c>
      <c r="BT3" s="70" t="s">
        <v>27</v>
      </c>
      <c r="BV3" s="71" t="s">
        <v>70</v>
      </c>
      <c r="BW3" s="72" t="s">
        <v>71</v>
      </c>
      <c r="BX3" s="72" t="s">
        <v>72</v>
      </c>
      <c r="BY3" s="72" t="s">
        <v>73</v>
      </c>
      <c r="BZ3" s="72" t="s">
        <v>74</v>
      </c>
      <c r="CA3" s="72" t="s">
        <v>75</v>
      </c>
      <c r="CB3" s="72" t="s">
        <v>76</v>
      </c>
      <c r="CC3" s="72" t="s">
        <v>24</v>
      </c>
      <c r="CD3" s="72" t="s">
        <v>25</v>
      </c>
      <c r="CE3" s="72" t="s">
        <v>26</v>
      </c>
      <c r="CF3" s="73" t="s">
        <v>27</v>
      </c>
      <c r="CH3" s="74" t="s">
        <v>70</v>
      </c>
      <c r="CI3" s="75" t="s">
        <v>71</v>
      </c>
      <c r="CJ3" s="75" t="s">
        <v>72</v>
      </c>
      <c r="CK3" s="75" t="s">
        <v>73</v>
      </c>
      <c r="CL3" s="75" t="s">
        <v>74</v>
      </c>
      <c r="CM3" s="75" t="s">
        <v>75</v>
      </c>
      <c r="CN3" s="75" t="s">
        <v>76</v>
      </c>
      <c r="CO3" s="75" t="s">
        <v>24</v>
      </c>
      <c r="CP3" s="75" t="s">
        <v>25</v>
      </c>
      <c r="CQ3" s="75" t="s">
        <v>26</v>
      </c>
      <c r="CR3" s="76" t="s">
        <v>27</v>
      </c>
      <c r="CT3" s="77" t="s">
        <v>70</v>
      </c>
      <c r="CU3" s="78" t="s">
        <v>71</v>
      </c>
      <c r="CV3" s="78" t="s">
        <v>72</v>
      </c>
      <c r="CW3" s="78" t="s">
        <v>73</v>
      </c>
      <c r="CX3" s="78" t="s">
        <v>74</v>
      </c>
      <c r="CY3" s="78" t="s">
        <v>75</v>
      </c>
      <c r="CZ3" s="78" t="s">
        <v>76</v>
      </c>
      <c r="DA3" s="78" t="s">
        <v>24</v>
      </c>
      <c r="DB3" s="78" t="s">
        <v>25</v>
      </c>
      <c r="DC3" s="78" t="s">
        <v>26</v>
      </c>
      <c r="DD3" s="79" t="s">
        <v>27</v>
      </c>
      <c r="DF3" s="64" t="s">
        <v>70</v>
      </c>
      <c r="DG3" s="65" t="s">
        <v>71</v>
      </c>
      <c r="DH3" s="65" t="s">
        <v>72</v>
      </c>
      <c r="DI3" s="65" t="s">
        <v>73</v>
      </c>
      <c r="DJ3" s="65" t="s">
        <v>74</v>
      </c>
      <c r="DK3" s="65" t="s">
        <v>75</v>
      </c>
      <c r="DL3" s="65" t="s">
        <v>76</v>
      </c>
      <c r="DM3" s="65" t="s">
        <v>24</v>
      </c>
      <c r="DN3" s="65" t="s">
        <v>25</v>
      </c>
      <c r="DO3" s="65" t="s">
        <v>26</v>
      </c>
      <c r="DP3" s="66" t="s">
        <v>27</v>
      </c>
      <c r="DR3" s="80" t="s">
        <v>70</v>
      </c>
      <c r="DS3" s="81" t="s">
        <v>71</v>
      </c>
      <c r="DT3" s="81" t="s">
        <v>72</v>
      </c>
      <c r="DU3" s="81" t="s">
        <v>73</v>
      </c>
      <c r="DV3" s="81" t="s">
        <v>74</v>
      </c>
      <c r="DW3" s="81" t="s">
        <v>75</v>
      </c>
      <c r="DX3" s="81" t="s">
        <v>76</v>
      </c>
      <c r="DY3" s="81" t="s">
        <v>24</v>
      </c>
      <c r="DZ3" s="81" t="s">
        <v>25</v>
      </c>
      <c r="EA3" s="81" t="s">
        <v>26</v>
      </c>
      <c r="EB3" s="82" t="s">
        <v>27</v>
      </c>
      <c r="ED3" s="83" t="s">
        <v>70</v>
      </c>
      <c r="EE3" s="84" t="s">
        <v>71</v>
      </c>
      <c r="EF3" s="84" t="s">
        <v>72</v>
      </c>
      <c r="EG3" s="84" t="s">
        <v>73</v>
      </c>
      <c r="EH3" s="84" t="s">
        <v>74</v>
      </c>
      <c r="EI3" s="84" t="s">
        <v>75</v>
      </c>
      <c r="EJ3" s="84" t="s">
        <v>76</v>
      </c>
      <c r="EK3" s="84" t="s">
        <v>24</v>
      </c>
      <c r="EL3" s="84" t="s">
        <v>25</v>
      </c>
      <c r="EM3" s="84" t="s">
        <v>26</v>
      </c>
      <c r="EN3" s="85" t="s">
        <v>27</v>
      </c>
      <c r="EP3" s="77" t="s">
        <v>70</v>
      </c>
      <c r="EQ3" s="78" t="s">
        <v>71</v>
      </c>
      <c r="ER3" s="78" t="s">
        <v>72</v>
      </c>
      <c r="ES3" s="78" t="s">
        <v>73</v>
      </c>
      <c r="ET3" s="78" t="s">
        <v>74</v>
      </c>
      <c r="EU3" s="78" t="s">
        <v>75</v>
      </c>
      <c r="EV3" s="78" t="s">
        <v>76</v>
      </c>
      <c r="EW3" s="78" t="s">
        <v>24</v>
      </c>
      <c r="EX3" s="78" t="s">
        <v>25</v>
      </c>
      <c r="EY3" s="78" t="s">
        <v>26</v>
      </c>
      <c r="EZ3" s="79" t="s">
        <v>27</v>
      </c>
      <c r="FB3" s="86" t="s">
        <v>70</v>
      </c>
      <c r="FC3" s="87" t="s">
        <v>71</v>
      </c>
      <c r="FD3" s="87" t="s">
        <v>72</v>
      </c>
      <c r="FE3" s="87" t="s">
        <v>73</v>
      </c>
      <c r="FF3" s="87" t="s">
        <v>74</v>
      </c>
      <c r="FG3" s="87" t="s">
        <v>75</v>
      </c>
      <c r="FH3" s="87" t="s">
        <v>76</v>
      </c>
      <c r="FI3" s="87" t="s">
        <v>24</v>
      </c>
      <c r="FJ3" s="87" t="s">
        <v>25</v>
      </c>
      <c r="FK3" s="87" t="s">
        <v>26</v>
      </c>
      <c r="FL3" s="88" t="s">
        <v>27</v>
      </c>
      <c r="FN3" s="89" t="s">
        <v>70</v>
      </c>
      <c r="FO3" s="90" t="s">
        <v>71</v>
      </c>
      <c r="FP3" s="90" t="s">
        <v>72</v>
      </c>
      <c r="FQ3" s="90" t="s">
        <v>73</v>
      </c>
      <c r="FR3" s="90" t="s">
        <v>74</v>
      </c>
      <c r="FS3" s="90" t="s">
        <v>75</v>
      </c>
      <c r="FT3" s="90" t="s">
        <v>76</v>
      </c>
      <c r="FU3" s="90" t="s">
        <v>24</v>
      </c>
      <c r="FV3" s="90" t="s">
        <v>25</v>
      </c>
      <c r="FW3" s="90" t="s">
        <v>26</v>
      </c>
      <c r="FX3" s="91" t="s">
        <v>27</v>
      </c>
      <c r="FZ3" s="92" t="s">
        <v>70</v>
      </c>
      <c r="GA3" s="93" t="s">
        <v>71</v>
      </c>
      <c r="GB3" s="93" t="s">
        <v>72</v>
      </c>
      <c r="GC3" s="93" t="s">
        <v>73</v>
      </c>
      <c r="GD3" s="93" t="s">
        <v>74</v>
      </c>
      <c r="GE3" s="93" t="s">
        <v>75</v>
      </c>
      <c r="GF3" s="93" t="s">
        <v>76</v>
      </c>
      <c r="GG3" s="93" t="s">
        <v>24</v>
      </c>
      <c r="GH3" s="93" t="s">
        <v>25</v>
      </c>
      <c r="GI3" s="93" t="s">
        <v>26</v>
      </c>
      <c r="GJ3" s="94" t="s">
        <v>27</v>
      </c>
      <c r="GL3" s="95" t="s">
        <v>70</v>
      </c>
      <c r="GM3" s="96" t="s">
        <v>71</v>
      </c>
      <c r="GN3" s="96" t="s">
        <v>72</v>
      </c>
      <c r="GO3" s="96" t="s">
        <v>73</v>
      </c>
      <c r="GP3" s="96" t="s">
        <v>74</v>
      </c>
      <c r="GQ3" s="96" t="s">
        <v>75</v>
      </c>
      <c r="GR3" s="96" t="s">
        <v>76</v>
      </c>
      <c r="GS3" s="96" t="s">
        <v>24</v>
      </c>
      <c r="GT3" s="96" t="s">
        <v>25</v>
      </c>
      <c r="GU3" s="96" t="s">
        <v>26</v>
      </c>
      <c r="GV3" s="97" t="s">
        <v>27</v>
      </c>
      <c r="GX3" s="98" t="s">
        <v>70</v>
      </c>
      <c r="GY3" s="99" t="s">
        <v>71</v>
      </c>
      <c r="GZ3" s="99" t="s">
        <v>72</v>
      </c>
      <c r="HA3" s="99" t="s">
        <v>73</v>
      </c>
      <c r="HB3" s="99" t="s">
        <v>74</v>
      </c>
      <c r="HC3" s="99" t="s">
        <v>75</v>
      </c>
      <c r="HD3" s="99" t="s">
        <v>76</v>
      </c>
      <c r="HE3" s="99" t="s">
        <v>24</v>
      </c>
      <c r="HF3" s="99" t="s">
        <v>25</v>
      </c>
      <c r="HG3" s="99" t="s">
        <v>26</v>
      </c>
      <c r="HH3" s="100" t="s">
        <v>27</v>
      </c>
      <c r="HJ3" s="101" t="s">
        <v>70</v>
      </c>
      <c r="HK3" s="102" t="s">
        <v>71</v>
      </c>
      <c r="HL3" s="102" t="s">
        <v>72</v>
      </c>
      <c r="HM3" s="102" t="s">
        <v>73</v>
      </c>
      <c r="HN3" s="102" t="s">
        <v>74</v>
      </c>
      <c r="HO3" s="102" t="s">
        <v>75</v>
      </c>
      <c r="HP3" s="102" t="s">
        <v>76</v>
      </c>
      <c r="HQ3" s="102" t="s">
        <v>24</v>
      </c>
      <c r="HR3" s="102" t="s">
        <v>25</v>
      </c>
      <c r="HS3" s="102" t="s">
        <v>26</v>
      </c>
      <c r="HT3" s="103" t="s">
        <v>27</v>
      </c>
      <c r="HV3" s="64" t="s">
        <v>70</v>
      </c>
      <c r="HW3" s="65" t="s">
        <v>71</v>
      </c>
      <c r="HX3" s="65" t="s">
        <v>72</v>
      </c>
      <c r="HY3" s="65" t="s">
        <v>73</v>
      </c>
      <c r="HZ3" s="65" t="s">
        <v>74</v>
      </c>
      <c r="IA3" s="65" t="s">
        <v>75</v>
      </c>
      <c r="IB3" s="65" t="s">
        <v>76</v>
      </c>
      <c r="IC3" s="65" t="s">
        <v>24</v>
      </c>
      <c r="ID3" s="65" t="s">
        <v>25</v>
      </c>
      <c r="IE3" s="65" t="s">
        <v>26</v>
      </c>
      <c r="IF3" s="66" t="s">
        <v>27</v>
      </c>
      <c r="IH3" s="104" t="s">
        <v>70</v>
      </c>
      <c r="II3" s="105" t="s">
        <v>71</v>
      </c>
      <c r="IJ3" s="105" t="s">
        <v>72</v>
      </c>
      <c r="IK3" s="105" t="s">
        <v>73</v>
      </c>
      <c r="IL3" s="105" t="s">
        <v>74</v>
      </c>
      <c r="IM3" s="105" t="s">
        <v>75</v>
      </c>
      <c r="IN3" s="105" t="s">
        <v>76</v>
      </c>
      <c r="IO3" s="105" t="s">
        <v>24</v>
      </c>
      <c r="IP3" s="105" t="s">
        <v>25</v>
      </c>
      <c r="IQ3" s="105" t="s">
        <v>26</v>
      </c>
      <c r="IR3" s="106" t="s">
        <v>27</v>
      </c>
      <c r="IT3" s="92" t="s">
        <v>70</v>
      </c>
      <c r="IU3" s="93" t="s">
        <v>71</v>
      </c>
      <c r="IV3" s="93" t="s">
        <v>72</v>
      </c>
      <c r="IW3" s="93" t="s">
        <v>73</v>
      </c>
      <c r="IX3" s="93" t="s">
        <v>74</v>
      </c>
      <c r="IY3" s="93" t="s">
        <v>75</v>
      </c>
      <c r="IZ3" s="93" t="s">
        <v>76</v>
      </c>
      <c r="JA3" s="93" t="s">
        <v>24</v>
      </c>
      <c r="JB3" s="93" t="s">
        <v>25</v>
      </c>
      <c r="JC3" s="93" t="s">
        <v>26</v>
      </c>
      <c r="JD3" s="94" t="s">
        <v>27</v>
      </c>
      <c r="JF3" s="58" t="s">
        <v>70</v>
      </c>
      <c r="JG3" s="59" t="s">
        <v>71</v>
      </c>
      <c r="JH3" s="59" t="s">
        <v>72</v>
      </c>
      <c r="JI3" s="59" t="s">
        <v>73</v>
      </c>
      <c r="JJ3" s="59" t="s">
        <v>74</v>
      </c>
      <c r="JK3" s="59" t="s">
        <v>75</v>
      </c>
      <c r="JL3" s="59" t="s">
        <v>76</v>
      </c>
      <c r="JM3" s="59" t="s">
        <v>24</v>
      </c>
      <c r="JN3" s="59" t="s">
        <v>25</v>
      </c>
      <c r="JO3" s="59" t="s">
        <v>26</v>
      </c>
      <c r="JP3" s="60" t="s">
        <v>27</v>
      </c>
      <c r="JR3" s="55" t="s">
        <v>70</v>
      </c>
      <c r="JS3" s="56" t="s">
        <v>71</v>
      </c>
      <c r="JT3" s="56" t="s">
        <v>72</v>
      </c>
      <c r="JU3" s="56" t="s">
        <v>73</v>
      </c>
      <c r="JV3" s="56" t="s">
        <v>74</v>
      </c>
      <c r="JW3" s="56" t="s">
        <v>75</v>
      </c>
      <c r="JX3" s="56" t="s">
        <v>76</v>
      </c>
      <c r="JY3" s="56" t="s">
        <v>24</v>
      </c>
      <c r="JZ3" s="56" t="s">
        <v>25</v>
      </c>
      <c r="KA3" s="56" t="s">
        <v>26</v>
      </c>
      <c r="KB3" s="57" t="s">
        <v>27</v>
      </c>
      <c r="KD3" s="107"/>
      <c r="KE3" s="107"/>
      <c r="KF3" s="107"/>
      <c r="KG3" s="107"/>
      <c r="KH3" s="107"/>
      <c r="KI3" s="107"/>
      <c r="KJ3" s="107"/>
      <c r="KK3" s="107"/>
      <c r="KM3" s="47"/>
      <c r="KN3" s="107"/>
      <c r="KO3" s="107"/>
      <c r="KP3" s="107"/>
      <c r="KQ3" s="107"/>
      <c r="KR3" s="107"/>
      <c r="KS3" s="107"/>
      <c r="KT3" s="107"/>
      <c r="KU3" s="107"/>
      <c r="KV3" s="107"/>
    </row>
    <row r="4" spans="1:308" ht="23.25">
      <c r="A4" s="211">
        <v>1</v>
      </c>
      <c r="B4" s="108" t="str">
        <f>Data!B2</f>
        <v>ALI AHMED ASHEMI</v>
      </c>
      <c r="C4" s="109">
        <v>6</v>
      </c>
      <c r="D4" s="109">
        <v>4</v>
      </c>
      <c r="E4" s="109">
        <v>1</v>
      </c>
      <c r="F4" s="109">
        <v>5</v>
      </c>
      <c r="G4" s="111">
        <f>SUM(C4:F4)</f>
        <v>16</v>
      </c>
      <c r="H4" s="111">
        <v>27</v>
      </c>
      <c r="I4" s="111">
        <f>G4+H4</f>
        <v>43</v>
      </c>
      <c r="J4" s="110">
        <f>IF(I4&lt;10,"",RANK(I4,I$4:I$57))</f>
        <v>15</v>
      </c>
      <c r="K4" s="110" t="str">
        <f>IF(I4&gt;=75,"A1",IF(I4&gt;=70,"B2",IF(I4&gt;=65,"B3",IF(I4&gt;=60,"C4",IF(I4&gt;=55,"C5",IF(I4&gt;=50,"C6",IF(I4&gt;=45,"D7",IF(I4&gt;=40,"E8",IF(I4&gt;=6,"F",IF(I4&lt;5,""))))))))))</f>
        <v>E8</v>
      </c>
      <c r="L4" s="110" t="str">
        <f>IF(I4&gt;=75,"Excellent",IF(I4&gt;=70,"V.Good",IF(I4&gt;=65,"Good",IF(I4&gt;=60,"Credit",IF(I4&gt;=55,"Credit",IF(I4&gt;=50,"Credit",IF(I4&gt;=45,"Pass",IF(I4&gt;=40,"Pass",IF(I4&gt;=6,"Fail",IF(I4&lt;5,""))))))))))</f>
        <v>Pass</v>
      </c>
      <c r="M4" s="48">
        <v>1</v>
      </c>
      <c r="N4" s="108" t="str">
        <f>Data!B2</f>
        <v>ALI AHMED ASHEMI</v>
      </c>
      <c r="O4" s="109">
        <v>6</v>
      </c>
      <c r="P4" s="109">
        <v>4</v>
      </c>
      <c r="Q4" s="109">
        <v>1</v>
      </c>
      <c r="R4" s="109">
        <v>5</v>
      </c>
      <c r="S4" s="111">
        <f>SUM(O4:R4)</f>
        <v>16</v>
      </c>
      <c r="T4" s="111">
        <v>27</v>
      </c>
      <c r="U4" s="111">
        <f>S4+T4</f>
        <v>43</v>
      </c>
      <c r="V4" s="111">
        <f>IF(U4&lt;10,"",RANK(U4,U$4:U$57))</f>
        <v>11</v>
      </c>
      <c r="W4" s="111" t="str">
        <f>IF(U4&gt;=75,"A1",IF(U4&gt;=70,"B2",IF(U4&gt;=65,"B3",IF(U4&gt;=60,"C4",IF(U4&gt;=55,"C5",IF(U4&gt;=50,"C6",IF(U4&gt;=45,"D7",IF(U4&gt;=40,"E8",IF(U4&gt;=6,"F",IF(U4&lt;5,""))))))))))</f>
        <v>E8</v>
      </c>
      <c r="X4" s="111" t="str">
        <f>IF(U4&gt;=75,"Excellent",IF(U4&gt;=70,"V.Good",IF(U4&gt;=65,"Good",IF(U4&gt;=60,"Credit",IF(U4&gt;=55,"Credit",IF(U4&gt;=50,"Credit",IF(U4&gt;=45,"Pass",IF(U4&gt;=40,"Pass",IF(U4&gt;=6,"Fail",IF(U4&lt;5,""))))))))))</f>
        <v>Pass</v>
      </c>
      <c r="Y4" s="42">
        <v>1</v>
      </c>
      <c r="Z4" s="108" t="str">
        <f>Data!B2</f>
        <v>ALI AHMED ASHEMI</v>
      </c>
      <c r="AA4" s="109">
        <v>6</v>
      </c>
      <c r="AB4" s="109">
        <v>4</v>
      </c>
      <c r="AC4" s="109">
        <v>1</v>
      </c>
      <c r="AD4" s="109">
        <v>5</v>
      </c>
      <c r="AE4" s="111">
        <f>SUM(AA4:AD4)</f>
        <v>16</v>
      </c>
      <c r="AF4" s="112">
        <v>42</v>
      </c>
      <c r="AG4" s="113">
        <f>AE4+AF4</f>
        <v>58</v>
      </c>
      <c r="AH4" s="113">
        <f>IF(AG4&lt;10,"",RANK(AG4,AG$4:AG$57))</f>
        <v>19</v>
      </c>
      <c r="AI4" s="113" t="str">
        <f>IF(AG4&gt;=75,"A1",IF(AG4&gt;=70,"B2",IF(AG4&gt;=65,"B3",IF(AG4&gt;=60,"C4",IF(AG4&gt;=55,"C5",IF(AG4&gt;=50,"C6",IF(AG4&gt;=45,"D7",IF(AG4&gt;=40,"E8",IF(AG4&gt;=6,"F",IF(AG4&lt;5,""))))))))))</f>
        <v>C5</v>
      </c>
      <c r="AJ4" s="113" t="str">
        <f>IF(AG4&gt;=75,"Excellent",IF(AG4&gt;=70,"V.Good",IF(AG4&gt;=65,"Good",IF(AG4&gt;=60,"Credit",IF(AG4&gt;=55,"Credit",IF(AG4&gt;=50,"Credit",IF(AG4&gt;=45,"Pass",IF(AG4&gt;=40,"Pass",IF(AG4&gt;=6,"Fail",IF(AG4&lt;5,""))))))))))</f>
        <v>Credit</v>
      </c>
      <c r="AK4" s="42">
        <v>1</v>
      </c>
      <c r="AL4" s="108" t="str">
        <f>Data!B2</f>
        <v>ALI AHMED ASHEMI</v>
      </c>
      <c r="AM4" s="114"/>
      <c r="AN4" s="114"/>
      <c r="AO4" s="114"/>
      <c r="AP4" s="114"/>
      <c r="AQ4" s="115">
        <f>SUM(AM4:AP4)</f>
        <v>0</v>
      </c>
      <c r="AR4" s="114"/>
      <c r="AS4" s="115">
        <f>AQ4+AR4</f>
        <v>0</v>
      </c>
      <c r="AT4" s="115" t="str">
        <f>IF(AS4&lt;10,"",RANK(AS4,AS$4:AS$57))</f>
        <v/>
      </c>
      <c r="AU4" s="115" t="str">
        <f>IF(AS4&gt;=75,"A1",IF(AS4&gt;=70,"B2",IF(AS4&gt;=65,"B3",IF(AS4&gt;=60,"C4",IF(AS4&gt;=55,"C5",IF(AS4&gt;=50,"C6",IF(AS4&gt;=45,"D7",IF(AS4&gt;=40,"E8",IF(AS4&gt;=6,"F",IF(AS4&lt;5,""))))))))))</f>
        <v/>
      </c>
      <c r="AV4" s="115" t="str">
        <f>IF(AS4&gt;=75,"Excellent",IF(AS4&gt;=70,"V.Good",IF(AS4&gt;=65,"Good",IF(AS4&gt;=60,"Credit",IF(AS4&gt;=55,"Credit",IF(AS4&gt;=50,"Credit",IF(AS4&gt;=45,"Pass",IF(AS4&gt;=40,"Pass",IF(AS4&gt;=6,"Fail",IF(AS4&lt;5,""))))))))))</f>
        <v/>
      </c>
      <c r="AW4" s="42">
        <v>1</v>
      </c>
      <c r="AX4" s="108" t="str">
        <f>Data!B2</f>
        <v>ALI AHMED ASHEMI</v>
      </c>
      <c r="AY4" s="116"/>
      <c r="AZ4" s="116"/>
      <c r="BA4" s="116"/>
      <c r="BB4" s="116"/>
      <c r="BC4" s="117">
        <f>SUM(AY4:BB4)</f>
        <v>0</v>
      </c>
      <c r="BD4" s="116"/>
      <c r="BE4" s="117">
        <f>BC4+BD4</f>
        <v>0</v>
      </c>
      <c r="BF4" s="117" t="str">
        <f>IF(BE4&lt;10,"",RANK(BE4,BE$4:BE$57))</f>
        <v/>
      </c>
      <c r="BG4" s="117" t="str">
        <f>IF(BE4&gt;=75,"A1",IF(BE4&gt;=70,"B2",IF(BE4&gt;=65,"B3",IF(BE4&gt;=60,"C4",IF(BE4&gt;=55,"C5",IF(BE4&gt;=50,"C6",IF(BE4&gt;=45,"D7",IF(BE4&gt;=40,"E8",IF(BE4&gt;=6,"F",IF(BE4&lt;5,""))))))))))</f>
        <v/>
      </c>
      <c r="BH4" s="117" t="str">
        <f>IF(BE4&gt;=75,"Excellent",IF(BE4&gt;=70,"V.Good",IF(BE4&gt;=65,"Good",IF(BE4&gt;=60,"Credit",IF(BE4&gt;=55,"Credit",IF(BE4&gt;=50,"Credit",IF(BE4&gt;=45,"Pass",IF(BE4&gt;=40,"Pass",IF(BE4&gt;=6,"Fail",IF(BE4&lt;5,""))))))))))</f>
        <v/>
      </c>
      <c r="BI4" s="67">
        <v>1</v>
      </c>
      <c r="BJ4" s="108" t="str">
        <f>Data!B2</f>
        <v>ALI AHMED ASHEMI</v>
      </c>
      <c r="BK4" s="110">
        <v>6</v>
      </c>
      <c r="BL4" s="110">
        <v>4</v>
      </c>
      <c r="BM4" s="110">
        <v>1</v>
      </c>
      <c r="BN4" s="110">
        <v>5</v>
      </c>
      <c r="BO4" s="111">
        <f>SUM(BK4:BN4)</f>
        <v>16</v>
      </c>
      <c r="BP4" s="113">
        <v>42</v>
      </c>
      <c r="BQ4" s="119">
        <f>BO4+BP4</f>
        <v>58</v>
      </c>
      <c r="BR4" s="119">
        <f>IF(BQ4&lt;10,"",RANK(BQ4,BQ$4:BQ$57))</f>
        <v>13</v>
      </c>
      <c r="BS4" s="119" t="str">
        <f>IF(BQ4&gt;=75,"A1",IF(BQ4&gt;=70,"B2",IF(BQ4&gt;=65,"B3",IF(BQ4&gt;=60,"C4",IF(BQ4&gt;=55,"C5",IF(BQ4&gt;=50,"C6",IF(BQ4&gt;=45,"D7",IF(BQ4&gt;=40,"E8",IF(BQ4&gt;=6,"F",IF(BQ4&lt;5,""))))))))))</f>
        <v>C5</v>
      </c>
      <c r="BT4" s="119" t="str">
        <f>IF(BQ4&gt;=75,"Excellent",IF(BQ4&gt;=70,"V.Good",IF(BQ4&gt;=65,"Good",IF(BQ4&gt;=60,"Credit",IF(BQ4&gt;=55,"Credit",IF(BQ4&gt;=50,"Credit",IF(BQ4&gt;=45,"Pass",IF(BQ4&gt;=40,"Pass",IF(BQ4&gt;=6,"Fail",IF(BQ4&lt;5,""))))))))))</f>
        <v>Credit</v>
      </c>
      <c r="BU4">
        <v>1</v>
      </c>
      <c r="BV4" s="108" t="str">
        <f>Data!B2</f>
        <v>ALI AHMED ASHEMI</v>
      </c>
      <c r="BW4" s="120">
        <v>6</v>
      </c>
      <c r="BX4" s="120">
        <v>4</v>
      </c>
      <c r="BY4" s="120">
        <v>9</v>
      </c>
      <c r="BZ4" s="120">
        <v>7</v>
      </c>
      <c r="CA4" s="121">
        <f>SUM(BW4:BZ4)</f>
        <v>26</v>
      </c>
      <c r="CB4" s="120">
        <v>26</v>
      </c>
      <c r="CC4" s="121">
        <f>CA4+CB4</f>
        <v>52</v>
      </c>
      <c r="CD4" s="121">
        <f>IF(CC4&lt;10,"",RANK(CC4,CC$4:CC$57))</f>
        <v>18</v>
      </c>
      <c r="CE4" s="121" t="str">
        <f>IF(CC4&gt;=75,"A1",IF(CC4&gt;=70,"B2",IF(CC4&gt;=65,"B3",IF(CC4&gt;=60,"C4",IF(CC4&gt;=55,"C5",IF(CC4&gt;=50,"C6",IF(CC4&gt;=45,"D7",IF(CC4&gt;=40,"E8",IF(CC4&gt;=6,"F",IF(CC4&lt;5,""))))))))))</f>
        <v>C6</v>
      </c>
      <c r="CF4" s="121" t="str">
        <f>IF(CC4&gt;=75,"Excellent",IF(CC4&gt;=70,"V.Good",IF(CC4&gt;=65,"Good",IF(CC4&gt;=60,"Credit",IF(CC4&gt;=55,"Credit",IF(CC4&gt;=50,"Credit",IF(CC4&gt;=45,"Pass",IF(CC4&gt;=40,"Pass",IF(CC4&gt;=6,"Fail",IF(CC4&lt;5,""))))))))))</f>
        <v>Credit</v>
      </c>
      <c r="CG4">
        <v>1</v>
      </c>
      <c r="CH4" s="108" t="str">
        <f>Data!B2</f>
        <v>ALI AHMED ASHEMI</v>
      </c>
      <c r="CI4" s="109"/>
      <c r="CJ4" s="109"/>
      <c r="CK4" s="109"/>
      <c r="CL4" s="109"/>
      <c r="CM4" s="122">
        <f>SUM(CI4:CL4)</f>
        <v>0</v>
      </c>
      <c r="CN4" s="122"/>
      <c r="CO4" s="122">
        <f>CM4+CN4</f>
        <v>0</v>
      </c>
      <c r="CP4" s="122" t="str">
        <f>IF(CO4&lt;10,"",RANK(CO4,CO$4:CO$57))</f>
        <v/>
      </c>
      <c r="CQ4" s="122" t="str">
        <f>IF(CO4&gt;=75,"A1",IF(CO4&gt;=70,"B2",IF(CO4&gt;=65,"B3",IF(CO4&gt;=60,"C4",IF(CO4&gt;=55,"C5",IF(CO4&gt;=50,"C6",IF(CO4&gt;=45,"D7",IF(CO4&gt;=40,"E8",IF(CO4&gt;=6,"F",IF(CO4&lt;5,""))))))))))</f>
        <v/>
      </c>
      <c r="CR4" s="122" t="str">
        <f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1</v>
      </c>
      <c r="CT4" s="108" t="str">
        <f>Data!B2</f>
        <v>ALI AHMED ASHEMI</v>
      </c>
      <c r="CU4" s="43"/>
      <c r="CV4" s="43"/>
      <c r="CW4" s="43"/>
      <c r="CX4" s="43"/>
      <c r="CY4" s="123">
        <f>SUM(CU4:CX4)</f>
        <v>0</v>
      </c>
      <c r="CZ4" s="43"/>
      <c r="DA4" s="123">
        <f>CY4+CZ4</f>
        <v>0</v>
      </c>
      <c r="DB4" s="123" t="str">
        <f>IF(DA4&lt;10,"",RANK(DA4,DA$4:DA$57))</f>
        <v/>
      </c>
      <c r="DC4" s="123" t="str">
        <f>IF(DA4&gt;=75,"A1",IF(DA4&gt;=70,"B2",IF(DA4&gt;=65,"B3",IF(DA4&gt;=60,"C4",IF(DA4&gt;=55,"C5",IF(DA4&gt;=50,"C6",IF(DA4&gt;=45,"D7",IF(DA4&gt;=40,"E8",IF(DA4&gt;=6,"F",IF(DA4&lt;5,""))))))))))</f>
        <v/>
      </c>
      <c r="DD4" s="123" t="str">
        <f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1</v>
      </c>
      <c r="DF4" s="108" t="str">
        <f>Data!B2</f>
        <v>ALI AHMED ASHEMI</v>
      </c>
      <c r="DG4" s="109"/>
      <c r="DH4" s="109"/>
      <c r="DI4" s="109"/>
      <c r="DJ4" s="109"/>
      <c r="DK4" s="117">
        <f>SUM(DG4:DJ4)</f>
        <v>0</v>
      </c>
      <c r="DL4" s="116"/>
      <c r="DM4" s="117">
        <f>DK4+DL4</f>
        <v>0</v>
      </c>
      <c r="DN4" s="117" t="str">
        <f>IF(DM4&lt;10,"",RANK(DM4,DM$4:DM$57))</f>
        <v/>
      </c>
      <c r="DO4" s="117" t="str">
        <f>IF(DM4&gt;=75,"A1",IF(DM4&gt;=70,"B2",IF(DM4&gt;=65,"B3",IF(DM4&gt;=60,"C4",IF(DM4&gt;=55,"C5",IF(DM4&gt;=50,"C6",IF(DM4&gt;=45,"D7",IF(DM4&gt;=40,"E8",IF(DM4&gt;=6,"F",IF(DM4&lt;5,""))))))))))</f>
        <v/>
      </c>
      <c r="DP4" s="117" t="str">
        <f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1</v>
      </c>
      <c r="DR4" s="108" t="str">
        <f>Data!B2</f>
        <v>ALI AHMED ASHEMI</v>
      </c>
      <c r="DS4" s="124"/>
      <c r="DT4" s="124"/>
      <c r="DU4" s="124"/>
      <c r="DV4" s="124"/>
      <c r="DW4" s="125">
        <f>SUM(DS4:DV4)</f>
        <v>0</v>
      </c>
      <c r="DX4" s="126"/>
      <c r="DY4" s="125">
        <f>DW4+DX4</f>
        <v>0</v>
      </c>
      <c r="DZ4" s="125" t="str">
        <f>IF(DY4&lt;10,"",RANK(DY4,DY$4:DY$57))</f>
        <v/>
      </c>
      <c r="EA4" s="125" t="str">
        <f>IF(DY4&gt;=75,"A1",IF(DY4&gt;=70,"B2",IF(DY4&gt;=65,"B3",IF(DY4&gt;=60,"C4",IF(DY4&gt;=55,"C5",IF(DY4&gt;=50,"C6",IF(DY4&gt;=45,"D7",IF(DY4&gt;=40,"E8",IF(DY4&gt;=6,"F",IF(DY4&lt;5,""))))))))))</f>
        <v/>
      </c>
      <c r="EB4" s="125" t="str">
        <f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1</v>
      </c>
      <c r="ED4" s="108" t="str">
        <f>Data!B2</f>
        <v>ALI AHMED ASHEMI</v>
      </c>
      <c r="EE4" s="109"/>
      <c r="EF4" s="109"/>
      <c r="EG4" s="109"/>
      <c r="EH4" s="109"/>
      <c r="EI4" s="127">
        <f>SUM(EE4:EH4)</f>
        <v>0</v>
      </c>
      <c r="EJ4" s="127"/>
      <c r="EK4" s="127">
        <f>EI4+EJ4</f>
        <v>0</v>
      </c>
      <c r="EL4" s="127" t="str">
        <f>IF(EK4&lt;10,"",RANK(EK4,EK$4:EK$57))</f>
        <v/>
      </c>
      <c r="EM4" s="127" t="str">
        <f>IF(EK4&gt;=75,"A1",IF(EK4&gt;=70,"B2",IF(EK4&gt;=65,"B3",IF(EK4&gt;=60,"C4",IF(EK4&gt;=55,"C5",IF(EK4&gt;=50,"C6",IF(EK4&gt;=45,"D7",IF(EK4&gt;=40,"E8",IF(EK4&gt;=6,"F",IF(EK4&lt;5,""))))))))))</f>
        <v/>
      </c>
      <c r="EN4" s="127" t="str">
        <f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1</v>
      </c>
      <c r="EP4" s="128" t="str">
        <f>Data!B2</f>
        <v>ALI AHMED ASHEMI</v>
      </c>
      <c r="EQ4" s="109"/>
      <c r="ER4" s="109"/>
      <c r="ES4" s="109"/>
      <c r="ET4" s="109"/>
      <c r="EU4" s="123">
        <f>SUM(EQ4:ET4)</f>
        <v>0</v>
      </c>
      <c r="EV4" s="123"/>
      <c r="EW4" s="123">
        <f>EU4+EV4</f>
        <v>0</v>
      </c>
      <c r="EX4" s="123" t="str">
        <f>IF(EW4&lt;10,"",RANK(EW4,EW$4:EW$57))</f>
        <v/>
      </c>
      <c r="EY4" s="123" t="str">
        <f>IF(EW4&gt;=75,"A1",IF(EW4&gt;=70,"B2",IF(EW4&gt;=65,"B3",IF(EW4&gt;=60,"C4",IF(EW4&gt;=55,"C5",IF(EW4&gt;=50,"C6",IF(EW4&gt;=45,"D7",IF(EW4&gt;=40,"E8",IF(EW4&gt;=6,"F",IF(EW4&lt;5,""))))))))))</f>
        <v/>
      </c>
      <c r="EZ4" s="123" t="str">
        <f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1</v>
      </c>
      <c r="FB4" s="108" t="str">
        <f>Data!B2</f>
        <v>ALI AHMED ASHEMI</v>
      </c>
      <c r="FC4" s="109"/>
      <c r="FD4" s="109"/>
      <c r="FE4" s="109"/>
      <c r="FF4" s="109"/>
      <c r="FG4" s="129">
        <f>SUM(FC4:FF4)</f>
        <v>0</v>
      </c>
      <c r="FH4" s="129"/>
      <c r="FI4" s="129">
        <f>FG4+FH4</f>
        <v>0</v>
      </c>
      <c r="FJ4" s="129" t="str">
        <f>IF(FI4&lt;10,"",RANK(FI4,FI$4:FI$57))</f>
        <v/>
      </c>
      <c r="FK4" s="129" t="str">
        <f>IF(FI4&gt;=75,"A",IF(FI4&gt;=70,"B2",IF(FI4&gt;=50,"C",IF(FI4&gt;=45,"D",IF(FI4&gt;=40,"E",IF(FI4&gt;=6,"F",IF(FI4&lt;5,"")))))))</f>
        <v/>
      </c>
      <c r="FL4" s="129" t="str">
        <f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1</v>
      </c>
      <c r="FN4" s="108" t="str">
        <f>Data!B2</f>
        <v>ALI AHMED ASHEMI</v>
      </c>
      <c r="FO4" s="109"/>
      <c r="FP4" s="109"/>
      <c r="FQ4" s="109"/>
      <c r="FR4" s="109"/>
      <c r="FS4" s="130">
        <f>SUM(FO4:FR4)</f>
        <v>0</v>
      </c>
      <c r="FT4" s="130"/>
      <c r="FU4" s="130">
        <f>FS4+FT4</f>
        <v>0</v>
      </c>
      <c r="FV4" s="130" t="str">
        <f>IF(FU4&lt;10,"",RANK(FU4,FU$4:FU$57))</f>
        <v/>
      </c>
      <c r="FW4" s="130" t="str">
        <f>IF(FU4&gt;=75,"A",IF(FU4&gt;=70,"B2",IF(FU4&gt;=50,"C",IF(FU4&gt;=45,"D",IF(FU4&gt;=40,"E",IF(FU4&gt;=6,"F",IF(FU4&lt;5,"")))))))</f>
        <v/>
      </c>
      <c r="FX4" s="130" t="str">
        <f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1</v>
      </c>
      <c r="FZ4" s="108" t="str">
        <f>Data!B2</f>
        <v>ALI AHMED ASHEMI</v>
      </c>
      <c r="GA4" s="109">
        <v>7</v>
      </c>
      <c r="GB4" s="109">
        <v>7</v>
      </c>
      <c r="GC4" s="109">
        <v>8</v>
      </c>
      <c r="GD4" s="109">
        <v>7</v>
      </c>
      <c r="GE4" s="131">
        <f>SUM(GA4:GD4)</f>
        <v>29</v>
      </c>
      <c r="GF4" s="131">
        <v>26</v>
      </c>
      <c r="GG4" s="131">
        <f>GE4+GF4</f>
        <v>55</v>
      </c>
      <c r="GH4" s="131">
        <f>IF(GG4&lt;10,"",RANK(GG4,GG$4:GG$57))</f>
        <v>21</v>
      </c>
      <c r="GI4" s="131" t="str">
        <f>IF(GG4&gt;=75,"A",IF(GG4&gt;=70,"B2",IF(GG4&gt;=50,"C",IF(GG4&gt;=45,"D",IF(GG4&gt;=40,"E",IF(GG4&gt;=6,"F",IF(GG4&lt;5,"")))))))</f>
        <v>C</v>
      </c>
      <c r="GJ4" s="131" t="str">
        <f>IF(GG4&gt;=75,"Excellent",IF(GG4&gt;=70,"V.Good",IF(GG4&gt;=65,"Good",IF(GG4&gt;=60,"Credit",IF(GG4&gt;=55,"Credit",IF(GG4&gt;=50,"Credit",IF(GG4&gt;=45,"Pass",IF(GG4&gt;=40,"Pass",IF(GG4&gt;=6,"Fail",IF(GG4&lt;5,""))))))))))</f>
        <v>Credit</v>
      </c>
      <c r="GK4">
        <v>1</v>
      </c>
      <c r="GL4" s="108" t="str">
        <f>Data!B2</f>
        <v>ALI AHMED ASHEMI</v>
      </c>
      <c r="GM4" s="132"/>
      <c r="GN4" s="132"/>
      <c r="GO4" s="132"/>
      <c r="GP4" s="132"/>
      <c r="GQ4" s="133">
        <f>SUM(GM4:GP4)</f>
        <v>0</v>
      </c>
      <c r="GR4" s="132"/>
      <c r="GS4" s="133">
        <f>GQ4+GR4</f>
        <v>0</v>
      </c>
      <c r="GT4" s="133" t="str">
        <f>IF(GS4&lt;10,"",RANK(GS4,GS$4:GS$57))</f>
        <v/>
      </c>
      <c r="GU4" s="133" t="str">
        <f>IF(GS4&gt;=75,"A",IF(GS4&gt;=70,"B2",IF(GS4&gt;=50,"C",IF(GS4&gt;=45,"D",IF(GS4&gt;=40,"E",IF(GS4&gt;=6,"F",IF(GS4&lt;5,"")))))))</f>
        <v/>
      </c>
      <c r="GV4" s="133" t="str">
        <f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1</v>
      </c>
      <c r="GX4" s="108" t="str">
        <f>Data!B2</f>
        <v>ALI AHMED ASHEMI</v>
      </c>
      <c r="GY4" s="109"/>
      <c r="GZ4" s="109"/>
      <c r="HA4" s="109"/>
      <c r="HB4" s="109"/>
      <c r="HC4" s="119">
        <f>SUM(GY4:HB4)</f>
        <v>0</v>
      </c>
      <c r="HD4" s="119"/>
      <c r="HE4" s="119">
        <f>HC4+HD4</f>
        <v>0</v>
      </c>
      <c r="HF4" s="119" t="str">
        <f>IF(HE4&lt;10,"",RANK(HE4,HE$4:HE$57))</f>
        <v/>
      </c>
      <c r="HG4" s="119" t="str">
        <f>IF(HE4&gt;=75,"A",IF(HE4&gt;=70,"B2",IF(HE4&gt;=50,"C",IF(HE4&gt;=45,"D",IF(HE4&gt;=40,"E",IF(HE4&gt;=6,"F",IF(HE4&lt;5,"")))))))</f>
        <v/>
      </c>
      <c r="HH4" s="119" t="str">
        <f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1</v>
      </c>
      <c r="HJ4" s="108" t="str">
        <f>Data!B2</f>
        <v>ALI AHMED ASHEMI</v>
      </c>
      <c r="HK4" s="134"/>
      <c r="HL4" s="135"/>
      <c r="HM4" s="135"/>
      <c r="HN4" s="135"/>
      <c r="HO4" s="136">
        <f>SUM(HK4:HN4)</f>
        <v>0</v>
      </c>
      <c r="HP4" s="134"/>
      <c r="HQ4" s="136">
        <f>HO4+HP4</f>
        <v>0</v>
      </c>
      <c r="HR4" s="136" t="str">
        <f>IF(HQ4&lt;10,"",RANK(HQ4,HQ$4:HQ$57))</f>
        <v/>
      </c>
      <c r="HS4" s="136" t="str">
        <f>IF(HQ4&gt;=75,"A",IF(HQ4&gt;=70,"B2",IF(HQ4&gt;=50,"C",IF(HQ4&gt;=45,"D",IF(HQ4&gt;=40,"E",IF(HQ4&gt;=6,"F",IF(HQ4&lt;5,"")))))))</f>
        <v/>
      </c>
      <c r="HT4" s="136" t="str">
        <f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1</v>
      </c>
      <c r="HV4" s="108" t="str">
        <f>Data!B2</f>
        <v>ALI AHMED ASHEMI</v>
      </c>
      <c r="HW4" s="109"/>
      <c r="HX4" s="109"/>
      <c r="HY4" s="109"/>
      <c r="HZ4" s="109"/>
      <c r="IA4" s="117">
        <f>SUM(HW4:HZ4)</f>
        <v>0</v>
      </c>
      <c r="IB4" s="117"/>
      <c r="IC4" s="117">
        <f>IA4+IB4</f>
        <v>0</v>
      </c>
      <c r="ID4" s="117" t="str">
        <f>IF(IC4&lt;10,"",RANK(IC4,IC$4:IC$57))</f>
        <v/>
      </c>
      <c r="IE4" s="117" t="str">
        <f>IF(IC4&gt;=75,"A",IF(IC4&gt;=70,"B2",IF(IC4&gt;=50,"C",IF(IC4&gt;=45,"D",IF(IC4&gt;=40,"E",IF(IC4&gt;=6,"F",IF(IC4&lt;5,"")))))))</f>
        <v/>
      </c>
      <c r="IF4" s="117" t="str">
        <f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1</v>
      </c>
      <c r="IH4" s="108" t="str">
        <f>Data!B2</f>
        <v>ALI AHMED ASHEMI</v>
      </c>
      <c r="II4" s="109"/>
      <c r="IJ4" s="109"/>
      <c r="IK4" s="109"/>
      <c r="IL4" s="109"/>
      <c r="IM4" s="137">
        <f>SUM(II4:IL4)</f>
        <v>0</v>
      </c>
      <c r="IN4" s="137"/>
      <c r="IO4" s="137">
        <f>IM4+IN4</f>
        <v>0</v>
      </c>
      <c r="IP4" s="137" t="str">
        <f>IF(IO4&lt;10,"",RANK(IO4,IO$4:IO$57))</f>
        <v/>
      </c>
      <c r="IQ4" s="137" t="str">
        <f>IF(IO4&gt;=75,"A",IF(IO4&gt;=70,"B2",IF(IO4&gt;=50,"C",IF(IO4&gt;=45,"D",IF(IO4&gt;=40,"E",IF(IO4&gt;=6,"F",IF(IO4&lt;5,"")))))))</f>
        <v/>
      </c>
      <c r="IR4" s="137" t="str">
        <f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1</v>
      </c>
      <c r="IT4" s="108" t="str">
        <f>IH4</f>
        <v>ALI AHMED ASHEMI</v>
      </c>
      <c r="IU4" s="110">
        <v>6</v>
      </c>
      <c r="IV4" s="110">
        <v>4</v>
      </c>
      <c r="IW4" s="110">
        <v>1</v>
      </c>
      <c r="IX4" s="110">
        <v>5</v>
      </c>
      <c r="IY4" s="111">
        <f>SUM(IU4:IX4)</f>
        <v>16</v>
      </c>
      <c r="IZ4" s="113">
        <v>42</v>
      </c>
      <c r="JA4" s="131">
        <f>IY4+IZ4</f>
        <v>58</v>
      </c>
      <c r="JB4" s="131">
        <f>IF(JA4&lt;10,"",RANK(JA4,JA$4:JA$57))</f>
        <v>13</v>
      </c>
      <c r="JC4" s="131" t="str">
        <f>IF(JA4&gt;=75,"A",IF(JA4&gt;=70,"B2",IF(JA4&gt;=50,"C",IF(JA4&gt;=45,"D",IF(JA4&gt;=40,"E",IF(JA4&gt;=6,"F",IF(JA4&lt;5,"")))))))</f>
        <v>C</v>
      </c>
      <c r="JD4" s="131" t="str">
        <f>IF(JA4&gt;=75,"Excellent",IF(JA4&gt;=70,"V.Good",IF(JA4&gt;=65,"Good",IF(JA4&gt;=60,"Credit",IF(JA4&gt;=55,"Credit",IF(JA4&gt;=50,"Credit",IF(JA4&gt;=45,"Pass",IF(JA4&gt;=40,"Pass",IF(JA4&gt;=6,"Fail",IF(JA4&lt;5,""))))))))))</f>
        <v>Credit</v>
      </c>
      <c r="JE4">
        <v>1</v>
      </c>
      <c r="JF4" s="108" t="str">
        <f>IT4</f>
        <v>ALI AHMED ASHEMI</v>
      </c>
      <c r="JG4" s="139"/>
      <c r="JH4" s="139"/>
      <c r="JI4" s="139"/>
      <c r="JJ4" s="139"/>
      <c r="JK4" s="113">
        <f>SUM(JG4:JJ4)</f>
        <v>0</v>
      </c>
      <c r="JL4" s="139"/>
      <c r="JM4" s="113">
        <f>JK4+JL4</f>
        <v>0</v>
      </c>
      <c r="JN4" s="113" t="str">
        <f>IF(JM4&lt;10,"",RANK(JM4,JM$4:JM$57))</f>
        <v/>
      </c>
      <c r="JO4" s="113" t="str">
        <f>IF(JM4&gt;=75,"A",IF(JM4&gt;=70,"B2",IF(JM4&gt;=50,"C",IF(JM4&gt;=45,"D",IF(JM4&gt;=40,"E",IF(JM4&gt;=6,"F",IF(JM4&lt;5,"")))))))</f>
        <v/>
      </c>
      <c r="JP4" s="113" t="str">
        <f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1</v>
      </c>
      <c r="JR4" s="108" t="str">
        <f>JF4</f>
        <v>ALI AHMED ASHEMI</v>
      </c>
      <c r="JS4" s="140"/>
      <c r="JT4" s="140"/>
      <c r="JU4" s="140"/>
      <c r="JV4" s="140"/>
      <c r="JW4" s="111">
        <f>SUM(JS4:JV4)</f>
        <v>0</v>
      </c>
      <c r="JX4" s="141"/>
      <c r="JY4" s="111">
        <f t="shared" ref="JY4:JY53" si="0">JW4+JX4</f>
        <v>0</v>
      </c>
      <c r="JZ4" s="111" t="str">
        <f>IF(JY4&lt;10,"",RANK(JY4,JY$4:JY$57))</f>
        <v/>
      </c>
      <c r="KA4" s="111" t="str">
        <f>IF(JY4&gt;=75,"A",IF(JY4&gt;=70,"B2",IF(JY4&gt;=50,"C",IF(JY4&gt;=45,"D",IF(JY4&gt;=40,"E",IF(JY4&gt;=6,"F",IF(JY4&lt;5,"")))))))</f>
        <v/>
      </c>
      <c r="KB4" s="111" t="str">
        <f>IF(JY4&gt;=75,"Excellent",IF(JY4&gt;=70,"V.Good",IF(JY4&gt;=65,"Good",IF(JY4&gt;=60,"Credit",IF(JY4&gt;=55,"Credit",IF(JY4&gt;=50,"Credit",IF(JY4&gt;=45,"Pass",IF(JY4&gt;=40,"Pass",IF(JY4&gt;=6,"Fail",IF(JY4&lt;5,""))))))))))</f>
        <v/>
      </c>
      <c r="KD4" s="47"/>
      <c r="KE4" s="47"/>
      <c r="KF4" s="47"/>
      <c r="KG4" s="47"/>
      <c r="KH4" s="47"/>
      <c r="KI4" s="47"/>
      <c r="KJ4" s="47"/>
      <c r="KK4" s="47"/>
      <c r="KM4" s="47"/>
      <c r="KN4" s="47"/>
      <c r="KO4" s="47"/>
      <c r="KP4" s="47"/>
      <c r="KQ4" s="47"/>
      <c r="KR4" s="47"/>
      <c r="KS4" s="47"/>
      <c r="KT4" s="47"/>
      <c r="KU4" s="47"/>
      <c r="KV4" s="47"/>
    </row>
    <row r="5" spans="1:308" ht="23.25">
      <c r="A5" s="211">
        <v>2</v>
      </c>
      <c r="B5" s="108" t="str">
        <f>Data!B3</f>
        <v>ALHAJI MUSTAPHA ABUBAKAR</v>
      </c>
      <c r="C5" s="109">
        <v>4</v>
      </c>
      <c r="D5" s="109">
        <v>2</v>
      </c>
      <c r="E5" s="109">
        <v>1</v>
      </c>
      <c r="F5" s="109">
        <v>1</v>
      </c>
      <c r="G5" s="111">
        <f t="shared" ref="G5:G11" si="1">SUM(C5:F5)</f>
        <v>8</v>
      </c>
      <c r="H5" s="111">
        <v>23</v>
      </c>
      <c r="I5" s="111">
        <f t="shared" ref="I5:I38" si="2">G5+H5</f>
        <v>31</v>
      </c>
      <c r="J5" s="110">
        <f t="shared" ref="J5:J57" si="3">IF(I5&lt;10,"",RANK(I5,I$4:I$57))</f>
        <v>30</v>
      </c>
      <c r="K5" s="110" t="str">
        <f t="shared" ref="K5:K57" si="4">IF(I5&gt;=75,"A1",IF(I5&gt;=70,"B2",IF(I5&gt;=65,"B3",IF(I5&gt;=60,"C4",IF(I5&gt;=55,"C5",IF(I5&gt;=50,"C6",IF(I5&gt;=45,"D7",IF(I5&gt;=40,"E8",IF(I5&gt;=6,"F",IF(I5&lt;5,""))))))))))</f>
        <v>F</v>
      </c>
      <c r="L5" s="110" t="str">
        <f t="shared" ref="L5:L57" si="5">IF(I5&gt;=75,"Excellent",IF(I5&gt;=70,"V.Good",IF(I5&gt;=65,"Good",IF(I5&gt;=60,"Credit",IF(I5&gt;=55,"Credit",IF(I5&gt;=50,"Credit",IF(I5&gt;=45,"Pass",IF(I5&gt;=40,"Pass",IF(I5&gt;=6,"Fail",IF(I5&lt;5,""))))))))))</f>
        <v>Fail</v>
      </c>
      <c r="M5" s="48">
        <v>2</v>
      </c>
      <c r="N5" s="108" t="str">
        <f>Data!B3</f>
        <v>ALHAJI MUSTAPHA ABUBAKAR</v>
      </c>
      <c r="O5" s="109">
        <v>4</v>
      </c>
      <c r="P5" s="109">
        <v>2</v>
      </c>
      <c r="Q5" s="109">
        <v>1</v>
      </c>
      <c r="R5" s="109">
        <v>1</v>
      </c>
      <c r="S5" s="111">
        <f t="shared" ref="S5:S57" si="6">SUM(O5:R5)</f>
        <v>8</v>
      </c>
      <c r="T5" s="111">
        <v>23</v>
      </c>
      <c r="U5" s="111">
        <f t="shared" ref="U5:U57" si="7">S5+T5</f>
        <v>31</v>
      </c>
      <c r="V5" s="111">
        <f t="shared" ref="V5:V57" si="8">IF(U5&lt;10,"",RANK(U5,U$4:U$57))</f>
        <v>20</v>
      </c>
      <c r="W5" s="111" t="str">
        <f t="shared" ref="W5:W51" si="9">IF(U5&gt;=75,"A1",IF(U5&gt;=70,"B2",IF(U5&gt;=65,"B3",IF(U5&gt;=60,"C4",IF(U5&gt;=55,"C5",IF(U5&gt;=50,"C6",IF(U5&gt;=45,"D7",IF(U5&gt;=40,"E8",IF(U5&gt;=6,"F",IF(U5&lt;5,""))))))))))</f>
        <v>F</v>
      </c>
      <c r="X5" s="111" t="str">
        <f t="shared" ref="X5:X57" si="10">IF(U5&gt;=75,"Excellent",IF(U5&gt;=70,"V.Good",IF(U5&gt;=65,"Good",IF(U5&gt;=60,"Credit",IF(U5&gt;=55,"Credit",IF(U5&gt;=50,"Credit",IF(U5&gt;=45,"Pass",IF(U5&gt;=40,"Pass",IF(U5&gt;=6,"Fail",IF(U5&lt;5,""))))))))))</f>
        <v>Fail</v>
      </c>
      <c r="Y5" s="42">
        <v>2</v>
      </c>
      <c r="Z5" s="108" t="str">
        <f>Data!B3</f>
        <v>ALHAJI MUSTAPHA ABUBAKAR</v>
      </c>
      <c r="AA5" s="109">
        <v>4</v>
      </c>
      <c r="AB5" s="109">
        <v>2</v>
      </c>
      <c r="AC5" s="109">
        <v>1</v>
      </c>
      <c r="AD5" s="109">
        <v>1</v>
      </c>
      <c r="AE5" s="111">
        <f t="shared" ref="AE5:AE30" si="11">SUM(AA5:AD5)</f>
        <v>8</v>
      </c>
      <c r="AF5" s="112">
        <v>42</v>
      </c>
      <c r="AG5" s="113">
        <f t="shared" ref="AG5:AG57" si="12">AE5+AF5</f>
        <v>50</v>
      </c>
      <c r="AH5" s="113">
        <f t="shared" ref="AH5:AH57" si="13">IF(AG5&lt;10,"",RANK(AG5,AG$4:AG$57))</f>
        <v>36</v>
      </c>
      <c r="AI5" s="113" t="str">
        <f t="shared" ref="AI5:AI51" si="14">IF(AG5&gt;=75,"A1",IF(AG5&gt;=70,"B2",IF(AG5&gt;=65,"B3",IF(AG5&gt;=60,"C4",IF(AG5&gt;=55,"C5",IF(AG5&gt;=50,"C6",IF(AG5&gt;=45,"D7",IF(AG5&gt;=40,"E8",IF(AG5&gt;=6,"F",IF(AG5&lt;5,""))))))))))</f>
        <v>C6</v>
      </c>
      <c r="AJ5" s="113" t="str">
        <f t="shared" ref="AJ5:AJ57" si="15">IF(AG5&gt;=75,"Excellent",IF(AG5&gt;=70,"V.Good",IF(AG5&gt;=65,"Good",IF(AG5&gt;=60,"Credit",IF(AG5&gt;=55,"Credit",IF(AG5&gt;=50,"Credit",IF(AG5&gt;=45,"Pass",IF(AG5&gt;=40,"Pass",IF(AG5&gt;=6,"Fail",IF(AG5&lt;5,""))))))))))</f>
        <v>Credit</v>
      </c>
      <c r="AK5" s="42">
        <v>2</v>
      </c>
      <c r="AL5" s="108" t="str">
        <f>Data!B3</f>
        <v>ALHAJI MUSTAPHA ABUBAKAR</v>
      </c>
      <c r="AM5" s="114"/>
      <c r="AN5" s="114"/>
      <c r="AO5" s="114"/>
      <c r="AP5" s="114"/>
      <c r="AQ5" s="115">
        <f t="shared" ref="AQ5:AQ57" si="16">SUM(AM5:AP5)</f>
        <v>0</v>
      </c>
      <c r="AR5" s="114"/>
      <c r="AS5" s="115">
        <f t="shared" ref="AS5:AS57" si="17">AQ5+AR5</f>
        <v>0</v>
      </c>
      <c r="AT5" s="115" t="str">
        <f t="shared" ref="AT5:AT57" si="18">IF(AS5&lt;10,"",RANK(AS5,AS$4:AS$57))</f>
        <v/>
      </c>
      <c r="AU5" s="115" t="str">
        <f t="shared" ref="AU5:AU51" si="19">IF(AS5&gt;=75,"A1",IF(AS5&gt;=70,"B2",IF(AS5&gt;=65,"B3",IF(AS5&gt;=60,"C4",IF(AS5&gt;=55,"C5",IF(AS5&gt;=50,"C6",IF(AS5&gt;=45,"D7",IF(AS5&gt;=40,"E8",IF(AS5&gt;=6,"F",IF(AS5&lt;5,""))))))))))</f>
        <v/>
      </c>
      <c r="AV5" s="115" t="str">
        <f t="shared" ref="AV5:AV53" si="20">IF(AS5&gt;=75,"Excellent",IF(AS5&gt;=70,"V.Good",IF(AS5&gt;=65,"Good",IF(AS5&gt;=60,"Credit",IF(AS5&gt;=55,"Credit",IF(AS5&gt;=50,"Credit",IF(AS5&gt;=45,"Pass",IF(AS5&gt;=40,"Pass",IF(AS5&gt;=6,"Fail",IF(AS5&lt;5,""))))))))))</f>
        <v/>
      </c>
      <c r="AW5" s="42">
        <v>2</v>
      </c>
      <c r="AX5" s="108" t="str">
        <f>Data!B3</f>
        <v>ALHAJI MUSTAPHA ABUBAKAR</v>
      </c>
      <c r="AY5" s="116"/>
      <c r="AZ5" s="116"/>
      <c r="BA5" s="116"/>
      <c r="BB5" s="116"/>
      <c r="BC5" s="117">
        <f t="shared" ref="BC5:BC53" si="21">SUM(AY5:BB5)</f>
        <v>0</v>
      </c>
      <c r="BD5" s="116"/>
      <c r="BE5" s="117">
        <f t="shared" ref="BE5:BE53" si="22">BC5+BD5</f>
        <v>0</v>
      </c>
      <c r="BF5" s="117" t="str">
        <f t="shared" ref="BF5:BF57" si="23">IF(BE5&lt;10,"",RANK(BE5,BE$4:BE$57))</f>
        <v/>
      </c>
      <c r="BG5" s="117" t="str">
        <f t="shared" ref="BG5:BG53" si="24">IF(BE5&gt;=75,"A1",IF(BE5&gt;=70,"B2",IF(BE5&gt;=65,"B3",IF(BE5&gt;=60,"C4",IF(BE5&gt;=55,"C5",IF(BE5&gt;=50,"C6",IF(BE5&gt;=45,"D7",IF(BE5&gt;=40,"E8",IF(BE5&gt;=6,"F",IF(BE5&lt;5,""))))))))))</f>
        <v/>
      </c>
      <c r="BH5" s="117" t="str">
        <f t="shared" ref="BH5:BH53" si="25">IF(BE5&gt;=75,"Excellent",IF(BE5&gt;=70,"V.Good",IF(BE5&gt;=65,"Good",IF(BE5&gt;=60,"Credit",IF(BE5&gt;=55,"Credit",IF(BE5&gt;=50,"Credit",IF(BE5&gt;=45,"Pass",IF(BE5&gt;=40,"Pass",IF(BE5&gt;=6,"Fail",IF(BE5&lt;5,""))))))))))</f>
        <v/>
      </c>
      <c r="BI5" s="67">
        <v>2</v>
      </c>
      <c r="BJ5" s="108" t="str">
        <f>Data!B3</f>
        <v>ALHAJI MUSTAPHA ABUBAKAR</v>
      </c>
      <c r="BK5" s="110">
        <v>4</v>
      </c>
      <c r="BL5" s="110">
        <v>2</v>
      </c>
      <c r="BM5" s="110">
        <v>1</v>
      </c>
      <c r="BN5" s="110">
        <v>1</v>
      </c>
      <c r="BO5" s="111">
        <f t="shared" ref="BO5:BO38" si="26">SUM(BK5:BN5)</f>
        <v>8</v>
      </c>
      <c r="BP5" s="113">
        <v>42</v>
      </c>
      <c r="BQ5" s="119">
        <f t="shared" ref="BQ5:BQ53" si="27">BO5+BP5</f>
        <v>50</v>
      </c>
      <c r="BR5" s="119">
        <f t="shared" ref="BR5:BR58" si="28">IF(BQ5&lt;10,"",RANK(BQ5,BQ$4:BQ$57))</f>
        <v>25</v>
      </c>
      <c r="BS5" s="119" t="str">
        <f t="shared" ref="BS5:BS52" si="29">IF(BQ5&gt;=75,"A1",IF(BQ5&gt;=70,"B2",IF(BQ5&gt;=65,"B3",IF(BQ5&gt;=60,"C4",IF(BQ5&gt;=55,"C5",IF(BQ5&gt;=50,"C6",IF(BQ5&gt;=45,"D7",IF(BQ5&gt;=40,"E8",IF(BQ5&gt;=6,"F",IF(BQ5&lt;5,""))))))))))</f>
        <v>C6</v>
      </c>
      <c r="BT5" s="119" t="str">
        <f t="shared" ref="BT5:BT53" si="30">IF(BQ5&gt;=75,"Excellent",IF(BQ5&gt;=70,"V.Good",IF(BQ5&gt;=65,"Good",IF(BQ5&gt;=60,"Credit",IF(BQ5&gt;=55,"Credit",IF(BQ5&gt;=50,"Credit",IF(BQ5&gt;=45,"Pass",IF(BQ5&gt;=40,"Pass",IF(BQ5&gt;=6,"Fail",IF(BQ5&lt;5,""))))))))))</f>
        <v>Credit</v>
      </c>
      <c r="BU5">
        <v>2</v>
      </c>
      <c r="BV5" s="108" t="str">
        <f>Data!B3</f>
        <v>ALHAJI MUSTAPHA ABUBAKAR</v>
      </c>
      <c r="BW5" s="120">
        <v>7</v>
      </c>
      <c r="BX5" s="120">
        <v>2</v>
      </c>
      <c r="BY5" s="120">
        <v>8</v>
      </c>
      <c r="BZ5" s="120">
        <v>5</v>
      </c>
      <c r="CA5" s="121">
        <f t="shared" ref="CA5:CA53" si="31">SUM(BW5:BZ5)</f>
        <v>22</v>
      </c>
      <c r="CB5" s="120">
        <v>15</v>
      </c>
      <c r="CC5" s="121">
        <f t="shared" ref="CC5:CC53" si="32">CA5+CB5</f>
        <v>37</v>
      </c>
      <c r="CD5" s="121">
        <f t="shared" ref="CD5:CD58" si="33">IF(CC5&lt;10,"",RANK(CC5,CC$4:CC$57))</f>
        <v>42</v>
      </c>
      <c r="CE5" s="121" t="str">
        <f t="shared" ref="CE5:CE53" si="34">IF(CC5&gt;=75,"A1",IF(CC5&gt;=70,"B2",IF(CC5&gt;=65,"B3",IF(CC5&gt;=60,"C4",IF(CC5&gt;=55,"C5",IF(CC5&gt;=50,"C6",IF(CC5&gt;=45,"D7",IF(CC5&gt;=40,"E8",IF(CC5&gt;=6,"F",IF(CC5&lt;5,""))))))))))</f>
        <v>F</v>
      </c>
      <c r="CF5" s="121" t="str">
        <f t="shared" ref="CF5:CF53" si="35">IF(CC5&gt;=75,"Excellent",IF(CC5&gt;=70,"V.Good",IF(CC5&gt;=65,"Good",IF(CC5&gt;=60,"Credit",IF(CC5&gt;=55,"Credit",IF(CC5&gt;=50,"Credit",IF(CC5&gt;=45,"Pass",IF(CC5&gt;=40,"Pass",IF(CC5&gt;=6,"Fail",IF(CC5&lt;5,""))))))))))</f>
        <v>Fail</v>
      </c>
      <c r="CG5">
        <v>2</v>
      </c>
      <c r="CH5" s="108" t="str">
        <f>Data!B3</f>
        <v>ALHAJI MUSTAPHA ABUBAKAR</v>
      </c>
      <c r="CI5" s="109"/>
      <c r="CJ5" s="109"/>
      <c r="CK5" s="109"/>
      <c r="CL5" s="109"/>
      <c r="CM5" s="122">
        <f t="shared" ref="CM5:CM53" si="36">SUM(CI5:CL5)</f>
        <v>0</v>
      </c>
      <c r="CN5" s="122"/>
      <c r="CO5" s="122">
        <f t="shared" ref="CO5:CO53" si="37">CM5+CN5</f>
        <v>0</v>
      </c>
      <c r="CP5" s="122" t="str">
        <f t="shared" ref="CP5:CP58" si="38">IF(CO5&lt;10,"",RANK(CO5,CO$4:CO$57))</f>
        <v/>
      </c>
      <c r="CQ5" s="122" t="str">
        <f t="shared" ref="CQ5:CQ53" si="39">IF(CO5&gt;=75,"A1",IF(CO5&gt;=70,"B2",IF(CO5&gt;=65,"B3",IF(CO5&gt;=60,"C4",IF(CO5&gt;=55,"C5",IF(CO5&gt;=50,"C6",IF(CO5&gt;=45,"D7",IF(CO5&gt;=40,"E8",IF(CO5&gt;=6,"F",IF(CO5&lt;5,""))))))))))</f>
        <v/>
      </c>
      <c r="CR5" s="122" t="str">
        <f t="shared" ref="CR5:CR53" si="40">IF(CO5&gt;=75,"Excellent",IF(CO5&gt;=70,"V.Good",IF(CO5&gt;=65,"Good",IF(CO5&gt;=60,"Credit",IF(CO5&gt;=55,"Credit",IF(CO5&gt;=50,"Credit",IF(CO5&gt;=45,"Pass",IF(CO5&gt;=40,"Pass",IF(CO5&gt;=6,"Fail",IF(CO5&lt;5,""))))))))))</f>
        <v/>
      </c>
      <c r="CS5">
        <v>2</v>
      </c>
      <c r="CT5" s="108" t="str">
        <f>Data!B3</f>
        <v>ALHAJI MUSTAPHA ABUBAKAR</v>
      </c>
      <c r="CU5" s="43"/>
      <c r="CV5" s="43"/>
      <c r="CW5" s="142"/>
      <c r="CX5" s="43"/>
      <c r="CY5" s="123">
        <f t="shared" ref="CY5:CY53" si="41">SUM(CU5:CX5)</f>
        <v>0</v>
      </c>
      <c r="CZ5" s="43"/>
      <c r="DA5" s="123">
        <f t="shared" ref="DA5:DA53" si="42">CY5+CZ5</f>
        <v>0</v>
      </c>
      <c r="DB5" s="123" t="str">
        <f t="shared" ref="DB5:DB58" si="43">IF(DA5&lt;10,"",RANK(DA5,DA$4:DA$57))</f>
        <v/>
      </c>
      <c r="DC5" s="123" t="str">
        <f t="shared" ref="DC5:DC53" si="44">IF(DA5&gt;=75,"A1",IF(DA5&gt;=70,"B2",IF(DA5&gt;=65,"B3",IF(DA5&gt;=60,"C4",IF(DA5&gt;=55,"C5",IF(DA5&gt;=50,"C6",IF(DA5&gt;=45,"D7",IF(DA5&gt;=40,"E8",IF(DA5&gt;=6,"F",IF(DA5&lt;5,""))))))))))</f>
        <v/>
      </c>
      <c r="DD5" s="123" t="str">
        <f t="shared" ref="DD5:DD53" si="45">IF(DA5&gt;=75,"Excellent",IF(DA5&gt;=70,"V.Good",IF(DA5&gt;=65,"Good",IF(DA5&gt;=60,"Credit",IF(DA5&gt;=55,"Credit",IF(DA5&gt;=50,"Credit",IF(DA5&gt;=45,"Pass",IF(DA5&gt;=40,"Pass",IF(DA5&gt;=6,"Fail",IF(DA5&lt;5,""))))))))))</f>
        <v/>
      </c>
      <c r="DE5">
        <v>2</v>
      </c>
      <c r="DF5" s="108" t="str">
        <f>Data!B3</f>
        <v>ALHAJI MUSTAPHA ABUBAKAR</v>
      </c>
      <c r="DG5" s="109">
        <v>5</v>
      </c>
      <c r="DH5" s="109">
        <v>1</v>
      </c>
      <c r="DI5" s="109">
        <v>2</v>
      </c>
      <c r="DJ5" s="109">
        <v>5</v>
      </c>
      <c r="DK5" s="117">
        <f t="shared" ref="DK5:DK53" si="46">SUM(DG5:DJ5)</f>
        <v>13</v>
      </c>
      <c r="DL5" s="116">
        <v>17</v>
      </c>
      <c r="DM5" s="117">
        <f t="shared" ref="DM5:DM53" si="47">DK5+DL5</f>
        <v>30</v>
      </c>
      <c r="DN5" s="117">
        <f t="shared" ref="DN5:DN58" si="48">IF(DM5&lt;10,"",RANK(DM5,DM$4:DM$57))</f>
        <v>12</v>
      </c>
      <c r="DO5" s="117" t="str">
        <f t="shared" ref="DO5:DO53" si="49">IF(DM5&gt;=75,"A1",IF(DM5&gt;=70,"B2",IF(DM5&gt;=65,"B3",IF(DM5&gt;=60,"C4",IF(DM5&gt;=55,"C5",IF(DM5&gt;=50,"C6",IF(DM5&gt;=45,"D7",IF(DM5&gt;=40,"E8",IF(DM5&gt;=6,"F",IF(DM5&lt;5,""))))))))))</f>
        <v>F</v>
      </c>
      <c r="DP5" s="117" t="str">
        <f t="shared" ref="DP5:DP53" si="50">IF(DM5&gt;=75,"Excellent",IF(DM5&gt;=70,"V.Good",IF(DM5&gt;=65,"Good",IF(DM5&gt;=60,"Credit",IF(DM5&gt;=55,"Credit",IF(DM5&gt;=50,"Credit",IF(DM5&gt;=45,"Pass",IF(DM5&gt;=40,"Pass",IF(DM5&gt;=6,"Fail",IF(DM5&lt;5,""))))))))))</f>
        <v>Fail</v>
      </c>
      <c r="DQ5">
        <v>2</v>
      </c>
      <c r="DR5" s="108" t="str">
        <f>Data!B3</f>
        <v>ALHAJI MUSTAPHA ABUBAKAR</v>
      </c>
      <c r="DS5" s="124"/>
      <c r="DT5" s="124"/>
      <c r="DU5" s="143"/>
      <c r="DV5" s="124"/>
      <c r="DW5" s="125">
        <f t="shared" ref="DW5:DW53" si="51">SUM(DS5:DV5)</f>
        <v>0</v>
      </c>
      <c r="DX5" s="126"/>
      <c r="DY5" s="125">
        <f t="shared" ref="DY5:DY53" si="52">DW5+DX5</f>
        <v>0</v>
      </c>
      <c r="DZ5" s="125" t="str">
        <f t="shared" ref="DZ5:DZ58" si="53">IF(DY5&lt;10,"",RANK(DY5,DY$4:DY$57))</f>
        <v/>
      </c>
      <c r="EA5" s="125" t="str">
        <f t="shared" ref="EA5:EA53" si="54">IF(DY5&gt;=75,"A1",IF(DY5&gt;=70,"B2",IF(DY5&gt;=65,"B3",IF(DY5&gt;=60,"C4",IF(DY5&gt;=55,"C5",IF(DY5&gt;=50,"C6",IF(DY5&gt;=45,"D7",IF(DY5&gt;=40,"E8",IF(DY5&gt;=6,"F",IF(DY5&lt;5,""))))))))))</f>
        <v/>
      </c>
      <c r="EB5" s="125" t="str">
        <f t="shared" ref="EB5:EB53" si="55">IF(DY5&gt;=75,"Excellent",IF(DY5&gt;=70,"V.Good",IF(DY5&gt;=65,"Good",IF(DY5&gt;=60,"Credit",IF(DY5&gt;=55,"Credit",IF(DY5&gt;=50,"Credit",IF(DY5&gt;=45,"Pass",IF(DY5&gt;=40,"Pass",IF(DY5&gt;=6,"Fail",IF(DY5&lt;5,""))))))))))</f>
        <v/>
      </c>
      <c r="EC5">
        <v>2</v>
      </c>
      <c r="ED5" s="108" t="str">
        <f>Data!B3</f>
        <v>ALHAJI MUSTAPHA ABUBAKAR</v>
      </c>
      <c r="EE5" s="109"/>
      <c r="EF5" s="109"/>
      <c r="EG5" s="109"/>
      <c r="EH5" s="109"/>
      <c r="EI5" s="127">
        <f t="shared" ref="EI5:EI53" si="56">SUM(EE5:EH5)</f>
        <v>0</v>
      </c>
      <c r="EJ5" s="127"/>
      <c r="EK5" s="127">
        <f t="shared" ref="EK5:EK53" si="57">EI5+EJ5</f>
        <v>0</v>
      </c>
      <c r="EL5" s="127" t="str">
        <f t="shared" ref="EL5:EL58" si="58">IF(EK5&lt;10,"",RANK(EK5,EK$4:EK$57))</f>
        <v/>
      </c>
      <c r="EM5" s="127" t="str">
        <f t="shared" ref="EM5:EM53" si="59">IF(EK5&gt;=75,"A1",IF(EK5&gt;=70,"B2",IF(EK5&gt;=65,"B3",IF(EK5&gt;=60,"C4",IF(EK5&gt;=55,"C5",IF(EK5&gt;=50,"C6",IF(EK5&gt;=45,"D7",IF(EK5&gt;=40,"E8",IF(EK5&gt;=6,"F",IF(EK5&lt;5,""))))))))))</f>
        <v/>
      </c>
      <c r="EN5" s="127" t="str">
        <f t="shared" ref="EN5:EN53" si="60">IF(EK5&gt;=75,"Excellent",IF(EK5&gt;=70,"V.Good",IF(EK5&gt;=65,"Good",IF(EK5&gt;=60,"Credit",IF(EK5&gt;=55,"Credit",IF(EK5&gt;=50,"Credit",IF(EK5&gt;=45,"Pass",IF(EK5&gt;=40,"Pass",IF(EK5&gt;=6,"Fail",IF(EK5&lt;5,""))))))))))</f>
        <v/>
      </c>
      <c r="EO5">
        <v>2</v>
      </c>
      <c r="EP5" s="128" t="str">
        <f>Data!B3</f>
        <v>ALHAJI MUSTAPHA ABUBAKAR</v>
      </c>
      <c r="EQ5" s="109"/>
      <c r="ER5" s="109"/>
      <c r="ES5" s="109"/>
      <c r="ET5" s="109"/>
      <c r="EU5" s="123">
        <f t="shared" ref="EU5:EU53" si="61">SUM(EQ5:ET5)</f>
        <v>0</v>
      </c>
      <c r="EV5" s="123"/>
      <c r="EW5" s="123">
        <f t="shared" ref="EW5:EW53" si="62">EU5+EV5</f>
        <v>0</v>
      </c>
      <c r="EX5" s="123" t="str">
        <f t="shared" ref="EX5:EX58" si="63">IF(EW5&lt;10,"",RANK(EW5,EW$4:EW$57))</f>
        <v/>
      </c>
      <c r="EY5" s="123" t="str">
        <f t="shared" ref="EY5:EY53" si="64">IF(EW5&gt;=75,"A1",IF(EW5&gt;=70,"B2",IF(EW5&gt;=65,"B3",IF(EW5&gt;=60,"C4",IF(EW5&gt;=55,"C5",IF(EW5&gt;=50,"C6",IF(EW5&gt;=45,"D7",IF(EW5&gt;=40,"E8",IF(EW5&gt;=6,"F",IF(EW5&lt;5,""))))))))))</f>
        <v/>
      </c>
      <c r="EZ5" s="123" t="str">
        <f t="shared" ref="EZ5:EZ53" si="65">IF(EW5&gt;=75,"Excellent",IF(EW5&gt;=70,"V.Good",IF(EW5&gt;=65,"Good",IF(EW5&gt;=60,"Credit",IF(EW5&gt;=55,"Credit",IF(EW5&gt;=50,"Credit",IF(EW5&gt;=45,"Pass",IF(EW5&gt;=40,"Pass",IF(EW5&gt;=6,"Fail",IF(EW5&lt;5,""))))))))))</f>
        <v/>
      </c>
      <c r="FA5">
        <v>2</v>
      </c>
      <c r="FB5" s="108" t="str">
        <f>Data!B3</f>
        <v>ALHAJI MUSTAPHA ABUBAKAR</v>
      </c>
      <c r="FC5" s="109"/>
      <c r="FD5" s="109"/>
      <c r="FE5" s="109"/>
      <c r="FF5" s="109"/>
      <c r="FG5" s="129">
        <f t="shared" ref="FG5:FG53" si="66">SUM(FC5:FF5)</f>
        <v>0</v>
      </c>
      <c r="FH5" s="129"/>
      <c r="FI5" s="129">
        <f t="shared" ref="FI5:FI53" si="67">FG5+FH5</f>
        <v>0</v>
      </c>
      <c r="FJ5" s="129" t="str">
        <f t="shared" ref="FJ5:FJ58" si="68">IF(FI5&lt;10,"",RANK(FI5,FI$4:FI$57))</f>
        <v/>
      </c>
      <c r="FK5" s="129" t="str">
        <f t="shared" ref="FK5:FK53" si="69">IF(FI5&gt;=75,"A",IF(FI5&gt;=70,"B2",IF(FI5&gt;=50,"C",IF(FI5&gt;=45,"D",IF(FI5&gt;=40,"E",IF(FI5&gt;=6,"F",IF(FI5&lt;5,"")))))))</f>
        <v/>
      </c>
      <c r="FL5" s="129" t="str">
        <f t="shared" ref="FL5:FL53" si="70">IF(FI5&gt;=75,"Excellent",IF(FI5&gt;=70,"V.Good",IF(FI5&gt;=65,"Good",IF(FI5&gt;=60,"Credit",IF(FI5&gt;=55,"Credit",IF(FI5&gt;=50,"Credit",IF(FI5&gt;=45,"Pass",IF(FI5&gt;=40,"Pass",IF(FI5&gt;=6,"Fail",IF(FI5&lt;5,""))))))))))</f>
        <v/>
      </c>
      <c r="FM5">
        <v>2</v>
      </c>
      <c r="FN5" s="108" t="str">
        <f>Data!B3</f>
        <v>ALHAJI MUSTAPHA ABUBAKAR</v>
      </c>
      <c r="FO5" s="109"/>
      <c r="FP5" s="109"/>
      <c r="FQ5" s="109"/>
      <c r="FR5" s="109"/>
      <c r="FS5" s="130">
        <f t="shared" ref="FS5:FS53" si="71">SUM(FO5:FR5)</f>
        <v>0</v>
      </c>
      <c r="FT5" s="130"/>
      <c r="FU5" s="130">
        <f t="shared" ref="FU5:FU53" si="72">FS5+FT5</f>
        <v>0</v>
      </c>
      <c r="FV5" s="130" t="str">
        <f t="shared" ref="FV5:FV58" si="73">IF(FU5&lt;10,"",RANK(FU5,FU$4:FU$57))</f>
        <v/>
      </c>
      <c r="FW5" s="130" t="str">
        <f t="shared" ref="FW5:FW53" si="74">IF(FU5&gt;=75,"A",IF(FU5&gt;=70,"B2",IF(FU5&gt;=50,"C",IF(FU5&gt;=45,"D",IF(FU5&gt;=40,"E",IF(FU5&gt;=6,"F",IF(FU5&lt;5,"")))))))</f>
        <v/>
      </c>
      <c r="FX5" s="130" t="str">
        <f t="shared" ref="FX5:FX53" si="75">IF(FU5&gt;=75,"Excellent",IF(FU5&gt;=70,"V.Good",IF(FU5&gt;=65,"Good",IF(FU5&gt;=60,"Credit",IF(FU5&gt;=55,"Credit",IF(FU5&gt;=50,"Credit",IF(FU5&gt;=45,"Pass",IF(FU5&gt;=40,"Pass",IF(FU5&gt;=6,"Fail",IF(FU5&lt;5,""))))))))))</f>
        <v/>
      </c>
      <c r="FY5">
        <v>2</v>
      </c>
      <c r="FZ5" s="108" t="str">
        <f>Data!B3</f>
        <v>ALHAJI MUSTAPHA ABUBAKAR</v>
      </c>
      <c r="GA5" s="109">
        <v>6</v>
      </c>
      <c r="GB5" s="109">
        <v>5</v>
      </c>
      <c r="GC5" s="109">
        <v>2</v>
      </c>
      <c r="GD5" s="109">
        <v>2</v>
      </c>
      <c r="GE5" s="131">
        <f t="shared" ref="GE5:GE53" si="76">SUM(GA5:GD5)</f>
        <v>15</v>
      </c>
      <c r="GF5" s="131">
        <v>14</v>
      </c>
      <c r="GG5" s="131">
        <f t="shared" ref="GG5:GG53" si="77">GE5+GF5</f>
        <v>29</v>
      </c>
      <c r="GH5" s="131">
        <f t="shared" ref="GH5:GH58" si="78">IF(GG5&lt;10,"",RANK(GG5,GG$4:GG$57))</f>
        <v>45</v>
      </c>
      <c r="GI5" s="131" t="str">
        <f t="shared" ref="GI5:GI53" si="79">IF(GG5&gt;=75,"A",IF(GG5&gt;=70,"B2",IF(GG5&gt;=50,"C",IF(GG5&gt;=45,"D",IF(GG5&gt;=40,"E",IF(GG5&gt;=6,"F",IF(GG5&lt;5,"")))))))</f>
        <v>F</v>
      </c>
      <c r="GJ5" s="131" t="str">
        <f t="shared" ref="GJ5:GJ53" si="80">IF(GG5&gt;=75,"Excellent",IF(GG5&gt;=70,"V.Good",IF(GG5&gt;=65,"Good",IF(GG5&gt;=60,"Credit",IF(GG5&gt;=55,"Credit",IF(GG5&gt;=50,"Credit",IF(GG5&gt;=45,"Pass",IF(GG5&gt;=40,"Pass",IF(GG5&gt;=6,"Fail",IF(GG5&lt;5,""))))))))))</f>
        <v>Fail</v>
      </c>
      <c r="GK5">
        <v>2</v>
      </c>
      <c r="GL5" s="108" t="str">
        <f>Data!B3</f>
        <v>ALHAJI MUSTAPHA ABUBAKAR</v>
      </c>
      <c r="GM5" s="132"/>
      <c r="GN5" s="132"/>
      <c r="GO5" s="132"/>
      <c r="GP5" s="132"/>
      <c r="GQ5" s="133">
        <f t="shared" ref="GQ5:GQ53" si="81">SUM(GM5:GP5)</f>
        <v>0</v>
      </c>
      <c r="GR5" s="132"/>
      <c r="GS5" s="133">
        <f t="shared" ref="GS5:GS53" si="82">GQ5+GR5</f>
        <v>0</v>
      </c>
      <c r="GT5" s="133" t="str">
        <f t="shared" ref="GT5:GT58" si="83">IF(GS5&lt;10,"",RANK(GS5,GS$4:GS$57))</f>
        <v/>
      </c>
      <c r="GU5" s="133" t="str">
        <f t="shared" ref="GU5:GU53" si="84">IF(GS5&gt;=75,"A",IF(GS5&gt;=70,"B2",IF(GS5&gt;=50,"C",IF(GS5&gt;=45,"D",IF(GS5&gt;=40,"E",IF(GS5&gt;=6,"F",IF(GS5&lt;5,"")))))))</f>
        <v/>
      </c>
      <c r="GV5" s="133" t="str">
        <f t="shared" ref="GV5:GV53" si="85">IF(GS5&gt;=75,"Excellent",IF(GS5&gt;=70,"V.Good",IF(GS5&gt;=65,"Good",IF(GS5&gt;=60,"Credit",IF(GS5&gt;=55,"Credit",IF(GS5&gt;=50,"Credit",IF(GS5&gt;=45,"Pass",IF(GS5&gt;=40,"Pass",IF(GS5&gt;=6,"Fail",IF(GS5&lt;5,""))))))))))</f>
        <v/>
      </c>
      <c r="GW5">
        <v>2</v>
      </c>
      <c r="GX5" s="108" t="str">
        <f>Data!B3</f>
        <v>ALHAJI MUSTAPHA ABUBAKAR</v>
      </c>
      <c r="GY5" s="109"/>
      <c r="GZ5" s="109"/>
      <c r="HA5" s="109"/>
      <c r="HB5" s="109"/>
      <c r="HC5" s="119">
        <f t="shared" ref="HC5:HC53" si="86">SUM(GY5:HB5)</f>
        <v>0</v>
      </c>
      <c r="HD5" s="119"/>
      <c r="HE5" s="119">
        <f t="shared" ref="HE5:HE53" si="87">HC5+HD5</f>
        <v>0</v>
      </c>
      <c r="HF5" s="119" t="str">
        <f t="shared" ref="HF5:HF58" si="88">IF(HE5&lt;10,"",RANK(HE5,HE$4:HE$57))</f>
        <v/>
      </c>
      <c r="HG5" s="119" t="str">
        <f t="shared" ref="HG5:HG53" si="89">IF(HE5&gt;=75,"A",IF(HE5&gt;=70,"B2",IF(HE5&gt;=50,"C",IF(HE5&gt;=45,"D",IF(HE5&gt;=40,"E",IF(HE5&gt;=6,"F",IF(HE5&lt;5,"")))))))</f>
        <v/>
      </c>
      <c r="HH5" s="119" t="str">
        <f t="shared" ref="HH5:HH53" si="90">IF(HE5&gt;=75,"Excellent",IF(HE5&gt;=70,"V.Good",IF(HE5&gt;=65,"Good",IF(HE5&gt;=60,"Credit",IF(HE5&gt;=55,"Credit",IF(HE5&gt;=50,"Credit",IF(HE5&gt;=45,"Pass",IF(HE5&gt;=40,"Pass",IF(HE5&gt;=6,"Fail",IF(HE5&lt;5,""))))))))))</f>
        <v/>
      </c>
      <c r="HI5">
        <v>2</v>
      </c>
      <c r="HJ5" s="108" t="str">
        <f>Data!B3</f>
        <v>ALHAJI MUSTAPHA ABUBAKAR</v>
      </c>
      <c r="HK5" s="144"/>
      <c r="HL5" s="145"/>
      <c r="HM5" s="146"/>
      <c r="HN5" s="145"/>
      <c r="HO5" s="136">
        <f t="shared" ref="HO5:HO53" si="91">SUM(HK5:HN5)</f>
        <v>0</v>
      </c>
      <c r="HP5" s="144"/>
      <c r="HQ5" s="136">
        <f t="shared" ref="HQ5:HQ53" si="92">HO5+HP5</f>
        <v>0</v>
      </c>
      <c r="HR5" s="136" t="str">
        <f t="shared" ref="HR5:HR58" si="93">IF(HQ5&lt;10,"",RANK(HQ5,HQ$4:HQ$57))</f>
        <v/>
      </c>
      <c r="HS5" s="136" t="str">
        <f t="shared" ref="HS5:HS53" si="94">IF(HQ5&gt;=75,"A",IF(HQ5&gt;=70,"B2",IF(HQ5&gt;=50,"C",IF(HQ5&gt;=45,"D",IF(HQ5&gt;=40,"E",IF(HQ5&gt;=6,"F",IF(HQ5&lt;5,"")))))))</f>
        <v/>
      </c>
      <c r="HT5" s="136" t="str">
        <f t="shared" ref="HT5:HT53" si="95">IF(HQ5&gt;=75,"Excellent",IF(HQ5&gt;=70,"V.Good",IF(HQ5&gt;=65,"Good",IF(HQ5&gt;=60,"Credit",IF(HQ5&gt;=55,"Credit",IF(HQ5&gt;=50,"Credit",IF(HQ5&gt;=45,"Pass",IF(HQ5&gt;=40,"Pass",IF(HQ5&gt;=6,"Fail",IF(HQ5&lt;5,""))))))))))</f>
        <v/>
      </c>
      <c r="HU5">
        <v>2</v>
      </c>
      <c r="HV5" s="108" t="str">
        <f>Data!B3</f>
        <v>ALHAJI MUSTAPHA ABUBAKAR</v>
      </c>
      <c r="HW5" s="109"/>
      <c r="HX5" s="109"/>
      <c r="HY5" s="109"/>
      <c r="HZ5" s="109"/>
      <c r="IA5" s="117">
        <f t="shared" ref="IA5:IA53" si="96">SUM(HW5:HZ5)</f>
        <v>0</v>
      </c>
      <c r="IB5" s="117"/>
      <c r="IC5" s="117">
        <f t="shared" ref="IC5:IC53" si="97">IA5+IB5</f>
        <v>0</v>
      </c>
      <c r="ID5" s="117" t="str">
        <f t="shared" ref="ID5:ID58" si="98">IF(IC5&lt;10,"",RANK(IC5,IC$4:IC$57))</f>
        <v/>
      </c>
      <c r="IE5" s="117" t="str">
        <f t="shared" ref="IE5:IE53" si="99">IF(IC5&gt;=75,"A",IF(IC5&gt;=70,"B2",IF(IC5&gt;=50,"C",IF(IC5&gt;=45,"D",IF(IC5&gt;=40,"E",IF(IC5&gt;=6,"F",IF(IC5&lt;5,"")))))))</f>
        <v/>
      </c>
      <c r="IF5" s="117" t="str">
        <f t="shared" ref="IF5:IF53" si="100">IF(IC5&gt;=75,"Excellent",IF(IC5&gt;=70,"V.Good",IF(IC5&gt;=65,"Good",IF(IC5&gt;=60,"Credit",IF(IC5&gt;=55,"Credit",IF(IC5&gt;=50,"Credit",IF(IC5&gt;=45,"Pass",IF(IC5&gt;=40,"Pass",IF(IC5&gt;=6,"Fail",IF(IC5&lt;5,""))))))))))</f>
        <v/>
      </c>
      <c r="IG5">
        <v>2</v>
      </c>
      <c r="IH5" s="108" t="str">
        <f>Data!B3</f>
        <v>ALHAJI MUSTAPHA ABUBAKAR</v>
      </c>
      <c r="II5" s="109"/>
      <c r="IJ5" s="109"/>
      <c r="IK5" s="109"/>
      <c r="IL5" s="109"/>
      <c r="IM5" s="137">
        <f t="shared" ref="IM5:IM53" si="101">SUM(II5:IL5)</f>
        <v>0</v>
      </c>
      <c r="IN5" s="137"/>
      <c r="IO5" s="137">
        <f t="shared" ref="IO5:IO53" si="102">IM5+IN5</f>
        <v>0</v>
      </c>
      <c r="IP5" s="137" t="str">
        <f t="shared" ref="IP5:IP58" si="103">IF(IO5&lt;10,"",RANK(IO5,IO$4:IO$57))</f>
        <v/>
      </c>
      <c r="IQ5" s="137" t="str">
        <f t="shared" ref="IQ5:IQ53" si="104">IF(IO5&gt;=75,"A",IF(IO5&gt;=70,"B2",IF(IO5&gt;=50,"C",IF(IO5&gt;=45,"D",IF(IO5&gt;=40,"E",IF(IO5&gt;=6,"F",IF(IO5&lt;5,"")))))))</f>
        <v/>
      </c>
      <c r="IR5" s="137" t="str">
        <f t="shared" ref="IR5:IR53" si="105">IF(IO5&gt;=75,"Excellent",IF(IO5&gt;=70,"V.Good",IF(IO5&gt;=65,"Good",IF(IO5&gt;=60,"Credit",IF(IO5&gt;=55,"Credit",IF(IO5&gt;=50,"Credit",IF(IO5&gt;=45,"Pass",IF(IO5&gt;=40,"Pass",IF(IO5&gt;=6,"Fail",IF(IO5&lt;5,""))))))))))</f>
        <v/>
      </c>
      <c r="IS5">
        <v>2</v>
      </c>
      <c r="IT5" s="108" t="str">
        <f t="shared" ref="IT5:IT53" si="106">IH5</f>
        <v>ALHAJI MUSTAPHA ABUBAKAR</v>
      </c>
      <c r="IU5" s="110">
        <v>4</v>
      </c>
      <c r="IV5" s="110">
        <v>2</v>
      </c>
      <c r="IW5" s="110">
        <v>1</v>
      </c>
      <c r="IX5" s="110">
        <v>1</v>
      </c>
      <c r="IY5" s="111">
        <f t="shared" ref="IY5:IY38" si="107">SUM(IU5:IX5)</f>
        <v>8</v>
      </c>
      <c r="IZ5" s="113">
        <v>42</v>
      </c>
      <c r="JA5" s="131">
        <f t="shared" ref="JA5:JA53" si="108">IY5+IZ5</f>
        <v>50</v>
      </c>
      <c r="JB5" s="131">
        <f t="shared" ref="JB5:JB58" si="109">IF(JA5&lt;10,"",RANK(JA5,JA$4:JA$57))</f>
        <v>25</v>
      </c>
      <c r="JC5" s="131" t="str">
        <f t="shared" ref="JC5:JC53" si="110">IF(JA5&gt;=75,"A",IF(JA5&gt;=70,"B2",IF(JA5&gt;=50,"C",IF(JA5&gt;=45,"D",IF(JA5&gt;=40,"E",IF(JA5&gt;=6,"F",IF(JA5&lt;5,"")))))))</f>
        <v>C</v>
      </c>
      <c r="JD5" s="131" t="str">
        <f t="shared" ref="JD5:JD53" si="111">IF(JA5&gt;=75,"Excellent",IF(JA5&gt;=70,"V.Good",IF(JA5&gt;=65,"Good",IF(JA5&gt;=60,"Credit",IF(JA5&gt;=55,"Credit",IF(JA5&gt;=50,"Credit",IF(JA5&gt;=45,"Pass",IF(JA5&gt;=40,"Pass",IF(JA5&gt;=6,"Fail",IF(JA5&lt;5,""))))))))))</f>
        <v>Credit</v>
      </c>
      <c r="JE5">
        <v>2</v>
      </c>
      <c r="JF5" s="108" t="str">
        <f t="shared" ref="JF5:JF53" si="112">IT5</f>
        <v>ALHAJI MUSTAPHA ABUBAKAR</v>
      </c>
      <c r="JG5" s="147"/>
      <c r="JH5" s="147"/>
      <c r="JI5" s="147"/>
      <c r="JJ5" s="147"/>
      <c r="JK5" s="113">
        <f t="shared" ref="JK5:JK53" si="113">SUM(JG5:JJ5)</f>
        <v>0</v>
      </c>
      <c r="JL5" s="147"/>
      <c r="JM5" s="113">
        <f t="shared" ref="JM5:JM53" si="114">JK5+JL5</f>
        <v>0</v>
      </c>
      <c r="JN5" s="113" t="str">
        <f t="shared" ref="JN5:JN58" si="115">IF(JM5&lt;10,"",RANK(JM5,JM$4:JM$57))</f>
        <v/>
      </c>
      <c r="JO5" s="113" t="str">
        <f t="shared" ref="JO5:JO53" si="116">IF(JM5&gt;=75,"A",IF(JM5&gt;=70,"B2",IF(JM5&gt;=50,"C",IF(JM5&gt;=45,"D",IF(JM5&gt;=40,"E",IF(JM5&gt;=6,"F",IF(JM5&lt;5,"")))))))</f>
        <v/>
      </c>
      <c r="JP5" s="113" t="str">
        <f t="shared" ref="JP5:JP53" si="117">IF(JM5&gt;=75,"Excellent",IF(JM5&gt;=70,"V.Good",IF(JM5&gt;=65,"Good",IF(JM5&gt;=60,"Credit",IF(JM5&gt;=55,"Credit",IF(JM5&gt;=50,"Credit",IF(JM5&gt;=45,"Pass",IF(JM5&gt;=40,"Pass",IF(JM5&gt;=6,"Fail",IF(JM5&lt;5,""))))))))))</f>
        <v/>
      </c>
      <c r="JQ5">
        <v>2</v>
      </c>
      <c r="JR5" s="108" t="str">
        <f t="shared" ref="JR5:JR53" si="118">JF5</f>
        <v>ALHAJI MUSTAPHA ABUBAKAR</v>
      </c>
      <c r="JS5" s="140"/>
      <c r="JT5" s="140"/>
      <c r="JU5" s="140"/>
      <c r="JV5" s="140"/>
      <c r="JW5" s="111">
        <f t="shared" ref="JW5:JW53" si="119">SUM(JS5:JV5)</f>
        <v>0</v>
      </c>
      <c r="JX5" s="141"/>
      <c r="JY5" s="111">
        <f t="shared" si="0"/>
        <v>0</v>
      </c>
      <c r="JZ5" s="111" t="str">
        <f t="shared" ref="JZ5:JZ58" si="120">IF(JY5&lt;10,"",RANK(JY5,JY$4:JY$57))</f>
        <v/>
      </c>
      <c r="KA5" s="111" t="str">
        <f t="shared" ref="KA5:KA53" si="121">IF(JY5&gt;=75,"A",IF(JY5&gt;=70,"B2",IF(JY5&gt;=50,"C",IF(JY5&gt;=45,"D",IF(JY5&gt;=40,"E",IF(JY5&gt;=6,"F",IF(JY5&lt;5,"")))))))</f>
        <v/>
      </c>
      <c r="KB5" s="111" t="str">
        <f t="shared" ref="KB5:KB53" si="122">IF(JY5&gt;=75,"Excellent",IF(JY5&gt;=70,"V.Good",IF(JY5&gt;=65,"Good",IF(JY5&gt;=60,"Credit",IF(JY5&gt;=55,"Credit",IF(JY5&gt;=50,"Credit",IF(JY5&gt;=45,"Pass",IF(JY5&gt;=40,"Pass",IF(JY5&gt;=6,"Fail",IF(JY5&lt;5,""))))))))))</f>
        <v/>
      </c>
      <c r="KD5" s="47"/>
      <c r="KE5" s="47"/>
      <c r="KF5" s="47"/>
      <c r="KG5" s="47"/>
      <c r="KH5" s="47"/>
      <c r="KI5" s="47"/>
      <c r="KJ5" s="47"/>
      <c r="KK5" s="47"/>
      <c r="KM5" s="47"/>
      <c r="KN5" s="47"/>
      <c r="KO5" s="47"/>
      <c r="KP5" s="47"/>
      <c r="KQ5" s="47"/>
      <c r="KR5" s="47"/>
      <c r="KS5" s="47"/>
      <c r="KT5" s="47"/>
      <c r="KU5" s="47"/>
      <c r="KV5" s="47"/>
    </row>
    <row r="6" spans="1:308" ht="23.25">
      <c r="A6" s="211">
        <v>3</v>
      </c>
      <c r="B6" s="108" t="str">
        <f>Data!B4</f>
        <v>ALI MUHAMMED UMAR</v>
      </c>
      <c r="C6" s="109">
        <v>9</v>
      </c>
      <c r="D6" s="109">
        <v>2</v>
      </c>
      <c r="E6" s="109">
        <v>1</v>
      </c>
      <c r="F6" s="109">
        <v>5</v>
      </c>
      <c r="G6" s="111">
        <f t="shared" si="1"/>
        <v>17</v>
      </c>
      <c r="H6" s="111">
        <v>24</v>
      </c>
      <c r="I6" s="111">
        <f t="shared" si="2"/>
        <v>41</v>
      </c>
      <c r="J6" s="110">
        <f t="shared" si="3"/>
        <v>19</v>
      </c>
      <c r="K6" s="110" t="str">
        <f t="shared" si="4"/>
        <v>E8</v>
      </c>
      <c r="L6" s="110" t="str">
        <f t="shared" si="5"/>
        <v>Pass</v>
      </c>
      <c r="M6" s="48">
        <v>3</v>
      </c>
      <c r="N6" s="108" t="str">
        <f>Data!B4</f>
        <v>ALI MUHAMMED UMAR</v>
      </c>
      <c r="O6" s="109">
        <v>9</v>
      </c>
      <c r="P6" s="109">
        <v>2</v>
      </c>
      <c r="Q6" s="109">
        <v>1</v>
      </c>
      <c r="R6" s="109">
        <v>5</v>
      </c>
      <c r="S6" s="111">
        <f t="shared" si="6"/>
        <v>17</v>
      </c>
      <c r="T6" s="111">
        <v>24</v>
      </c>
      <c r="U6" s="111">
        <f t="shared" si="7"/>
        <v>41</v>
      </c>
      <c r="V6" s="111">
        <f t="shared" si="8"/>
        <v>13</v>
      </c>
      <c r="W6" s="111" t="str">
        <f t="shared" si="9"/>
        <v>E8</v>
      </c>
      <c r="X6" s="111" t="str">
        <f t="shared" si="10"/>
        <v>Pass</v>
      </c>
      <c r="Y6" s="42">
        <v>3</v>
      </c>
      <c r="Z6" s="108" t="str">
        <f>Data!B4</f>
        <v>ALI MUHAMMED UMAR</v>
      </c>
      <c r="AA6" s="109">
        <v>9</v>
      </c>
      <c r="AB6" s="109">
        <v>2</v>
      </c>
      <c r="AC6" s="109">
        <v>1</v>
      </c>
      <c r="AD6" s="109">
        <v>5</v>
      </c>
      <c r="AE6" s="111">
        <f t="shared" si="11"/>
        <v>17</v>
      </c>
      <c r="AF6" s="112">
        <v>42</v>
      </c>
      <c r="AG6" s="113">
        <f t="shared" si="12"/>
        <v>59</v>
      </c>
      <c r="AH6" s="113">
        <f t="shared" si="13"/>
        <v>17</v>
      </c>
      <c r="AI6" s="113" t="str">
        <f t="shared" si="14"/>
        <v>C5</v>
      </c>
      <c r="AJ6" s="113" t="str">
        <f t="shared" si="15"/>
        <v>Credit</v>
      </c>
      <c r="AK6" s="42">
        <v>3</v>
      </c>
      <c r="AL6" s="108" t="str">
        <f>Data!B4</f>
        <v>ALI MUHAMMED UMAR</v>
      </c>
      <c r="AM6" s="114"/>
      <c r="AN6" s="114"/>
      <c r="AO6" s="114"/>
      <c r="AP6" s="114"/>
      <c r="AQ6" s="115">
        <f t="shared" si="16"/>
        <v>0</v>
      </c>
      <c r="AR6" s="114"/>
      <c r="AS6" s="115">
        <f t="shared" si="17"/>
        <v>0</v>
      </c>
      <c r="AT6" s="115" t="str">
        <f t="shared" si="18"/>
        <v/>
      </c>
      <c r="AU6" s="115" t="str">
        <f t="shared" si="19"/>
        <v/>
      </c>
      <c r="AV6" s="115" t="str">
        <f t="shared" si="20"/>
        <v/>
      </c>
      <c r="AW6" s="42">
        <v>3</v>
      </c>
      <c r="AX6" s="108" t="str">
        <f>Data!B4</f>
        <v>ALI MUHAMMED UMAR</v>
      </c>
      <c r="AY6" s="116"/>
      <c r="AZ6" s="116"/>
      <c r="BA6" s="116"/>
      <c r="BB6" s="116"/>
      <c r="BC6" s="117">
        <f t="shared" si="21"/>
        <v>0</v>
      </c>
      <c r="BD6" s="116"/>
      <c r="BE6" s="117">
        <f t="shared" si="22"/>
        <v>0</v>
      </c>
      <c r="BF6" s="117" t="str">
        <f t="shared" si="23"/>
        <v/>
      </c>
      <c r="BG6" s="117" t="str">
        <f t="shared" si="24"/>
        <v/>
      </c>
      <c r="BH6" s="117" t="str">
        <f t="shared" si="25"/>
        <v/>
      </c>
      <c r="BI6" s="67">
        <v>3</v>
      </c>
      <c r="BJ6" s="108" t="str">
        <f>Data!B4</f>
        <v>ALI MUHAMMED UMAR</v>
      </c>
      <c r="BK6" s="110">
        <v>9</v>
      </c>
      <c r="BL6" s="110">
        <v>2</v>
      </c>
      <c r="BM6" s="110">
        <v>1</v>
      </c>
      <c r="BN6" s="110">
        <v>5</v>
      </c>
      <c r="BO6" s="111">
        <f t="shared" si="26"/>
        <v>17</v>
      </c>
      <c r="BP6" s="113">
        <v>42</v>
      </c>
      <c r="BQ6" s="119">
        <f t="shared" si="27"/>
        <v>59</v>
      </c>
      <c r="BR6" s="119">
        <f t="shared" si="28"/>
        <v>12</v>
      </c>
      <c r="BS6" s="119" t="str">
        <f t="shared" si="29"/>
        <v>C5</v>
      </c>
      <c r="BT6" s="119" t="str">
        <f t="shared" si="30"/>
        <v>Credit</v>
      </c>
      <c r="BU6">
        <v>3</v>
      </c>
      <c r="BV6" s="108" t="str">
        <f>Data!B4</f>
        <v>ALI MUHAMMED UMAR</v>
      </c>
      <c r="BW6" s="120">
        <v>6</v>
      </c>
      <c r="BX6" s="120">
        <v>4</v>
      </c>
      <c r="BY6" s="120">
        <v>8</v>
      </c>
      <c r="BZ6" s="120">
        <v>9</v>
      </c>
      <c r="CA6" s="121">
        <f t="shared" si="31"/>
        <v>27</v>
      </c>
      <c r="CB6" s="120">
        <v>22</v>
      </c>
      <c r="CC6" s="121">
        <f t="shared" si="32"/>
        <v>49</v>
      </c>
      <c r="CD6" s="121">
        <f t="shared" si="33"/>
        <v>26</v>
      </c>
      <c r="CE6" s="121" t="str">
        <f t="shared" si="34"/>
        <v>D7</v>
      </c>
      <c r="CF6" s="121" t="str">
        <f t="shared" si="35"/>
        <v>Pass</v>
      </c>
      <c r="CG6">
        <v>3</v>
      </c>
      <c r="CH6" s="108" t="str">
        <f>Data!B4</f>
        <v>ALI MUHAMMED UMAR</v>
      </c>
      <c r="CI6" s="109"/>
      <c r="CJ6" s="109"/>
      <c r="CK6" s="109"/>
      <c r="CL6" s="109"/>
      <c r="CM6" s="122">
        <f t="shared" si="36"/>
        <v>0</v>
      </c>
      <c r="CN6" s="122"/>
      <c r="CO6" s="122">
        <f t="shared" si="37"/>
        <v>0</v>
      </c>
      <c r="CP6" s="122" t="str">
        <f t="shared" si="38"/>
        <v/>
      </c>
      <c r="CQ6" s="122" t="str">
        <f t="shared" si="39"/>
        <v/>
      </c>
      <c r="CR6" s="122" t="str">
        <f t="shared" si="40"/>
        <v/>
      </c>
      <c r="CS6">
        <v>3</v>
      </c>
      <c r="CT6" s="108" t="str">
        <f>Data!B4</f>
        <v>ALI MUHAMMED UMAR</v>
      </c>
      <c r="CU6" s="43"/>
      <c r="CV6" s="43"/>
      <c r="CW6" s="43"/>
      <c r="CX6" s="43"/>
      <c r="CY6" s="123">
        <f t="shared" si="41"/>
        <v>0</v>
      </c>
      <c r="CZ6" s="43"/>
      <c r="DA6" s="123">
        <f t="shared" si="42"/>
        <v>0</v>
      </c>
      <c r="DB6" s="123" t="str">
        <f t="shared" si="43"/>
        <v/>
      </c>
      <c r="DC6" s="123" t="str">
        <f t="shared" si="44"/>
        <v/>
      </c>
      <c r="DD6" s="123" t="str">
        <f t="shared" si="45"/>
        <v/>
      </c>
      <c r="DE6">
        <v>3</v>
      </c>
      <c r="DF6" s="108" t="str">
        <f>Data!B4</f>
        <v>ALI MUHAMMED UMAR</v>
      </c>
      <c r="DG6" s="109">
        <v>2</v>
      </c>
      <c r="DH6" s="109">
        <v>1</v>
      </c>
      <c r="DI6" s="109">
        <v>2</v>
      </c>
      <c r="DJ6" s="109">
        <v>5</v>
      </c>
      <c r="DK6" s="117">
        <f t="shared" si="46"/>
        <v>10</v>
      </c>
      <c r="DL6" s="116">
        <v>23</v>
      </c>
      <c r="DM6" s="117">
        <f t="shared" si="47"/>
        <v>33</v>
      </c>
      <c r="DN6" s="117">
        <f t="shared" si="48"/>
        <v>10</v>
      </c>
      <c r="DO6" s="117" t="str">
        <f t="shared" si="49"/>
        <v>F</v>
      </c>
      <c r="DP6" s="117" t="str">
        <f t="shared" si="50"/>
        <v>Fail</v>
      </c>
      <c r="DQ6">
        <v>3</v>
      </c>
      <c r="DR6" s="108" t="str">
        <f>Data!B4</f>
        <v>ALI MUHAMMED UMAR</v>
      </c>
      <c r="DS6" s="124"/>
      <c r="DT6" s="124"/>
      <c r="DU6" s="124"/>
      <c r="DV6" s="124"/>
      <c r="DW6" s="125">
        <f t="shared" si="51"/>
        <v>0</v>
      </c>
      <c r="DX6" s="126"/>
      <c r="DY6" s="125">
        <f t="shared" si="52"/>
        <v>0</v>
      </c>
      <c r="DZ6" s="125" t="str">
        <f t="shared" si="53"/>
        <v/>
      </c>
      <c r="EA6" s="125" t="str">
        <f t="shared" si="54"/>
        <v/>
      </c>
      <c r="EB6" s="125" t="str">
        <f t="shared" si="55"/>
        <v/>
      </c>
      <c r="EC6">
        <v>3</v>
      </c>
      <c r="ED6" s="108" t="str">
        <f>Data!B4</f>
        <v>ALI MUHAMMED UMAR</v>
      </c>
      <c r="EE6" s="109"/>
      <c r="EF6" s="109"/>
      <c r="EG6" s="109"/>
      <c r="EH6" s="109"/>
      <c r="EI6" s="127">
        <f t="shared" si="56"/>
        <v>0</v>
      </c>
      <c r="EJ6" s="127"/>
      <c r="EK6" s="127">
        <f t="shared" si="57"/>
        <v>0</v>
      </c>
      <c r="EL6" s="127" t="str">
        <f t="shared" si="58"/>
        <v/>
      </c>
      <c r="EM6" s="127" t="str">
        <f t="shared" si="59"/>
        <v/>
      </c>
      <c r="EN6" s="127" t="str">
        <f t="shared" si="60"/>
        <v/>
      </c>
      <c r="EO6">
        <v>3</v>
      </c>
      <c r="EP6" s="128" t="str">
        <f>Data!B4</f>
        <v>ALI MUHAMMED UMAR</v>
      </c>
      <c r="EQ6" s="109"/>
      <c r="ER6" s="109"/>
      <c r="ES6" s="109"/>
      <c r="ET6" s="109"/>
      <c r="EU6" s="123">
        <f t="shared" si="61"/>
        <v>0</v>
      </c>
      <c r="EV6" s="123"/>
      <c r="EW6" s="123">
        <f t="shared" si="62"/>
        <v>0</v>
      </c>
      <c r="EX6" s="123" t="str">
        <f t="shared" si="63"/>
        <v/>
      </c>
      <c r="EY6" s="123" t="str">
        <f t="shared" si="64"/>
        <v/>
      </c>
      <c r="EZ6" s="123" t="str">
        <f t="shared" si="65"/>
        <v/>
      </c>
      <c r="FA6">
        <v>3</v>
      </c>
      <c r="FB6" s="108" t="str">
        <f>Data!B4</f>
        <v>ALI MUHAMMED UMAR</v>
      </c>
      <c r="FC6" s="109"/>
      <c r="FD6" s="109"/>
      <c r="FE6" s="109"/>
      <c r="FF6" s="109"/>
      <c r="FG6" s="129">
        <f t="shared" si="66"/>
        <v>0</v>
      </c>
      <c r="FH6" s="129"/>
      <c r="FI6" s="129">
        <f t="shared" si="67"/>
        <v>0</v>
      </c>
      <c r="FJ6" s="129" t="str">
        <f t="shared" si="68"/>
        <v/>
      </c>
      <c r="FK6" s="129" t="str">
        <f t="shared" si="69"/>
        <v/>
      </c>
      <c r="FL6" s="129" t="str">
        <f t="shared" si="70"/>
        <v/>
      </c>
      <c r="FM6">
        <v>3</v>
      </c>
      <c r="FN6" s="108" t="str">
        <f>Data!B4</f>
        <v>ALI MUHAMMED UMAR</v>
      </c>
      <c r="FO6" s="109"/>
      <c r="FP6" s="109"/>
      <c r="FQ6" s="109"/>
      <c r="FR6" s="109"/>
      <c r="FS6" s="130">
        <f t="shared" si="71"/>
        <v>0</v>
      </c>
      <c r="FT6" s="130"/>
      <c r="FU6" s="130">
        <f t="shared" si="72"/>
        <v>0</v>
      </c>
      <c r="FV6" s="130" t="str">
        <f t="shared" si="73"/>
        <v/>
      </c>
      <c r="FW6" s="130" t="str">
        <f t="shared" si="74"/>
        <v/>
      </c>
      <c r="FX6" s="130" t="str">
        <f t="shared" si="75"/>
        <v/>
      </c>
      <c r="FY6">
        <v>3</v>
      </c>
      <c r="FZ6" s="108" t="str">
        <f>Data!B4</f>
        <v>ALI MUHAMMED UMAR</v>
      </c>
      <c r="GA6" s="109">
        <v>7</v>
      </c>
      <c r="GB6" s="109">
        <v>7</v>
      </c>
      <c r="GC6" s="109">
        <v>8</v>
      </c>
      <c r="GD6" s="109">
        <v>8</v>
      </c>
      <c r="GE6" s="131">
        <f t="shared" si="76"/>
        <v>30</v>
      </c>
      <c r="GF6" s="131">
        <v>26</v>
      </c>
      <c r="GG6" s="131">
        <f t="shared" si="77"/>
        <v>56</v>
      </c>
      <c r="GH6" s="131">
        <f t="shared" si="78"/>
        <v>19</v>
      </c>
      <c r="GI6" s="131" t="str">
        <f t="shared" si="79"/>
        <v>C</v>
      </c>
      <c r="GJ6" s="131" t="str">
        <f t="shared" si="80"/>
        <v>Credit</v>
      </c>
      <c r="GK6">
        <v>3</v>
      </c>
      <c r="GL6" s="108" t="str">
        <f>Data!B4</f>
        <v>ALI MUHAMMED UMAR</v>
      </c>
      <c r="GM6" s="132"/>
      <c r="GN6" s="132"/>
      <c r="GO6" s="132"/>
      <c r="GP6" s="132"/>
      <c r="GQ6" s="133">
        <f t="shared" si="81"/>
        <v>0</v>
      </c>
      <c r="GR6" s="132"/>
      <c r="GS6" s="133">
        <f t="shared" si="82"/>
        <v>0</v>
      </c>
      <c r="GT6" s="133" t="str">
        <f t="shared" si="83"/>
        <v/>
      </c>
      <c r="GU6" s="133" t="str">
        <f t="shared" si="84"/>
        <v/>
      </c>
      <c r="GV6" s="133" t="str">
        <f t="shared" si="85"/>
        <v/>
      </c>
      <c r="GW6">
        <v>3</v>
      </c>
      <c r="GX6" s="108" t="str">
        <f>Data!B4</f>
        <v>ALI MUHAMMED UMAR</v>
      </c>
      <c r="GY6" s="109"/>
      <c r="GZ6" s="109"/>
      <c r="HA6" s="109"/>
      <c r="HB6" s="109"/>
      <c r="HC6" s="119">
        <f t="shared" si="86"/>
        <v>0</v>
      </c>
      <c r="HD6" s="119"/>
      <c r="HE6" s="119">
        <f t="shared" si="87"/>
        <v>0</v>
      </c>
      <c r="HF6" s="119" t="str">
        <f t="shared" si="88"/>
        <v/>
      </c>
      <c r="HG6" s="119" t="str">
        <f t="shared" si="89"/>
        <v/>
      </c>
      <c r="HH6" s="119" t="str">
        <f t="shared" si="90"/>
        <v/>
      </c>
      <c r="HI6">
        <v>3</v>
      </c>
      <c r="HJ6" s="108" t="str">
        <f>Data!B4</f>
        <v>ALI MUHAMMED UMAR</v>
      </c>
      <c r="HK6" s="144"/>
      <c r="HL6" s="145"/>
      <c r="HM6" s="145"/>
      <c r="HN6" s="145"/>
      <c r="HO6" s="136">
        <f t="shared" si="91"/>
        <v>0</v>
      </c>
      <c r="HP6" s="144"/>
      <c r="HQ6" s="136">
        <f t="shared" si="92"/>
        <v>0</v>
      </c>
      <c r="HR6" s="136" t="str">
        <f t="shared" si="93"/>
        <v/>
      </c>
      <c r="HS6" s="136" t="str">
        <f t="shared" si="94"/>
        <v/>
      </c>
      <c r="HT6" s="136" t="str">
        <f t="shared" si="95"/>
        <v/>
      </c>
      <c r="HU6">
        <v>3</v>
      </c>
      <c r="HV6" s="108" t="str">
        <f>Data!B4</f>
        <v>ALI MUHAMMED UMAR</v>
      </c>
      <c r="HW6" s="109"/>
      <c r="HX6" s="109"/>
      <c r="HY6" s="109"/>
      <c r="HZ6" s="109"/>
      <c r="IA6" s="117">
        <f t="shared" si="96"/>
        <v>0</v>
      </c>
      <c r="IB6" s="117"/>
      <c r="IC6" s="117">
        <f t="shared" si="97"/>
        <v>0</v>
      </c>
      <c r="ID6" s="117" t="str">
        <f t="shared" si="98"/>
        <v/>
      </c>
      <c r="IE6" s="117" t="str">
        <f t="shared" si="99"/>
        <v/>
      </c>
      <c r="IF6" s="117" t="str">
        <f t="shared" si="100"/>
        <v/>
      </c>
      <c r="IG6">
        <v>3</v>
      </c>
      <c r="IH6" s="108" t="str">
        <f>Data!B4</f>
        <v>ALI MUHAMMED UMAR</v>
      </c>
      <c r="II6" s="109"/>
      <c r="IJ6" s="109"/>
      <c r="IK6" s="109"/>
      <c r="IL6" s="109"/>
      <c r="IM6" s="137">
        <f t="shared" si="101"/>
        <v>0</v>
      </c>
      <c r="IN6" s="137"/>
      <c r="IO6" s="137">
        <f t="shared" si="102"/>
        <v>0</v>
      </c>
      <c r="IP6" s="137" t="str">
        <f t="shared" si="103"/>
        <v/>
      </c>
      <c r="IQ6" s="137" t="str">
        <f t="shared" si="104"/>
        <v/>
      </c>
      <c r="IR6" s="137" t="str">
        <f t="shared" si="105"/>
        <v/>
      </c>
      <c r="IS6">
        <v>3</v>
      </c>
      <c r="IT6" s="108" t="str">
        <f t="shared" si="106"/>
        <v>ALI MUHAMMED UMAR</v>
      </c>
      <c r="IU6" s="110">
        <v>9</v>
      </c>
      <c r="IV6" s="110">
        <v>2</v>
      </c>
      <c r="IW6" s="110">
        <v>1</v>
      </c>
      <c r="IX6" s="110">
        <v>5</v>
      </c>
      <c r="IY6" s="111">
        <f t="shared" si="107"/>
        <v>17</v>
      </c>
      <c r="IZ6" s="113">
        <v>42</v>
      </c>
      <c r="JA6" s="131">
        <f t="shared" si="108"/>
        <v>59</v>
      </c>
      <c r="JB6" s="131">
        <f t="shared" si="109"/>
        <v>12</v>
      </c>
      <c r="JC6" s="131" t="str">
        <f t="shared" si="110"/>
        <v>C</v>
      </c>
      <c r="JD6" s="131" t="str">
        <f t="shared" si="111"/>
        <v>Credit</v>
      </c>
      <c r="JE6">
        <v>3</v>
      </c>
      <c r="JF6" s="108" t="str">
        <f t="shared" si="112"/>
        <v>ALI MUHAMMED UMAR</v>
      </c>
      <c r="JG6" s="147"/>
      <c r="JH6" s="147"/>
      <c r="JI6" s="147"/>
      <c r="JJ6" s="147"/>
      <c r="JK6" s="113">
        <f t="shared" si="113"/>
        <v>0</v>
      </c>
      <c r="JL6" s="147"/>
      <c r="JM6" s="113">
        <f t="shared" si="114"/>
        <v>0</v>
      </c>
      <c r="JN6" s="113" t="str">
        <f t="shared" si="115"/>
        <v/>
      </c>
      <c r="JO6" s="113" t="str">
        <f t="shared" si="116"/>
        <v/>
      </c>
      <c r="JP6" s="113" t="str">
        <f t="shared" si="117"/>
        <v/>
      </c>
      <c r="JQ6">
        <v>3</v>
      </c>
      <c r="JR6" s="108" t="str">
        <f t="shared" si="118"/>
        <v>ALI MUHAMMED UMAR</v>
      </c>
      <c r="JS6" s="140"/>
      <c r="JT6" s="140"/>
      <c r="JU6" s="140"/>
      <c r="JV6" s="140"/>
      <c r="JW6" s="111">
        <f t="shared" si="119"/>
        <v>0</v>
      </c>
      <c r="JX6" s="141"/>
      <c r="JY6" s="111">
        <f t="shared" si="0"/>
        <v>0</v>
      </c>
      <c r="JZ6" s="111" t="str">
        <f t="shared" si="120"/>
        <v/>
      </c>
      <c r="KA6" s="111" t="str">
        <f t="shared" si="121"/>
        <v/>
      </c>
      <c r="KB6" s="111" t="str">
        <f t="shared" si="122"/>
        <v/>
      </c>
      <c r="KD6" s="47"/>
      <c r="KE6" s="47"/>
      <c r="KF6" s="47"/>
      <c r="KG6" s="47"/>
      <c r="KH6" s="47"/>
      <c r="KI6" s="47"/>
      <c r="KJ6" s="47"/>
      <c r="KK6" s="47"/>
      <c r="KM6" s="47"/>
      <c r="KN6" s="47"/>
      <c r="KO6" s="47"/>
      <c r="KP6" s="47"/>
      <c r="KQ6" s="47"/>
      <c r="KR6" s="47"/>
      <c r="KS6" s="47"/>
      <c r="KT6" s="47"/>
      <c r="KU6" s="47"/>
      <c r="KV6" s="47"/>
    </row>
    <row r="7" spans="1:308" ht="23.25">
      <c r="A7" s="211">
        <v>4</v>
      </c>
      <c r="B7" s="108" t="str">
        <f>Data!B5</f>
        <v>ADAM UMAR LAMINU</v>
      </c>
      <c r="C7" s="109"/>
      <c r="D7" s="109"/>
      <c r="E7" s="109"/>
      <c r="F7" s="109"/>
      <c r="G7" s="111">
        <f t="shared" si="1"/>
        <v>0</v>
      </c>
      <c r="H7" s="111"/>
      <c r="I7" s="111">
        <f t="shared" si="2"/>
        <v>0</v>
      </c>
      <c r="J7" s="110" t="str">
        <f t="shared" si="3"/>
        <v/>
      </c>
      <c r="K7" s="110" t="str">
        <f t="shared" si="4"/>
        <v/>
      </c>
      <c r="L7" s="110" t="str">
        <f t="shared" si="5"/>
        <v/>
      </c>
      <c r="M7" s="48">
        <v>4</v>
      </c>
      <c r="N7" s="108" t="str">
        <f>Data!B5</f>
        <v>ADAM UMAR LAMINU</v>
      </c>
      <c r="O7" s="109"/>
      <c r="P7" s="109"/>
      <c r="Q7" s="109"/>
      <c r="R7" s="109"/>
      <c r="S7" s="111">
        <f t="shared" si="6"/>
        <v>0</v>
      </c>
      <c r="T7" s="111"/>
      <c r="U7" s="111">
        <f t="shared" si="7"/>
        <v>0</v>
      </c>
      <c r="V7" s="111" t="str">
        <f t="shared" si="8"/>
        <v/>
      </c>
      <c r="W7" s="111" t="str">
        <f t="shared" si="9"/>
        <v/>
      </c>
      <c r="X7" s="111" t="str">
        <f t="shared" si="10"/>
        <v/>
      </c>
      <c r="Y7" s="42">
        <v>4</v>
      </c>
      <c r="Z7" s="108" t="str">
        <f>Data!B5</f>
        <v>ADAM UMAR LAMINU</v>
      </c>
      <c r="AA7" s="109"/>
      <c r="AB7" s="109"/>
      <c r="AC7" s="109"/>
      <c r="AD7" s="109"/>
      <c r="AE7" s="111">
        <f t="shared" si="11"/>
        <v>0</v>
      </c>
      <c r="AF7" s="112">
        <v>42</v>
      </c>
      <c r="AG7" s="113">
        <f t="shared" si="12"/>
        <v>42</v>
      </c>
      <c r="AH7" s="113">
        <f t="shared" si="13"/>
        <v>40</v>
      </c>
      <c r="AI7" s="113" t="str">
        <f t="shared" si="14"/>
        <v>E8</v>
      </c>
      <c r="AJ7" s="113" t="str">
        <f t="shared" si="15"/>
        <v>Pass</v>
      </c>
      <c r="AK7" s="42">
        <v>4</v>
      </c>
      <c r="AL7" s="108" t="str">
        <f>Data!B5</f>
        <v>ADAM UMAR LAMINU</v>
      </c>
      <c r="AM7" s="114"/>
      <c r="AN7" s="114"/>
      <c r="AO7" s="114"/>
      <c r="AP7" s="114"/>
      <c r="AQ7" s="115">
        <f t="shared" si="16"/>
        <v>0</v>
      </c>
      <c r="AR7" s="114"/>
      <c r="AS7" s="115">
        <f t="shared" si="17"/>
        <v>0</v>
      </c>
      <c r="AT7" s="115" t="str">
        <f t="shared" si="18"/>
        <v/>
      </c>
      <c r="AU7" s="115" t="str">
        <f t="shared" si="19"/>
        <v/>
      </c>
      <c r="AV7" s="115" t="str">
        <f t="shared" si="20"/>
        <v/>
      </c>
      <c r="AW7" s="42">
        <v>4</v>
      </c>
      <c r="AX7" s="108" t="str">
        <f>Data!B5</f>
        <v>ADAM UMAR LAMINU</v>
      </c>
      <c r="AY7" s="116"/>
      <c r="AZ7" s="116"/>
      <c r="BA7" s="116"/>
      <c r="BB7" s="116"/>
      <c r="BC7" s="117">
        <f t="shared" si="21"/>
        <v>0</v>
      </c>
      <c r="BD7" s="116"/>
      <c r="BE7" s="117">
        <f t="shared" si="22"/>
        <v>0</v>
      </c>
      <c r="BF7" s="117" t="str">
        <f t="shared" si="23"/>
        <v/>
      </c>
      <c r="BG7" s="117" t="str">
        <f t="shared" si="24"/>
        <v/>
      </c>
      <c r="BH7" s="117" t="str">
        <f t="shared" si="25"/>
        <v/>
      </c>
      <c r="BI7" s="67">
        <v>4</v>
      </c>
      <c r="BJ7" s="108" t="str">
        <f>Data!B5</f>
        <v>ADAM UMAR LAMINU</v>
      </c>
      <c r="BK7" s="110"/>
      <c r="BL7" s="110"/>
      <c r="BM7" s="110"/>
      <c r="BN7" s="110"/>
      <c r="BO7" s="111">
        <f t="shared" si="26"/>
        <v>0</v>
      </c>
      <c r="BP7" s="113">
        <v>42</v>
      </c>
      <c r="BQ7" s="119">
        <f t="shared" si="27"/>
        <v>42</v>
      </c>
      <c r="BR7" s="119">
        <f t="shared" si="28"/>
        <v>28</v>
      </c>
      <c r="BS7" s="119" t="str">
        <f t="shared" si="29"/>
        <v>E8</v>
      </c>
      <c r="BT7" s="119" t="str">
        <f t="shared" si="30"/>
        <v>Pass</v>
      </c>
      <c r="BU7">
        <v>4</v>
      </c>
      <c r="BV7" s="108" t="str">
        <f>Data!B5</f>
        <v>ADAM UMAR LAMINU</v>
      </c>
      <c r="BW7" s="120">
        <v>7</v>
      </c>
      <c r="BX7" s="120">
        <v>7</v>
      </c>
      <c r="BY7" s="120">
        <v>9</v>
      </c>
      <c r="BZ7" s="120">
        <v>7</v>
      </c>
      <c r="CA7" s="121">
        <f t="shared" si="31"/>
        <v>30</v>
      </c>
      <c r="CB7" s="120">
        <v>25</v>
      </c>
      <c r="CC7" s="121">
        <f t="shared" si="32"/>
        <v>55</v>
      </c>
      <c r="CD7" s="121">
        <f t="shared" si="33"/>
        <v>17</v>
      </c>
      <c r="CE7" s="121" t="str">
        <f t="shared" si="34"/>
        <v>C5</v>
      </c>
      <c r="CF7" s="121" t="str">
        <f t="shared" si="35"/>
        <v>Credit</v>
      </c>
      <c r="CG7">
        <v>4</v>
      </c>
      <c r="CH7" s="108" t="str">
        <f>Data!B5</f>
        <v>ADAM UMAR LAMINU</v>
      </c>
      <c r="CI7" s="109"/>
      <c r="CJ7" s="109"/>
      <c r="CK7" s="109"/>
      <c r="CL7" s="109"/>
      <c r="CM7" s="122">
        <f t="shared" si="36"/>
        <v>0</v>
      </c>
      <c r="CN7" s="122"/>
      <c r="CO7" s="122">
        <f t="shared" si="37"/>
        <v>0</v>
      </c>
      <c r="CP7" s="122" t="str">
        <f t="shared" si="38"/>
        <v/>
      </c>
      <c r="CQ7" s="122" t="str">
        <f t="shared" si="39"/>
        <v/>
      </c>
      <c r="CR7" s="122" t="str">
        <f t="shared" si="40"/>
        <v/>
      </c>
      <c r="CS7">
        <v>4</v>
      </c>
      <c r="CT7" s="108" t="str">
        <f>Data!B5</f>
        <v>ADAM UMAR LAMINU</v>
      </c>
      <c r="CU7" s="43"/>
      <c r="CV7" s="43"/>
      <c r="CW7" s="43"/>
      <c r="CX7" s="43"/>
      <c r="CY7" s="123">
        <f t="shared" si="41"/>
        <v>0</v>
      </c>
      <c r="CZ7" s="43"/>
      <c r="DA7" s="123">
        <f t="shared" si="42"/>
        <v>0</v>
      </c>
      <c r="DB7" s="123" t="str">
        <f t="shared" si="43"/>
        <v/>
      </c>
      <c r="DC7" s="123" t="str">
        <f t="shared" si="44"/>
        <v/>
      </c>
      <c r="DD7" s="123" t="str">
        <f t="shared" si="45"/>
        <v/>
      </c>
      <c r="DE7">
        <v>4</v>
      </c>
      <c r="DF7" s="108" t="str">
        <f>Data!B5</f>
        <v>ADAM UMAR LAMINU</v>
      </c>
      <c r="DG7" s="109"/>
      <c r="DH7" s="109"/>
      <c r="DI7" s="109"/>
      <c r="DJ7" s="109"/>
      <c r="DK7" s="117">
        <f t="shared" si="46"/>
        <v>0</v>
      </c>
      <c r="DL7" s="116"/>
      <c r="DM7" s="117">
        <f t="shared" si="47"/>
        <v>0</v>
      </c>
      <c r="DN7" s="117" t="str">
        <f t="shared" si="48"/>
        <v/>
      </c>
      <c r="DO7" s="117" t="str">
        <f t="shared" si="49"/>
        <v/>
      </c>
      <c r="DP7" s="117" t="str">
        <f t="shared" si="50"/>
        <v/>
      </c>
      <c r="DQ7">
        <v>4</v>
      </c>
      <c r="DR7" s="108" t="str">
        <f>Data!B5</f>
        <v>ADAM UMAR LAMINU</v>
      </c>
      <c r="DS7" s="124"/>
      <c r="DT7" s="124"/>
      <c r="DU7" s="124"/>
      <c r="DV7" s="124"/>
      <c r="DW7" s="125">
        <f t="shared" si="51"/>
        <v>0</v>
      </c>
      <c r="DX7" s="126"/>
      <c r="DY7" s="125">
        <f t="shared" si="52"/>
        <v>0</v>
      </c>
      <c r="DZ7" s="125" t="str">
        <f t="shared" si="53"/>
        <v/>
      </c>
      <c r="EA7" s="125" t="str">
        <f t="shared" si="54"/>
        <v/>
      </c>
      <c r="EB7" s="125" t="str">
        <f t="shared" si="55"/>
        <v/>
      </c>
      <c r="EC7">
        <v>4</v>
      </c>
      <c r="ED7" s="108" t="str">
        <f>Data!B5</f>
        <v>ADAM UMAR LAMINU</v>
      </c>
      <c r="EE7" s="109"/>
      <c r="EF7" s="109"/>
      <c r="EG7" s="109"/>
      <c r="EH7" s="109"/>
      <c r="EI7" s="127">
        <f t="shared" si="56"/>
        <v>0</v>
      </c>
      <c r="EJ7" s="127"/>
      <c r="EK7" s="127">
        <f t="shared" si="57"/>
        <v>0</v>
      </c>
      <c r="EL7" s="127" t="str">
        <f t="shared" si="58"/>
        <v/>
      </c>
      <c r="EM7" s="127" t="str">
        <f t="shared" si="59"/>
        <v/>
      </c>
      <c r="EN7" s="127" t="str">
        <f t="shared" si="60"/>
        <v/>
      </c>
      <c r="EO7">
        <v>4</v>
      </c>
      <c r="EP7" s="128" t="str">
        <f>Data!B5</f>
        <v>ADAM UMAR LAMINU</v>
      </c>
      <c r="EQ7" s="109"/>
      <c r="ER7" s="109"/>
      <c r="ES7" s="109"/>
      <c r="ET7" s="109"/>
      <c r="EU7" s="123">
        <f t="shared" si="61"/>
        <v>0</v>
      </c>
      <c r="EV7" s="123"/>
      <c r="EW7" s="123">
        <f t="shared" si="62"/>
        <v>0</v>
      </c>
      <c r="EX7" s="123" t="str">
        <f t="shared" si="63"/>
        <v/>
      </c>
      <c r="EY7" s="123" t="str">
        <f t="shared" si="64"/>
        <v/>
      </c>
      <c r="EZ7" s="123" t="str">
        <f t="shared" si="65"/>
        <v/>
      </c>
      <c r="FA7">
        <v>4</v>
      </c>
      <c r="FB7" s="108" t="str">
        <f>Data!B5</f>
        <v>ADAM UMAR LAMINU</v>
      </c>
      <c r="FC7" s="109"/>
      <c r="FD7" s="109"/>
      <c r="FE7" s="109"/>
      <c r="FF7" s="109"/>
      <c r="FG7" s="129">
        <f t="shared" si="66"/>
        <v>0</v>
      </c>
      <c r="FH7" s="129"/>
      <c r="FI7" s="129">
        <f t="shared" si="67"/>
        <v>0</v>
      </c>
      <c r="FJ7" s="129" t="str">
        <f t="shared" si="68"/>
        <v/>
      </c>
      <c r="FK7" s="129" t="str">
        <f t="shared" si="69"/>
        <v/>
      </c>
      <c r="FL7" s="129" t="str">
        <f t="shared" si="70"/>
        <v/>
      </c>
      <c r="FM7">
        <v>4</v>
      </c>
      <c r="FN7" s="108" t="str">
        <f>Data!B5</f>
        <v>ADAM UMAR LAMINU</v>
      </c>
      <c r="FO7" s="109"/>
      <c r="FP7" s="109"/>
      <c r="FQ7" s="109"/>
      <c r="FR7" s="109"/>
      <c r="FS7" s="130">
        <f t="shared" si="71"/>
        <v>0</v>
      </c>
      <c r="FT7" s="130"/>
      <c r="FU7" s="130">
        <f t="shared" si="72"/>
        <v>0</v>
      </c>
      <c r="FV7" s="130" t="str">
        <f t="shared" si="73"/>
        <v/>
      </c>
      <c r="FW7" s="130" t="str">
        <f t="shared" si="74"/>
        <v/>
      </c>
      <c r="FX7" s="130" t="str">
        <f t="shared" si="75"/>
        <v/>
      </c>
      <c r="FY7">
        <v>4</v>
      </c>
      <c r="FZ7" s="108" t="str">
        <f>Data!B5</f>
        <v>ADAM UMAR LAMINU</v>
      </c>
      <c r="GA7" s="109">
        <v>7</v>
      </c>
      <c r="GB7" s="109">
        <v>8</v>
      </c>
      <c r="GC7" s="109">
        <v>7</v>
      </c>
      <c r="GD7" s="109">
        <v>8</v>
      </c>
      <c r="GE7" s="131">
        <f t="shared" si="76"/>
        <v>30</v>
      </c>
      <c r="GF7" s="131">
        <v>24</v>
      </c>
      <c r="GG7" s="131">
        <f t="shared" si="77"/>
        <v>54</v>
      </c>
      <c r="GH7" s="131">
        <f t="shared" si="78"/>
        <v>25</v>
      </c>
      <c r="GI7" s="131" t="str">
        <f t="shared" si="79"/>
        <v>C</v>
      </c>
      <c r="GJ7" s="131" t="str">
        <f t="shared" si="80"/>
        <v>Credit</v>
      </c>
      <c r="GK7">
        <v>4</v>
      </c>
      <c r="GL7" s="108" t="str">
        <f>Data!B5</f>
        <v>ADAM UMAR LAMINU</v>
      </c>
      <c r="GM7" s="132"/>
      <c r="GN7" s="132"/>
      <c r="GO7" s="132"/>
      <c r="GP7" s="132"/>
      <c r="GQ7" s="133">
        <f t="shared" si="81"/>
        <v>0</v>
      </c>
      <c r="GR7" s="132"/>
      <c r="GS7" s="133">
        <f t="shared" si="82"/>
        <v>0</v>
      </c>
      <c r="GT7" s="133" t="str">
        <f t="shared" si="83"/>
        <v/>
      </c>
      <c r="GU7" s="133" t="str">
        <f t="shared" si="84"/>
        <v/>
      </c>
      <c r="GV7" s="133" t="str">
        <f t="shared" si="85"/>
        <v/>
      </c>
      <c r="GW7">
        <v>4</v>
      </c>
      <c r="GX7" s="108" t="str">
        <f>Data!B5</f>
        <v>ADAM UMAR LAMINU</v>
      </c>
      <c r="GY7" s="109"/>
      <c r="GZ7" s="109"/>
      <c r="HA7" s="109"/>
      <c r="HB7" s="109"/>
      <c r="HC7" s="119">
        <f t="shared" si="86"/>
        <v>0</v>
      </c>
      <c r="HD7" s="119"/>
      <c r="HE7" s="119">
        <f t="shared" si="87"/>
        <v>0</v>
      </c>
      <c r="HF7" s="119" t="str">
        <f t="shared" si="88"/>
        <v/>
      </c>
      <c r="HG7" s="119" t="str">
        <f t="shared" si="89"/>
        <v/>
      </c>
      <c r="HH7" s="119" t="str">
        <f t="shared" si="90"/>
        <v/>
      </c>
      <c r="HI7">
        <v>4</v>
      </c>
      <c r="HJ7" s="108" t="str">
        <f>Data!B5</f>
        <v>ADAM UMAR LAMINU</v>
      </c>
      <c r="HK7" s="144"/>
      <c r="HL7" s="145"/>
      <c r="HM7" s="145"/>
      <c r="HN7" s="145"/>
      <c r="HO7" s="136">
        <f t="shared" si="91"/>
        <v>0</v>
      </c>
      <c r="HP7" s="144"/>
      <c r="HQ7" s="136">
        <f t="shared" si="92"/>
        <v>0</v>
      </c>
      <c r="HR7" s="136" t="str">
        <f t="shared" si="93"/>
        <v/>
      </c>
      <c r="HS7" s="136" t="str">
        <f t="shared" si="94"/>
        <v/>
      </c>
      <c r="HT7" s="136" t="str">
        <f t="shared" si="95"/>
        <v/>
      </c>
      <c r="HU7">
        <v>4</v>
      </c>
      <c r="HV7" s="108" t="str">
        <f>Data!B5</f>
        <v>ADAM UMAR LAMINU</v>
      </c>
      <c r="HW7" s="109"/>
      <c r="HX7" s="109"/>
      <c r="HY7" s="109"/>
      <c r="HZ7" s="109"/>
      <c r="IA7" s="117">
        <f t="shared" si="96"/>
        <v>0</v>
      </c>
      <c r="IB7" s="117"/>
      <c r="IC7" s="117">
        <f t="shared" si="97"/>
        <v>0</v>
      </c>
      <c r="ID7" s="117" t="str">
        <f t="shared" si="98"/>
        <v/>
      </c>
      <c r="IE7" s="117" t="str">
        <f t="shared" si="99"/>
        <v/>
      </c>
      <c r="IF7" s="117" t="str">
        <f t="shared" si="100"/>
        <v/>
      </c>
      <c r="IG7">
        <v>4</v>
      </c>
      <c r="IH7" s="108" t="str">
        <f>Data!B5</f>
        <v>ADAM UMAR LAMINU</v>
      </c>
      <c r="II7" s="109"/>
      <c r="IJ7" s="109"/>
      <c r="IK7" s="109"/>
      <c r="IL7" s="109"/>
      <c r="IM7" s="137">
        <f t="shared" si="101"/>
        <v>0</v>
      </c>
      <c r="IN7" s="137"/>
      <c r="IO7" s="137">
        <f t="shared" si="102"/>
        <v>0</v>
      </c>
      <c r="IP7" s="137" t="str">
        <f t="shared" si="103"/>
        <v/>
      </c>
      <c r="IQ7" s="137" t="str">
        <f t="shared" si="104"/>
        <v/>
      </c>
      <c r="IR7" s="137" t="str">
        <f t="shared" si="105"/>
        <v/>
      </c>
      <c r="IS7">
        <v>4</v>
      </c>
      <c r="IT7" s="108" t="str">
        <f t="shared" si="106"/>
        <v>ADAM UMAR LAMINU</v>
      </c>
      <c r="IU7" s="110"/>
      <c r="IV7" s="110"/>
      <c r="IW7" s="110"/>
      <c r="IX7" s="110"/>
      <c r="IY7" s="111">
        <f t="shared" si="107"/>
        <v>0</v>
      </c>
      <c r="IZ7" s="113">
        <v>42</v>
      </c>
      <c r="JA7" s="131">
        <f t="shared" si="108"/>
        <v>42</v>
      </c>
      <c r="JB7" s="131">
        <f t="shared" si="109"/>
        <v>28</v>
      </c>
      <c r="JC7" s="131" t="str">
        <f t="shared" si="110"/>
        <v>E</v>
      </c>
      <c r="JD7" s="131" t="str">
        <f t="shared" si="111"/>
        <v>Pass</v>
      </c>
      <c r="JE7">
        <v>4</v>
      </c>
      <c r="JF7" s="108" t="str">
        <f t="shared" si="112"/>
        <v>ADAM UMAR LAMINU</v>
      </c>
      <c r="JG7" s="147"/>
      <c r="JH7" s="147"/>
      <c r="JI7" s="147"/>
      <c r="JJ7" s="147"/>
      <c r="JK7" s="113">
        <f t="shared" si="113"/>
        <v>0</v>
      </c>
      <c r="JL7" s="147"/>
      <c r="JM7" s="113">
        <f t="shared" si="114"/>
        <v>0</v>
      </c>
      <c r="JN7" s="113" t="str">
        <f t="shared" si="115"/>
        <v/>
      </c>
      <c r="JO7" s="113" t="str">
        <f t="shared" si="116"/>
        <v/>
      </c>
      <c r="JP7" s="113" t="str">
        <f t="shared" si="117"/>
        <v/>
      </c>
      <c r="JQ7">
        <v>4</v>
      </c>
      <c r="JR7" s="108" t="str">
        <f t="shared" si="118"/>
        <v>ADAM UMAR LAMINU</v>
      </c>
      <c r="JS7" s="140"/>
      <c r="JT7" s="140"/>
      <c r="JU7" s="140"/>
      <c r="JV7" s="140"/>
      <c r="JW7" s="111">
        <f t="shared" si="119"/>
        <v>0</v>
      </c>
      <c r="JX7" s="141"/>
      <c r="JY7" s="111">
        <f t="shared" si="0"/>
        <v>0</v>
      </c>
      <c r="JZ7" s="111" t="str">
        <f t="shared" si="120"/>
        <v/>
      </c>
      <c r="KA7" s="111" t="str">
        <f t="shared" si="121"/>
        <v/>
      </c>
      <c r="KB7" s="111" t="str">
        <f t="shared" si="122"/>
        <v/>
      </c>
      <c r="KD7" s="47"/>
      <c r="KE7" s="47"/>
      <c r="KF7" s="47"/>
      <c r="KG7" s="47"/>
      <c r="KH7" s="47"/>
      <c r="KI7" s="47"/>
      <c r="KJ7" s="47"/>
      <c r="KK7" s="47"/>
      <c r="KM7" s="47"/>
      <c r="KN7" s="47"/>
      <c r="KO7" s="47"/>
      <c r="KP7" s="47"/>
      <c r="KQ7" s="47"/>
      <c r="KR7" s="47"/>
      <c r="KS7" s="47"/>
      <c r="KT7" s="47"/>
      <c r="KU7" s="47"/>
      <c r="KV7" s="47"/>
    </row>
    <row r="8" spans="1:308" ht="23.25">
      <c r="A8" s="211">
        <v>5</v>
      </c>
      <c r="B8" s="108" t="str">
        <f>Data!B6</f>
        <v>ABUBAKAR UMAR</v>
      </c>
      <c r="C8" s="109">
        <v>6</v>
      </c>
      <c r="D8" s="109">
        <v>2</v>
      </c>
      <c r="E8" s="109">
        <v>1</v>
      </c>
      <c r="F8" s="109">
        <v>1</v>
      </c>
      <c r="G8" s="111">
        <f t="shared" si="1"/>
        <v>10</v>
      </c>
      <c r="H8" s="111">
        <v>32</v>
      </c>
      <c r="I8" s="111">
        <f t="shared" si="2"/>
        <v>42</v>
      </c>
      <c r="J8" s="110">
        <f t="shared" si="3"/>
        <v>17</v>
      </c>
      <c r="K8" s="110" t="str">
        <f t="shared" si="4"/>
        <v>E8</v>
      </c>
      <c r="L8" s="110" t="str">
        <f t="shared" si="5"/>
        <v>Pass</v>
      </c>
      <c r="M8" s="48">
        <v>5</v>
      </c>
      <c r="N8" s="108" t="str">
        <f>Data!B6</f>
        <v>ABUBAKAR UMAR</v>
      </c>
      <c r="O8" s="109">
        <v>6</v>
      </c>
      <c r="P8" s="109">
        <v>2</v>
      </c>
      <c r="Q8" s="109">
        <v>1</v>
      </c>
      <c r="R8" s="109">
        <v>1</v>
      </c>
      <c r="S8" s="111">
        <f t="shared" si="6"/>
        <v>10</v>
      </c>
      <c r="T8" s="111">
        <v>32</v>
      </c>
      <c r="U8" s="111">
        <f t="shared" si="7"/>
        <v>42</v>
      </c>
      <c r="V8" s="111">
        <f t="shared" si="8"/>
        <v>12</v>
      </c>
      <c r="W8" s="111" t="str">
        <f t="shared" si="9"/>
        <v>E8</v>
      </c>
      <c r="X8" s="111" t="str">
        <f t="shared" si="10"/>
        <v>Pass</v>
      </c>
      <c r="Y8" s="42">
        <v>5</v>
      </c>
      <c r="Z8" s="108" t="str">
        <f>Data!B6</f>
        <v>ABUBAKAR UMAR</v>
      </c>
      <c r="AA8" s="109">
        <v>6</v>
      </c>
      <c r="AB8" s="109">
        <v>2</v>
      </c>
      <c r="AC8" s="109">
        <v>1</v>
      </c>
      <c r="AD8" s="109">
        <v>1</v>
      </c>
      <c r="AE8" s="111">
        <f t="shared" si="11"/>
        <v>10</v>
      </c>
      <c r="AF8" s="112">
        <v>42</v>
      </c>
      <c r="AG8" s="113">
        <f t="shared" si="12"/>
        <v>52</v>
      </c>
      <c r="AH8" s="113">
        <f t="shared" si="13"/>
        <v>31</v>
      </c>
      <c r="AI8" s="113" t="str">
        <f t="shared" si="14"/>
        <v>C6</v>
      </c>
      <c r="AJ8" s="113" t="str">
        <f t="shared" si="15"/>
        <v>Credit</v>
      </c>
      <c r="AK8" s="42">
        <v>5</v>
      </c>
      <c r="AL8" s="108" t="str">
        <f>Data!B6</f>
        <v>ABUBAKAR UMAR</v>
      </c>
      <c r="AM8" s="114"/>
      <c r="AN8" s="114"/>
      <c r="AO8" s="114"/>
      <c r="AP8" s="114"/>
      <c r="AQ8" s="115">
        <f t="shared" si="16"/>
        <v>0</v>
      </c>
      <c r="AR8" s="114"/>
      <c r="AS8" s="115">
        <f t="shared" si="17"/>
        <v>0</v>
      </c>
      <c r="AT8" s="115" t="str">
        <f t="shared" si="18"/>
        <v/>
      </c>
      <c r="AU8" s="115" t="str">
        <f t="shared" si="19"/>
        <v/>
      </c>
      <c r="AV8" s="115" t="str">
        <f t="shared" si="20"/>
        <v/>
      </c>
      <c r="AW8" s="42">
        <v>5</v>
      </c>
      <c r="AX8" s="108" t="str">
        <f>Data!B6</f>
        <v>ABUBAKAR UMAR</v>
      </c>
      <c r="AY8" s="116"/>
      <c r="AZ8" s="116"/>
      <c r="BA8" s="116"/>
      <c r="BB8" s="116"/>
      <c r="BC8" s="117">
        <f t="shared" si="21"/>
        <v>0</v>
      </c>
      <c r="BD8" s="116"/>
      <c r="BE8" s="117">
        <f t="shared" si="22"/>
        <v>0</v>
      </c>
      <c r="BF8" s="117" t="str">
        <f t="shared" si="23"/>
        <v/>
      </c>
      <c r="BG8" s="117" t="str">
        <f t="shared" si="24"/>
        <v/>
      </c>
      <c r="BH8" s="117" t="str">
        <f t="shared" si="25"/>
        <v/>
      </c>
      <c r="BI8" s="67">
        <v>5</v>
      </c>
      <c r="BJ8" s="108" t="str">
        <f>Data!B6</f>
        <v>ABUBAKAR UMAR</v>
      </c>
      <c r="BK8" s="110">
        <v>6</v>
      </c>
      <c r="BL8" s="110">
        <v>2</v>
      </c>
      <c r="BM8" s="110">
        <v>1</v>
      </c>
      <c r="BN8" s="110">
        <v>1</v>
      </c>
      <c r="BO8" s="111">
        <f t="shared" si="26"/>
        <v>10</v>
      </c>
      <c r="BP8" s="113">
        <v>42</v>
      </c>
      <c r="BQ8" s="119">
        <f t="shared" si="27"/>
        <v>52</v>
      </c>
      <c r="BR8" s="119">
        <f t="shared" si="28"/>
        <v>22</v>
      </c>
      <c r="BS8" s="119" t="str">
        <f t="shared" si="29"/>
        <v>C6</v>
      </c>
      <c r="BT8" s="119" t="str">
        <f t="shared" si="30"/>
        <v>Credit</v>
      </c>
      <c r="BU8">
        <v>5</v>
      </c>
      <c r="BV8" s="108" t="str">
        <f>Data!B6</f>
        <v>ABUBAKAR UMAR</v>
      </c>
      <c r="BW8" s="120">
        <v>4</v>
      </c>
      <c r="BX8" s="120">
        <v>6</v>
      </c>
      <c r="BY8" s="120">
        <v>8</v>
      </c>
      <c r="BZ8" s="120"/>
      <c r="CA8" s="121">
        <f t="shared" si="31"/>
        <v>18</v>
      </c>
      <c r="CB8" s="120">
        <v>20</v>
      </c>
      <c r="CC8" s="121">
        <f t="shared" si="32"/>
        <v>38</v>
      </c>
      <c r="CD8" s="121">
        <f t="shared" si="33"/>
        <v>38</v>
      </c>
      <c r="CE8" s="121" t="str">
        <f t="shared" si="34"/>
        <v>F</v>
      </c>
      <c r="CF8" s="121" t="str">
        <f t="shared" si="35"/>
        <v>Fail</v>
      </c>
      <c r="CG8">
        <v>5</v>
      </c>
      <c r="CH8" s="108" t="str">
        <f>Data!B6</f>
        <v>ABUBAKAR UMAR</v>
      </c>
      <c r="CI8" s="109"/>
      <c r="CJ8" s="109"/>
      <c r="CK8" s="109"/>
      <c r="CL8" s="109"/>
      <c r="CM8" s="122">
        <f t="shared" si="36"/>
        <v>0</v>
      </c>
      <c r="CN8" s="122"/>
      <c r="CO8" s="122">
        <f t="shared" si="37"/>
        <v>0</v>
      </c>
      <c r="CP8" s="122" t="str">
        <f t="shared" si="38"/>
        <v/>
      </c>
      <c r="CQ8" s="122" t="str">
        <f t="shared" si="39"/>
        <v/>
      </c>
      <c r="CR8" s="122" t="str">
        <f t="shared" si="40"/>
        <v/>
      </c>
      <c r="CS8">
        <v>5</v>
      </c>
      <c r="CT8" s="108" t="str">
        <f>Data!B6</f>
        <v>ABUBAKAR UMAR</v>
      </c>
      <c r="CU8" s="43"/>
      <c r="CV8" s="43"/>
      <c r="CW8" s="43"/>
      <c r="CX8" s="43"/>
      <c r="CY8" s="123">
        <f t="shared" si="41"/>
        <v>0</v>
      </c>
      <c r="CZ8" s="43"/>
      <c r="DA8" s="123">
        <f t="shared" si="42"/>
        <v>0</v>
      </c>
      <c r="DB8" s="123" t="str">
        <f t="shared" si="43"/>
        <v/>
      </c>
      <c r="DC8" s="123" t="str">
        <f t="shared" si="44"/>
        <v/>
      </c>
      <c r="DD8" s="123" t="str">
        <f t="shared" si="45"/>
        <v/>
      </c>
      <c r="DE8">
        <v>5</v>
      </c>
      <c r="DF8" s="108" t="str">
        <f>Data!B6</f>
        <v>ABUBAKAR UMAR</v>
      </c>
      <c r="DG8" s="109"/>
      <c r="DH8" s="109"/>
      <c r="DI8" s="109"/>
      <c r="DJ8" s="109"/>
      <c r="DK8" s="117">
        <f t="shared" si="46"/>
        <v>0</v>
      </c>
      <c r="DL8" s="116"/>
      <c r="DM8" s="117">
        <f t="shared" si="47"/>
        <v>0</v>
      </c>
      <c r="DN8" s="117" t="str">
        <f t="shared" si="48"/>
        <v/>
      </c>
      <c r="DO8" s="117" t="str">
        <f t="shared" si="49"/>
        <v/>
      </c>
      <c r="DP8" s="117" t="str">
        <f t="shared" si="50"/>
        <v/>
      </c>
      <c r="DQ8">
        <v>5</v>
      </c>
      <c r="DR8" s="108" t="str">
        <f>Data!B6</f>
        <v>ABUBAKAR UMAR</v>
      </c>
      <c r="DS8" s="124"/>
      <c r="DT8" s="124"/>
      <c r="DU8" s="124"/>
      <c r="DV8" s="124"/>
      <c r="DW8" s="125">
        <f t="shared" si="51"/>
        <v>0</v>
      </c>
      <c r="DX8" s="126"/>
      <c r="DY8" s="125">
        <f t="shared" si="52"/>
        <v>0</v>
      </c>
      <c r="DZ8" s="125" t="str">
        <f t="shared" si="53"/>
        <v/>
      </c>
      <c r="EA8" s="125" t="str">
        <f t="shared" si="54"/>
        <v/>
      </c>
      <c r="EB8" s="125" t="str">
        <f t="shared" si="55"/>
        <v/>
      </c>
      <c r="EC8">
        <v>5</v>
      </c>
      <c r="ED8" s="108" t="str">
        <f>Data!B6</f>
        <v>ABUBAKAR UMAR</v>
      </c>
      <c r="EE8" s="109"/>
      <c r="EF8" s="109"/>
      <c r="EG8" s="109"/>
      <c r="EH8" s="109"/>
      <c r="EI8" s="127">
        <f t="shared" si="56"/>
        <v>0</v>
      </c>
      <c r="EJ8" s="127"/>
      <c r="EK8" s="127">
        <f t="shared" si="57"/>
        <v>0</v>
      </c>
      <c r="EL8" s="127" t="str">
        <f t="shared" si="58"/>
        <v/>
      </c>
      <c r="EM8" s="127" t="str">
        <f t="shared" si="59"/>
        <v/>
      </c>
      <c r="EN8" s="127" t="str">
        <f t="shared" si="60"/>
        <v/>
      </c>
      <c r="EO8">
        <v>5</v>
      </c>
      <c r="EP8" s="128" t="str">
        <f>Data!B6</f>
        <v>ABUBAKAR UMAR</v>
      </c>
      <c r="EQ8" s="109"/>
      <c r="ER8" s="109"/>
      <c r="ES8" s="109"/>
      <c r="ET8" s="109"/>
      <c r="EU8" s="123">
        <f t="shared" si="61"/>
        <v>0</v>
      </c>
      <c r="EV8" s="123"/>
      <c r="EW8" s="123">
        <f t="shared" si="62"/>
        <v>0</v>
      </c>
      <c r="EX8" s="123" t="str">
        <f t="shared" si="63"/>
        <v/>
      </c>
      <c r="EY8" s="123" t="str">
        <f t="shared" si="64"/>
        <v/>
      </c>
      <c r="EZ8" s="123" t="str">
        <f t="shared" si="65"/>
        <v/>
      </c>
      <c r="FA8">
        <v>5</v>
      </c>
      <c r="FB8" s="108" t="str">
        <f>Data!B6</f>
        <v>ABUBAKAR UMAR</v>
      </c>
      <c r="FC8" s="109"/>
      <c r="FD8" s="109"/>
      <c r="FE8" s="109"/>
      <c r="FF8" s="109"/>
      <c r="FG8" s="129">
        <f t="shared" si="66"/>
        <v>0</v>
      </c>
      <c r="FH8" s="129"/>
      <c r="FI8" s="129">
        <f t="shared" si="67"/>
        <v>0</v>
      </c>
      <c r="FJ8" s="129" t="str">
        <f t="shared" si="68"/>
        <v/>
      </c>
      <c r="FK8" s="129" t="str">
        <f t="shared" si="69"/>
        <v/>
      </c>
      <c r="FL8" s="129" t="str">
        <f t="shared" si="70"/>
        <v/>
      </c>
      <c r="FM8">
        <v>5</v>
      </c>
      <c r="FN8" s="108" t="str">
        <f>Data!B6</f>
        <v>ABUBAKAR UMAR</v>
      </c>
      <c r="FO8" s="109"/>
      <c r="FP8" s="109"/>
      <c r="FQ8" s="109"/>
      <c r="FR8" s="109"/>
      <c r="FS8" s="130">
        <f t="shared" si="71"/>
        <v>0</v>
      </c>
      <c r="FT8" s="130"/>
      <c r="FU8" s="130">
        <f t="shared" si="72"/>
        <v>0</v>
      </c>
      <c r="FV8" s="130" t="str">
        <f t="shared" si="73"/>
        <v/>
      </c>
      <c r="FW8" s="130" t="str">
        <f t="shared" si="74"/>
        <v/>
      </c>
      <c r="FX8" s="130" t="str">
        <f t="shared" si="75"/>
        <v/>
      </c>
      <c r="FY8">
        <v>5</v>
      </c>
      <c r="FZ8" s="108" t="str">
        <f>Data!B6</f>
        <v>ABUBAKAR UMAR</v>
      </c>
      <c r="GA8" s="109">
        <v>6</v>
      </c>
      <c r="GB8" s="109">
        <v>6</v>
      </c>
      <c r="GC8" s="109">
        <v>2</v>
      </c>
      <c r="GD8" s="109">
        <v>2</v>
      </c>
      <c r="GE8" s="131">
        <f t="shared" si="76"/>
        <v>16</v>
      </c>
      <c r="GF8" s="131">
        <v>19</v>
      </c>
      <c r="GG8" s="131">
        <f t="shared" si="77"/>
        <v>35</v>
      </c>
      <c r="GH8" s="131">
        <f t="shared" si="78"/>
        <v>39</v>
      </c>
      <c r="GI8" s="131" t="str">
        <f t="shared" si="79"/>
        <v>F</v>
      </c>
      <c r="GJ8" s="131" t="str">
        <f t="shared" si="80"/>
        <v>Fail</v>
      </c>
      <c r="GK8">
        <v>5</v>
      </c>
      <c r="GL8" s="108" t="str">
        <f>Data!B6</f>
        <v>ABUBAKAR UMAR</v>
      </c>
      <c r="GM8" s="132"/>
      <c r="GN8" s="132"/>
      <c r="GO8" s="132"/>
      <c r="GP8" s="132"/>
      <c r="GQ8" s="133">
        <f t="shared" si="81"/>
        <v>0</v>
      </c>
      <c r="GR8" s="132"/>
      <c r="GS8" s="133">
        <f t="shared" si="82"/>
        <v>0</v>
      </c>
      <c r="GT8" s="133" t="str">
        <f t="shared" si="83"/>
        <v/>
      </c>
      <c r="GU8" s="133" t="str">
        <f t="shared" si="84"/>
        <v/>
      </c>
      <c r="GV8" s="133" t="str">
        <f t="shared" si="85"/>
        <v/>
      </c>
      <c r="GW8">
        <v>5</v>
      </c>
      <c r="GX8" s="108" t="str">
        <f>Data!B6</f>
        <v>ABUBAKAR UMAR</v>
      </c>
      <c r="GY8" s="109"/>
      <c r="GZ8" s="109"/>
      <c r="HA8" s="109"/>
      <c r="HB8" s="109"/>
      <c r="HC8" s="119">
        <f t="shared" si="86"/>
        <v>0</v>
      </c>
      <c r="HD8" s="119"/>
      <c r="HE8" s="119">
        <f t="shared" si="87"/>
        <v>0</v>
      </c>
      <c r="HF8" s="119" t="str">
        <f t="shared" si="88"/>
        <v/>
      </c>
      <c r="HG8" s="119" t="str">
        <f t="shared" si="89"/>
        <v/>
      </c>
      <c r="HH8" s="119" t="str">
        <f t="shared" si="90"/>
        <v/>
      </c>
      <c r="HI8">
        <v>5</v>
      </c>
      <c r="HJ8" s="108" t="str">
        <f>Data!B6</f>
        <v>ABUBAKAR UMAR</v>
      </c>
      <c r="HK8" s="144">
        <v>1</v>
      </c>
      <c r="HL8" s="145">
        <v>8</v>
      </c>
      <c r="HM8" s="145">
        <v>8</v>
      </c>
      <c r="HN8" s="145">
        <v>10</v>
      </c>
      <c r="HO8" s="136">
        <f t="shared" si="91"/>
        <v>27</v>
      </c>
      <c r="HP8" s="144"/>
      <c r="HQ8" s="136">
        <f t="shared" si="92"/>
        <v>27</v>
      </c>
      <c r="HR8" s="136">
        <f t="shared" si="93"/>
        <v>5</v>
      </c>
      <c r="HS8" s="136" t="str">
        <f t="shared" si="94"/>
        <v>F</v>
      </c>
      <c r="HT8" s="136" t="str">
        <f t="shared" si="95"/>
        <v>Fail</v>
      </c>
      <c r="HU8">
        <v>5</v>
      </c>
      <c r="HV8" s="108" t="str">
        <f>Data!B6</f>
        <v>ABUBAKAR UMAR</v>
      </c>
      <c r="HW8" s="109"/>
      <c r="HX8" s="109"/>
      <c r="HY8" s="109"/>
      <c r="HZ8" s="109"/>
      <c r="IA8" s="117">
        <f t="shared" si="96"/>
        <v>0</v>
      </c>
      <c r="IB8" s="117"/>
      <c r="IC8" s="117">
        <f t="shared" si="97"/>
        <v>0</v>
      </c>
      <c r="ID8" s="117" t="str">
        <f t="shared" si="98"/>
        <v/>
      </c>
      <c r="IE8" s="117" t="str">
        <f t="shared" si="99"/>
        <v/>
      </c>
      <c r="IF8" s="117" t="str">
        <f t="shared" si="100"/>
        <v/>
      </c>
      <c r="IG8">
        <v>5</v>
      </c>
      <c r="IH8" s="108" t="str">
        <f>Data!B6</f>
        <v>ABUBAKAR UMAR</v>
      </c>
      <c r="II8" s="109"/>
      <c r="IJ8" s="109"/>
      <c r="IK8" s="109"/>
      <c r="IL8" s="109"/>
      <c r="IM8" s="137">
        <f t="shared" si="101"/>
        <v>0</v>
      </c>
      <c r="IN8" s="137"/>
      <c r="IO8" s="137">
        <f t="shared" si="102"/>
        <v>0</v>
      </c>
      <c r="IP8" s="137" t="str">
        <f t="shared" si="103"/>
        <v/>
      </c>
      <c r="IQ8" s="137" t="str">
        <f t="shared" si="104"/>
        <v/>
      </c>
      <c r="IR8" s="137" t="str">
        <f t="shared" si="105"/>
        <v/>
      </c>
      <c r="IS8">
        <v>5</v>
      </c>
      <c r="IT8" s="108" t="str">
        <f t="shared" si="106"/>
        <v>ABUBAKAR UMAR</v>
      </c>
      <c r="IU8" s="110">
        <v>6</v>
      </c>
      <c r="IV8" s="110">
        <v>2</v>
      </c>
      <c r="IW8" s="110">
        <v>1</v>
      </c>
      <c r="IX8" s="110">
        <v>1</v>
      </c>
      <c r="IY8" s="111">
        <f t="shared" si="107"/>
        <v>10</v>
      </c>
      <c r="IZ8" s="113">
        <v>42</v>
      </c>
      <c r="JA8" s="131">
        <f t="shared" si="108"/>
        <v>52</v>
      </c>
      <c r="JB8" s="131">
        <f t="shared" si="109"/>
        <v>22</v>
      </c>
      <c r="JC8" s="131" t="str">
        <f t="shared" si="110"/>
        <v>C</v>
      </c>
      <c r="JD8" s="131" t="str">
        <f t="shared" si="111"/>
        <v>Credit</v>
      </c>
      <c r="JE8">
        <v>5</v>
      </c>
      <c r="JF8" s="108" t="str">
        <f t="shared" si="112"/>
        <v>ABUBAKAR UMAR</v>
      </c>
      <c r="JG8" s="147"/>
      <c r="JH8" s="147"/>
      <c r="JI8" s="147"/>
      <c r="JJ8" s="147"/>
      <c r="JK8" s="113">
        <f t="shared" si="113"/>
        <v>0</v>
      </c>
      <c r="JL8" s="147"/>
      <c r="JM8" s="113">
        <f t="shared" si="114"/>
        <v>0</v>
      </c>
      <c r="JN8" s="113" t="str">
        <f t="shared" si="115"/>
        <v/>
      </c>
      <c r="JO8" s="113" t="str">
        <f t="shared" si="116"/>
        <v/>
      </c>
      <c r="JP8" s="113" t="str">
        <f t="shared" si="117"/>
        <v/>
      </c>
      <c r="JQ8">
        <v>5</v>
      </c>
      <c r="JR8" s="108" t="str">
        <f t="shared" si="118"/>
        <v>ABUBAKAR UMAR</v>
      </c>
      <c r="JS8" s="140"/>
      <c r="JT8" s="140"/>
      <c r="JU8" s="140"/>
      <c r="JV8" s="140"/>
      <c r="JW8" s="111">
        <f t="shared" si="119"/>
        <v>0</v>
      </c>
      <c r="JX8" s="141"/>
      <c r="JY8" s="111">
        <f t="shared" si="0"/>
        <v>0</v>
      </c>
      <c r="JZ8" s="111" t="str">
        <f t="shared" si="120"/>
        <v/>
      </c>
      <c r="KA8" s="111" t="str">
        <f t="shared" si="121"/>
        <v/>
      </c>
      <c r="KB8" s="111" t="str">
        <f t="shared" si="122"/>
        <v/>
      </c>
      <c r="KD8" s="47"/>
      <c r="KE8" s="47"/>
      <c r="KF8" s="47"/>
      <c r="KG8" s="47"/>
      <c r="KH8" s="47"/>
      <c r="KI8" s="47"/>
      <c r="KJ8" s="47"/>
      <c r="KK8" s="47"/>
      <c r="KM8" s="47"/>
      <c r="KN8" s="47"/>
      <c r="KO8" s="47"/>
      <c r="KP8" s="47"/>
      <c r="KQ8" s="47"/>
      <c r="KR8" s="47"/>
      <c r="KS8" s="47"/>
      <c r="KT8" s="47"/>
      <c r="KU8" s="47"/>
      <c r="KV8" s="47"/>
    </row>
    <row r="9" spans="1:308" ht="23.25">
      <c r="A9" s="211">
        <v>6</v>
      </c>
      <c r="B9" s="108" t="str">
        <f>Data!B7</f>
        <v>BABAGANA ISA ABBA</v>
      </c>
      <c r="C9" s="109">
        <v>7</v>
      </c>
      <c r="D9" s="109">
        <v>2</v>
      </c>
      <c r="E9" s="109">
        <v>1</v>
      </c>
      <c r="F9" s="109">
        <v>5</v>
      </c>
      <c r="G9" s="111">
        <f t="shared" si="1"/>
        <v>15</v>
      </c>
      <c r="H9" s="111">
        <v>25</v>
      </c>
      <c r="I9" s="111">
        <f t="shared" si="2"/>
        <v>40</v>
      </c>
      <c r="J9" s="110">
        <f t="shared" si="3"/>
        <v>23</v>
      </c>
      <c r="K9" s="110" t="str">
        <f t="shared" si="4"/>
        <v>E8</v>
      </c>
      <c r="L9" s="110" t="str">
        <f t="shared" si="5"/>
        <v>Pass</v>
      </c>
      <c r="M9" s="48">
        <v>6</v>
      </c>
      <c r="N9" s="108" t="str">
        <f>Data!B7</f>
        <v>BABAGANA ISA ABBA</v>
      </c>
      <c r="O9" s="109">
        <v>7</v>
      </c>
      <c r="P9" s="109">
        <v>2</v>
      </c>
      <c r="Q9" s="109">
        <v>1</v>
      </c>
      <c r="R9" s="109">
        <v>5</v>
      </c>
      <c r="S9" s="111">
        <f t="shared" si="6"/>
        <v>15</v>
      </c>
      <c r="T9" s="111">
        <v>25</v>
      </c>
      <c r="U9" s="111">
        <f t="shared" si="7"/>
        <v>40</v>
      </c>
      <c r="V9" s="111">
        <f t="shared" si="8"/>
        <v>15</v>
      </c>
      <c r="W9" s="111" t="str">
        <f t="shared" si="9"/>
        <v>E8</v>
      </c>
      <c r="X9" s="111" t="str">
        <f t="shared" si="10"/>
        <v>Pass</v>
      </c>
      <c r="Y9" s="42">
        <v>6</v>
      </c>
      <c r="Z9" s="108" t="str">
        <f>Data!B7</f>
        <v>BABAGANA ISA ABBA</v>
      </c>
      <c r="AA9" s="109">
        <v>7</v>
      </c>
      <c r="AB9" s="109">
        <v>2</v>
      </c>
      <c r="AC9" s="109">
        <v>1</v>
      </c>
      <c r="AD9" s="109">
        <v>5</v>
      </c>
      <c r="AE9" s="111">
        <f t="shared" si="11"/>
        <v>15</v>
      </c>
      <c r="AF9" s="112">
        <v>42</v>
      </c>
      <c r="AG9" s="113">
        <f t="shared" si="12"/>
        <v>57</v>
      </c>
      <c r="AH9" s="113">
        <f t="shared" si="13"/>
        <v>23</v>
      </c>
      <c r="AI9" s="113" t="str">
        <f t="shared" si="14"/>
        <v>C5</v>
      </c>
      <c r="AJ9" s="113" t="str">
        <f t="shared" si="15"/>
        <v>Credit</v>
      </c>
      <c r="AK9" s="42">
        <v>6</v>
      </c>
      <c r="AL9" s="108" t="str">
        <f>Data!B7</f>
        <v>BABAGANA ISA ABBA</v>
      </c>
      <c r="AM9" s="114"/>
      <c r="AN9" s="114"/>
      <c r="AO9" s="114"/>
      <c r="AP9" s="114"/>
      <c r="AQ9" s="115">
        <f t="shared" si="16"/>
        <v>0</v>
      </c>
      <c r="AR9" s="114"/>
      <c r="AS9" s="115">
        <f t="shared" si="17"/>
        <v>0</v>
      </c>
      <c r="AT9" s="115" t="str">
        <f t="shared" si="18"/>
        <v/>
      </c>
      <c r="AU9" s="115" t="str">
        <f t="shared" si="19"/>
        <v/>
      </c>
      <c r="AV9" s="115" t="str">
        <f t="shared" si="20"/>
        <v/>
      </c>
      <c r="AW9" s="42">
        <v>6</v>
      </c>
      <c r="AX9" s="108" t="str">
        <f>Data!B7</f>
        <v>BABAGANA ISA ABBA</v>
      </c>
      <c r="AY9" s="116"/>
      <c r="AZ9" s="116"/>
      <c r="BA9" s="116"/>
      <c r="BB9" s="116"/>
      <c r="BC9" s="117">
        <f t="shared" si="21"/>
        <v>0</v>
      </c>
      <c r="BD9" s="116"/>
      <c r="BE9" s="117">
        <f t="shared" si="22"/>
        <v>0</v>
      </c>
      <c r="BF9" s="117" t="str">
        <f t="shared" si="23"/>
        <v/>
      </c>
      <c r="BG9" s="117" t="str">
        <f t="shared" si="24"/>
        <v/>
      </c>
      <c r="BH9" s="117" t="str">
        <f t="shared" si="25"/>
        <v/>
      </c>
      <c r="BI9" s="67">
        <v>6</v>
      </c>
      <c r="BJ9" s="108" t="str">
        <f>Data!B7</f>
        <v>BABAGANA ISA ABBA</v>
      </c>
      <c r="BK9" s="110">
        <v>7</v>
      </c>
      <c r="BL9" s="110">
        <v>2</v>
      </c>
      <c r="BM9" s="110">
        <v>1</v>
      </c>
      <c r="BN9" s="110">
        <v>5</v>
      </c>
      <c r="BO9" s="111">
        <f t="shared" si="26"/>
        <v>15</v>
      </c>
      <c r="BP9" s="113">
        <v>42</v>
      </c>
      <c r="BQ9" s="119">
        <f t="shared" si="27"/>
        <v>57</v>
      </c>
      <c r="BR9" s="119">
        <f t="shared" si="28"/>
        <v>16</v>
      </c>
      <c r="BS9" s="119" t="str">
        <f t="shared" si="29"/>
        <v>C5</v>
      </c>
      <c r="BT9" s="119" t="str">
        <f t="shared" si="30"/>
        <v>Credit</v>
      </c>
      <c r="BU9">
        <v>6</v>
      </c>
      <c r="BV9" s="108" t="str">
        <f>Data!B7</f>
        <v>BABAGANA ISA ABBA</v>
      </c>
      <c r="BW9" s="120">
        <v>4</v>
      </c>
      <c r="BX9" s="120">
        <v>1</v>
      </c>
      <c r="BY9" s="120">
        <v>8</v>
      </c>
      <c r="BZ9" s="120">
        <v>7</v>
      </c>
      <c r="CA9" s="121">
        <f t="shared" si="31"/>
        <v>20</v>
      </c>
      <c r="CB9" s="120">
        <v>18</v>
      </c>
      <c r="CC9" s="121">
        <f t="shared" si="32"/>
        <v>38</v>
      </c>
      <c r="CD9" s="121">
        <f t="shared" si="33"/>
        <v>38</v>
      </c>
      <c r="CE9" s="121" t="str">
        <f t="shared" si="34"/>
        <v>F</v>
      </c>
      <c r="CF9" s="121" t="str">
        <f t="shared" si="35"/>
        <v>Fail</v>
      </c>
      <c r="CG9">
        <v>6</v>
      </c>
      <c r="CH9" s="108" t="str">
        <f>Data!B7</f>
        <v>BABAGANA ISA ABBA</v>
      </c>
      <c r="CI9" s="109"/>
      <c r="CJ9" s="109"/>
      <c r="CK9" s="109"/>
      <c r="CL9" s="109"/>
      <c r="CM9" s="122">
        <f t="shared" si="36"/>
        <v>0</v>
      </c>
      <c r="CN9" s="122"/>
      <c r="CO9" s="122">
        <f t="shared" si="37"/>
        <v>0</v>
      </c>
      <c r="CP9" s="122" t="str">
        <f t="shared" si="38"/>
        <v/>
      </c>
      <c r="CQ9" s="122" t="str">
        <f t="shared" si="39"/>
        <v/>
      </c>
      <c r="CR9" s="122" t="str">
        <f t="shared" si="40"/>
        <v/>
      </c>
      <c r="CS9">
        <v>6</v>
      </c>
      <c r="CT9" s="108" t="str">
        <f>Data!B7</f>
        <v>BABAGANA ISA ABBA</v>
      </c>
      <c r="CU9" s="43"/>
      <c r="CV9" s="43"/>
      <c r="CW9" s="43"/>
      <c r="CX9" s="43"/>
      <c r="CY9" s="123">
        <f t="shared" si="41"/>
        <v>0</v>
      </c>
      <c r="CZ9" s="43"/>
      <c r="DA9" s="123">
        <f t="shared" si="42"/>
        <v>0</v>
      </c>
      <c r="DB9" s="123" t="str">
        <f t="shared" si="43"/>
        <v/>
      </c>
      <c r="DC9" s="123" t="str">
        <f t="shared" si="44"/>
        <v/>
      </c>
      <c r="DD9" s="123" t="str">
        <f t="shared" si="45"/>
        <v/>
      </c>
      <c r="DE9">
        <v>6</v>
      </c>
      <c r="DF9" s="108" t="str">
        <f>Data!B7</f>
        <v>BABAGANA ISA ABBA</v>
      </c>
      <c r="DG9" s="109"/>
      <c r="DH9" s="109"/>
      <c r="DI9" s="109"/>
      <c r="DJ9" s="109"/>
      <c r="DK9" s="117">
        <f t="shared" si="46"/>
        <v>0</v>
      </c>
      <c r="DL9" s="116"/>
      <c r="DM9" s="117">
        <f t="shared" si="47"/>
        <v>0</v>
      </c>
      <c r="DN9" s="117" t="str">
        <f t="shared" si="48"/>
        <v/>
      </c>
      <c r="DO9" s="117" t="str">
        <f t="shared" si="49"/>
        <v/>
      </c>
      <c r="DP9" s="117" t="str">
        <f t="shared" si="50"/>
        <v/>
      </c>
      <c r="DQ9">
        <v>6</v>
      </c>
      <c r="DR9" s="108" t="str">
        <f>Data!B7</f>
        <v>BABAGANA ISA ABBA</v>
      </c>
      <c r="DS9" s="124"/>
      <c r="DT9" s="124"/>
      <c r="DU9" s="124"/>
      <c r="DV9" s="124"/>
      <c r="DW9" s="125">
        <f t="shared" si="51"/>
        <v>0</v>
      </c>
      <c r="DX9" s="126"/>
      <c r="DY9" s="125">
        <f t="shared" si="52"/>
        <v>0</v>
      </c>
      <c r="DZ9" s="125" t="str">
        <f t="shared" si="53"/>
        <v/>
      </c>
      <c r="EA9" s="125" t="str">
        <f t="shared" si="54"/>
        <v/>
      </c>
      <c r="EB9" s="125" t="str">
        <f t="shared" si="55"/>
        <v/>
      </c>
      <c r="EC9">
        <v>6</v>
      </c>
      <c r="ED9" s="108" t="str">
        <f>Data!B7</f>
        <v>BABAGANA ISA ABBA</v>
      </c>
      <c r="EE9" s="109"/>
      <c r="EF9" s="109"/>
      <c r="EG9" s="109"/>
      <c r="EH9" s="109"/>
      <c r="EI9" s="127">
        <f t="shared" si="56"/>
        <v>0</v>
      </c>
      <c r="EJ9" s="127"/>
      <c r="EK9" s="127">
        <f t="shared" si="57"/>
        <v>0</v>
      </c>
      <c r="EL9" s="127" t="str">
        <f t="shared" si="58"/>
        <v/>
      </c>
      <c r="EM9" s="127" t="str">
        <f t="shared" si="59"/>
        <v/>
      </c>
      <c r="EN9" s="127" t="str">
        <f t="shared" si="60"/>
        <v/>
      </c>
      <c r="EO9">
        <v>6</v>
      </c>
      <c r="EP9" s="128" t="str">
        <f>Data!B7</f>
        <v>BABAGANA ISA ABBA</v>
      </c>
      <c r="EQ9" s="109"/>
      <c r="ER9" s="109"/>
      <c r="ES9" s="109"/>
      <c r="ET9" s="109"/>
      <c r="EU9" s="123">
        <f t="shared" si="61"/>
        <v>0</v>
      </c>
      <c r="EV9" s="123"/>
      <c r="EW9" s="123">
        <f t="shared" si="62"/>
        <v>0</v>
      </c>
      <c r="EX9" s="123" t="str">
        <f t="shared" si="63"/>
        <v/>
      </c>
      <c r="EY9" s="123" t="str">
        <f t="shared" si="64"/>
        <v/>
      </c>
      <c r="EZ9" s="123" t="str">
        <f t="shared" si="65"/>
        <v/>
      </c>
      <c r="FA9">
        <v>6</v>
      </c>
      <c r="FB9" s="108" t="str">
        <f>Data!B7</f>
        <v>BABAGANA ISA ABBA</v>
      </c>
      <c r="FC9" s="109"/>
      <c r="FD9" s="109"/>
      <c r="FE9" s="109"/>
      <c r="FF9" s="109"/>
      <c r="FG9" s="129">
        <f t="shared" si="66"/>
        <v>0</v>
      </c>
      <c r="FH9" s="129"/>
      <c r="FI9" s="129">
        <f t="shared" si="67"/>
        <v>0</v>
      </c>
      <c r="FJ9" s="129" t="str">
        <f t="shared" si="68"/>
        <v/>
      </c>
      <c r="FK9" s="129" t="str">
        <f t="shared" si="69"/>
        <v/>
      </c>
      <c r="FL9" s="129" t="str">
        <f t="shared" si="70"/>
        <v/>
      </c>
      <c r="FM9">
        <v>6</v>
      </c>
      <c r="FN9" s="108" t="str">
        <f>Data!B7</f>
        <v>BABAGANA ISA ABBA</v>
      </c>
      <c r="FO9" s="109"/>
      <c r="FP9" s="109"/>
      <c r="FQ9" s="109"/>
      <c r="FR9" s="109"/>
      <c r="FS9" s="130">
        <f t="shared" si="71"/>
        <v>0</v>
      </c>
      <c r="FT9" s="130"/>
      <c r="FU9" s="130">
        <f t="shared" si="72"/>
        <v>0</v>
      </c>
      <c r="FV9" s="130" t="str">
        <f t="shared" si="73"/>
        <v/>
      </c>
      <c r="FW9" s="130" t="str">
        <f t="shared" si="74"/>
        <v/>
      </c>
      <c r="FX9" s="130" t="str">
        <f t="shared" si="75"/>
        <v/>
      </c>
      <c r="FY9">
        <v>6</v>
      </c>
      <c r="FZ9" s="108" t="str">
        <f>Data!B7</f>
        <v>BABAGANA ISA ABBA</v>
      </c>
      <c r="GA9" s="109">
        <v>5</v>
      </c>
      <c r="GB9" s="109">
        <v>6</v>
      </c>
      <c r="GC9" s="109">
        <v>5</v>
      </c>
      <c r="GD9" s="109">
        <v>6</v>
      </c>
      <c r="GE9" s="131">
        <f t="shared" si="76"/>
        <v>22</v>
      </c>
      <c r="GF9" s="131">
        <v>11</v>
      </c>
      <c r="GG9" s="131">
        <f t="shared" si="77"/>
        <v>33</v>
      </c>
      <c r="GH9" s="131">
        <f t="shared" si="78"/>
        <v>41</v>
      </c>
      <c r="GI9" s="131" t="str">
        <f t="shared" si="79"/>
        <v>F</v>
      </c>
      <c r="GJ9" s="131" t="str">
        <f t="shared" si="80"/>
        <v>Fail</v>
      </c>
      <c r="GK9">
        <v>6</v>
      </c>
      <c r="GL9" s="108" t="str">
        <f>Data!B7</f>
        <v>BABAGANA ISA ABBA</v>
      </c>
      <c r="GM9" s="132"/>
      <c r="GN9" s="132"/>
      <c r="GO9" s="132"/>
      <c r="GP9" s="132"/>
      <c r="GQ9" s="133">
        <f t="shared" si="81"/>
        <v>0</v>
      </c>
      <c r="GR9" s="132"/>
      <c r="GS9" s="133">
        <f t="shared" si="82"/>
        <v>0</v>
      </c>
      <c r="GT9" s="133" t="str">
        <f t="shared" si="83"/>
        <v/>
      </c>
      <c r="GU9" s="133" t="str">
        <f t="shared" si="84"/>
        <v/>
      </c>
      <c r="GV9" s="133" t="str">
        <f t="shared" si="85"/>
        <v/>
      </c>
      <c r="GW9">
        <v>6</v>
      </c>
      <c r="GX9" s="108" t="str">
        <f>Data!B7</f>
        <v>BABAGANA ISA ABBA</v>
      </c>
      <c r="GY9" s="109"/>
      <c r="GZ9" s="109"/>
      <c r="HA9" s="109"/>
      <c r="HB9" s="109"/>
      <c r="HC9" s="119">
        <f t="shared" si="86"/>
        <v>0</v>
      </c>
      <c r="HD9" s="119"/>
      <c r="HE9" s="119">
        <f t="shared" si="87"/>
        <v>0</v>
      </c>
      <c r="HF9" s="119" t="str">
        <f t="shared" si="88"/>
        <v/>
      </c>
      <c r="HG9" s="119" t="str">
        <f t="shared" si="89"/>
        <v/>
      </c>
      <c r="HH9" s="119" t="str">
        <f t="shared" si="90"/>
        <v/>
      </c>
      <c r="HI9">
        <v>6</v>
      </c>
      <c r="HJ9" s="108" t="str">
        <f>Data!B7</f>
        <v>BABAGANA ISA ABBA</v>
      </c>
      <c r="HK9" s="144"/>
      <c r="HL9" s="145">
        <v>5</v>
      </c>
      <c r="HM9" s="145"/>
      <c r="HN9" s="145"/>
      <c r="HO9" s="136">
        <f t="shared" si="91"/>
        <v>5</v>
      </c>
      <c r="HP9" s="144"/>
      <c r="HQ9" s="136">
        <f t="shared" si="92"/>
        <v>5</v>
      </c>
      <c r="HR9" s="136" t="str">
        <f t="shared" si="93"/>
        <v/>
      </c>
      <c r="HS9" s="136" t="b">
        <f t="shared" si="94"/>
        <v>0</v>
      </c>
      <c r="HT9" s="136" t="b">
        <f t="shared" si="95"/>
        <v>0</v>
      </c>
      <c r="HU9">
        <v>6</v>
      </c>
      <c r="HV9" s="108" t="str">
        <f>Data!B7</f>
        <v>BABAGANA ISA ABBA</v>
      </c>
      <c r="HW9" s="109"/>
      <c r="HX9" s="109"/>
      <c r="HY9" s="109"/>
      <c r="HZ9" s="109"/>
      <c r="IA9" s="117">
        <f t="shared" si="96"/>
        <v>0</v>
      </c>
      <c r="IB9" s="117"/>
      <c r="IC9" s="117">
        <f t="shared" si="97"/>
        <v>0</v>
      </c>
      <c r="ID9" s="117" t="str">
        <f t="shared" si="98"/>
        <v/>
      </c>
      <c r="IE9" s="117" t="str">
        <f t="shared" si="99"/>
        <v/>
      </c>
      <c r="IF9" s="117" t="str">
        <f t="shared" si="100"/>
        <v/>
      </c>
      <c r="IG9">
        <v>6</v>
      </c>
      <c r="IH9" s="108" t="str">
        <f>Data!B7</f>
        <v>BABAGANA ISA ABBA</v>
      </c>
      <c r="II9" s="109"/>
      <c r="IJ9" s="109"/>
      <c r="IK9" s="109"/>
      <c r="IL9" s="109"/>
      <c r="IM9" s="137">
        <f t="shared" si="101"/>
        <v>0</v>
      </c>
      <c r="IN9" s="137"/>
      <c r="IO9" s="137">
        <f t="shared" si="102"/>
        <v>0</v>
      </c>
      <c r="IP9" s="137" t="str">
        <f t="shared" si="103"/>
        <v/>
      </c>
      <c r="IQ9" s="137" t="str">
        <f t="shared" si="104"/>
        <v/>
      </c>
      <c r="IR9" s="137" t="str">
        <f t="shared" si="105"/>
        <v/>
      </c>
      <c r="IS9">
        <v>6</v>
      </c>
      <c r="IT9" s="108" t="str">
        <f t="shared" si="106"/>
        <v>BABAGANA ISA ABBA</v>
      </c>
      <c r="IU9" s="110">
        <v>7</v>
      </c>
      <c r="IV9" s="110">
        <v>2</v>
      </c>
      <c r="IW9" s="110">
        <v>1</v>
      </c>
      <c r="IX9" s="110">
        <v>5</v>
      </c>
      <c r="IY9" s="111">
        <f t="shared" si="107"/>
        <v>15</v>
      </c>
      <c r="IZ9" s="113">
        <v>42</v>
      </c>
      <c r="JA9" s="131">
        <f t="shared" si="108"/>
        <v>57</v>
      </c>
      <c r="JB9" s="131">
        <f t="shared" si="109"/>
        <v>16</v>
      </c>
      <c r="JC9" s="131" t="str">
        <f t="shared" si="110"/>
        <v>C</v>
      </c>
      <c r="JD9" s="131" t="str">
        <f t="shared" si="111"/>
        <v>Credit</v>
      </c>
      <c r="JE9">
        <v>6</v>
      </c>
      <c r="JF9" s="108" t="str">
        <f t="shared" si="112"/>
        <v>BABAGANA ISA ABBA</v>
      </c>
      <c r="JG9" s="147"/>
      <c r="JH9" s="147"/>
      <c r="JI9" s="147"/>
      <c r="JJ9" s="147"/>
      <c r="JK9" s="113">
        <f t="shared" si="113"/>
        <v>0</v>
      </c>
      <c r="JL9" s="147"/>
      <c r="JM9" s="113">
        <f t="shared" si="114"/>
        <v>0</v>
      </c>
      <c r="JN9" s="113" t="str">
        <f t="shared" si="115"/>
        <v/>
      </c>
      <c r="JO9" s="113" t="str">
        <f t="shared" si="116"/>
        <v/>
      </c>
      <c r="JP9" s="113" t="str">
        <f t="shared" si="117"/>
        <v/>
      </c>
      <c r="JQ9">
        <v>6</v>
      </c>
      <c r="JR9" s="108" t="str">
        <f t="shared" si="118"/>
        <v>BABAGANA ISA ABBA</v>
      </c>
      <c r="JS9" s="140"/>
      <c r="JT9" s="140"/>
      <c r="JU9" s="140"/>
      <c r="JV9" s="140"/>
      <c r="JW9" s="111">
        <f t="shared" si="119"/>
        <v>0</v>
      </c>
      <c r="JX9" s="141"/>
      <c r="JY9" s="111">
        <f t="shared" si="0"/>
        <v>0</v>
      </c>
      <c r="JZ9" s="111" t="str">
        <f t="shared" si="120"/>
        <v/>
      </c>
      <c r="KA9" s="111" t="str">
        <f t="shared" si="121"/>
        <v/>
      </c>
      <c r="KB9" s="111" t="str">
        <f t="shared" si="122"/>
        <v/>
      </c>
      <c r="KD9" s="47"/>
      <c r="KE9" s="47"/>
      <c r="KF9" s="47"/>
      <c r="KG9" s="47"/>
      <c r="KH9" s="47"/>
      <c r="KI9" s="47"/>
      <c r="KJ9" s="47"/>
      <c r="KK9" s="47"/>
      <c r="KM9" s="47"/>
      <c r="KN9" s="47"/>
      <c r="KO9" s="47"/>
      <c r="KP9" s="47"/>
      <c r="KQ9" s="47"/>
      <c r="KR9" s="47"/>
      <c r="KS9" s="47"/>
      <c r="KT9" s="47"/>
      <c r="KU9" s="47"/>
      <c r="KV9" s="47"/>
    </row>
    <row r="10" spans="1:308" ht="23.25">
      <c r="A10" s="211">
        <v>7</v>
      </c>
      <c r="B10" s="108" t="str">
        <f>Data!B8</f>
        <v>BABASHEHU ABDULLAHI</v>
      </c>
      <c r="C10" s="109">
        <v>7</v>
      </c>
      <c r="D10" s="109">
        <v>1</v>
      </c>
      <c r="E10" s="109">
        <v>1</v>
      </c>
      <c r="F10" s="109">
        <v>4</v>
      </c>
      <c r="G10" s="111">
        <f t="shared" si="1"/>
        <v>13</v>
      </c>
      <c r="H10" s="111">
        <v>22</v>
      </c>
      <c r="I10" s="111">
        <f t="shared" si="2"/>
        <v>35</v>
      </c>
      <c r="J10" s="110">
        <f t="shared" si="3"/>
        <v>27</v>
      </c>
      <c r="K10" s="110" t="str">
        <f t="shared" si="4"/>
        <v>F</v>
      </c>
      <c r="L10" s="110" t="str">
        <f t="shared" si="5"/>
        <v>Fail</v>
      </c>
      <c r="M10" s="48">
        <v>7</v>
      </c>
      <c r="N10" s="108" t="str">
        <f>Data!B8</f>
        <v>BABASHEHU ABDULLAHI</v>
      </c>
      <c r="O10" s="109">
        <v>7</v>
      </c>
      <c r="P10" s="109">
        <v>1</v>
      </c>
      <c r="Q10" s="109">
        <v>1</v>
      </c>
      <c r="R10" s="109">
        <v>4</v>
      </c>
      <c r="S10" s="111">
        <f t="shared" si="6"/>
        <v>13</v>
      </c>
      <c r="T10" s="111">
        <v>22</v>
      </c>
      <c r="U10" s="111">
        <f t="shared" si="7"/>
        <v>35</v>
      </c>
      <c r="V10" s="111">
        <f t="shared" si="8"/>
        <v>18</v>
      </c>
      <c r="W10" s="111" t="str">
        <f t="shared" si="9"/>
        <v>F</v>
      </c>
      <c r="X10" s="111" t="str">
        <f t="shared" si="10"/>
        <v>Fail</v>
      </c>
      <c r="Y10" s="42">
        <v>7</v>
      </c>
      <c r="Z10" s="108" t="str">
        <f>Data!B8</f>
        <v>BABASHEHU ABDULLAHI</v>
      </c>
      <c r="AA10" s="109">
        <v>7</v>
      </c>
      <c r="AB10" s="109">
        <v>1</v>
      </c>
      <c r="AC10" s="109">
        <v>1</v>
      </c>
      <c r="AD10" s="109">
        <v>4</v>
      </c>
      <c r="AE10" s="111">
        <f t="shared" si="11"/>
        <v>13</v>
      </c>
      <c r="AF10" s="112">
        <v>42</v>
      </c>
      <c r="AG10" s="113">
        <f t="shared" si="12"/>
        <v>55</v>
      </c>
      <c r="AH10" s="113">
        <f t="shared" si="13"/>
        <v>25</v>
      </c>
      <c r="AI10" s="113" t="str">
        <f t="shared" si="14"/>
        <v>C5</v>
      </c>
      <c r="AJ10" s="113" t="str">
        <f t="shared" si="15"/>
        <v>Credit</v>
      </c>
      <c r="AK10" s="42">
        <v>7</v>
      </c>
      <c r="AL10" s="108" t="str">
        <f>Data!B8</f>
        <v>BABASHEHU ABDULLAHI</v>
      </c>
      <c r="AM10" s="114"/>
      <c r="AN10" s="114"/>
      <c r="AO10" s="114"/>
      <c r="AP10" s="114"/>
      <c r="AQ10" s="115">
        <f t="shared" si="16"/>
        <v>0</v>
      </c>
      <c r="AR10" s="114"/>
      <c r="AS10" s="115">
        <f t="shared" si="17"/>
        <v>0</v>
      </c>
      <c r="AT10" s="115" t="str">
        <f t="shared" si="18"/>
        <v/>
      </c>
      <c r="AU10" s="115" t="str">
        <f t="shared" si="19"/>
        <v/>
      </c>
      <c r="AV10" s="115" t="str">
        <f t="shared" si="20"/>
        <v/>
      </c>
      <c r="AW10" s="42">
        <v>7</v>
      </c>
      <c r="AX10" s="108" t="str">
        <f>Data!B8</f>
        <v>BABASHEHU ABDULLAHI</v>
      </c>
      <c r="AY10" s="116"/>
      <c r="AZ10" s="116"/>
      <c r="BA10" s="116"/>
      <c r="BB10" s="116"/>
      <c r="BC10" s="117">
        <f t="shared" si="21"/>
        <v>0</v>
      </c>
      <c r="BD10" s="116"/>
      <c r="BE10" s="117">
        <f t="shared" si="22"/>
        <v>0</v>
      </c>
      <c r="BF10" s="117" t="str">
        <f t="shared" si="23"/>
        <v/>
      </c>
      <c r="BG10" s="117" t="str">
        <f t="shared" si="24"/>
        <v/>
      </c>
      <c r="BH10" s="117" t="str">
        <f t="shared" si="25"/>
        <v/>
      </c>
      <c r="BI10" s="67">
        <v>7</v>
      </c>
      <c r="BJ10" s="108" t="str">
        <f>Data!B8</f>
        <v>BABASHEHU ABDULLAHI</v>
      </c>
      <c r="BK10" s="110">
        <v>7</v>
      </c>
      <c r="BL10" s="110">
        <v>1</v>
      </c>
      <c r="BM10" s="110">
        <v>1</v>
      </c>
      <c r="BN10" s="110">
        <v>4</v>
      </c>
      <c r="BO10" s="111">
        <f t="shared" si="26"/>
        <v>13</v>
      </c>
      <c r="BP10" s="113">
        <v>42</v>
      </c>
      <c r="BQ10" s="119">
        <f t="shared" si="27"/>
        <v>55</v>
      </c>
      <c r="BR10" s="119">
        <f t="shared" si="28"/>
        <v>17</v>
      </c>
      <c r="BS10" s="119" t="str">
        <f t="shared" si="29"/>
        <v>C5</v>
      </c>
      <c r="BT10" s="119" t="str">
        <f t="shared" si="30"/>
        <v>Credit</v>
      </c>
      <c r="BU10">
        <v>7</v>
      </c>
      <c r="BV10" s="108" t="str">
        <f>Data!B8</f>
        <v>BABASHEHU ABDULLAHI</v>
      </c>
      <c r="BW10" s="120">
        <v>6</v>
      </c>
      <c r="BX10" s="120">
        <v>5</v>
      </c>
      <c r="BY10" s="120">
        <v>9</v>
      </c>
      <c r="BZ10" s="120">
        <v>8</v>
      </c>
      <c r="CA10" s="121">
        <f t="shared" si="31"/>
        <v>28</v>
      </c>
      <c r="CB10" s="120">
        <v>18</v>
      </c>
      <c r="CC10" s="121">
        <f t="shared" si="32"/>
        <v>46</v>
      </c>
      <c r="CD10" s="121">
        <f t="shared" si="33"/>
        <v>29</v>
      </c>
      <c r="CE10" s="121" t="str">
        <f t="shared" si="34"/>
        <v>D7</v>
      </c>
      <c r="CF10" s="121" t="str">
        <f t="shared" si="35"/>
        <v>Pass</v>
      </c>
      <c r="CG10">
        <v>7</v>
      </c>
      <c r="CH10" s="108" t="str">
        <f>Data!B8</f>
        <v>BABASHEHU ABDULLAHI</v>
      </c>
      <c r="CI10" s="109"/>
      <c r="CJ10" s="109"/>
      <c r="CK10" s="109"/>
      <c r="CL10" s="109"/>
      <c r="CM10" s="122">
        <f t="shared" si="36"/>
        <v>0</v>
      </c>
      <c r="CN10" s="122"/>
      <c r="CO10" s="122">
        <f t="shared" si="37"/>
        <v>0</v>
      </c>
      <c r="CP10" s="122" t="str">
        <f t="shared" si="38"/>
        <v/>
      </c>
      <c r="CQ10" s="122" t="str">
        <f t="shared" si="39"/>
        <v/>
      </c>
      <c r="CR10" s="122" t="str">
        <f t="shared" si="40"/>
        <v/>
      </c>
      <c r="CS10">
        <v>7</v>
      </c>
      <c r="CT10" s="108" t="str">
        <f>Data!B8</f>
        <v>BABASHEHU ABDULLAHI</v>
      </c>
      <c r="CU10" s="43"/>
      <c r="CV10" s="43"/>
      <c r="CW10" s="43"/>
      <c r="CX10" s="43"/>
      <c r="CY10" s="123">
        <f t="shared" si="41"/>
        <v>0</v>
      </c>
      <c r="CZ10" s="43"/>
      <c r="DA10" s="123">
        <f t="shared" si="42"/>
        <v>0</v>
      </c>
      <c r="DB10" s="123" t="str">
        <f t="shared" si="43"/>
        <v/>
      </c>
      <c r="DC10" s="123" t="str">
        <f t="shared" si="44"/>
        <v/>
      </c>
      <c r="DD10" s="123" t="str">
        <f t="shared" si="45"/>
        <v/>
      </c>
      <c r="DE10">
        <v>7</v>
      </c>
      <c r="DF10" s="108" t="str">
        <f>Data!B8</f>
        <v>BABASHEHU ABDULLAHI</v>
      </c>
      <c r="DG10" s="109">
        <v>4</v>
      </c>
      <c r="DH10" s="109">
        <v>2</v>
      </c>
      <c r="DI10" s="109">
        <v>2</v>
      </c>
      <c r="DJ10" s="109">
        <v>5</v>
      </c>
      <c r="DK10" s="117">
        <f t="shared" si="46"/>
        <v>13</v>
      </c>
      <c r="DL10" s="116">
        <v>30</v>
      </c>
      <c r="DM10" s="117">
        <f t="shared" si="47"/>
        <v>43</v>
      </c>
      <c r="DN10" s="117">
        <f t="shared" si="48"/>
        <v>3</v>
      </c>
      <c r="DO10" s="117" t="str">
        <f t="shared" si="49"/>
        <v>E8</v>
      </c>
      <c r="DP10" s="117" t="str">
        <f t="shared" si="50"/>
        <v>Pass</v>
      </c>
      <c r="DQ10">
        <v>7</v>
      </c>
      <c r="DR10" s="108" t="str">
        <f>Data!B8</f>
        <v>BABASHEHU ABDULLAHI</v>
      </c>
      <c r="DS10" s="124"/>
      <c r="DT10" s="124"/>
      <c r="DU10" s="124"/>
      <c r="DV10" s="124"/>
      <c r="DW10" s="125">
        <f t="shared" si="51"/>
        <v>0</v>
      </c>
      <c r="DX10" s="126"/>
      <c r="DY10" s="125">
        <f t="shared" si="52"/>
        <v>0</v>
      </c>
      <c r="DZ10" s="125" t="str">
        <f t="shared" si="53"/>
        <v/>
      </c>
      <c r="EA10" s="125" t="str">
        <f t="shared" si="54"/>
        <v/>
      </c>
      <c r="EB10" s="125" t="str">
        <f t="shared" si="55"/>
        <v/>
      </c>
      <c r="EC10">
        <v>7</v>
      </c>
      <c r="ED10" s="108" t="str">
        <f>Data!B8</f>
        <v>BABASHEHU ABDULLAHI</v>
      </c>
      <c r="EE10" s="109"/>
      <c r="EF10" s="109"/>
      <c r="EG10" s="109"/>
      <c r="EH10" s="109"/>
      <c r="EI10" s="127">
        <f t="shared" si="56"/>
        <v>0</v>
      </c>
      <c r="EJ10" s="127"/>
      <c r="EK10" s="127">
        <f t="shared" si="57"/>
        <v>0</v>
      </c>
      <c r="EL10" s="127" t="str">
        <f t="shared" si="58"/>
        <v/>
      </c>
      <c r="EM10" s="127" t="str">
        <f t="shared" si="59"/>
        <v/>
      </c>
      <c r="EN10" s="127" t="str">
        <f t="shared" si="60"/>
        <v/>
      </c>
      <c r="EO10">
        <v>7</v>
      </c>
      <c r="EP10" s="128" t="str">
        <f>Data!B8</f>
        <v>BABASHEHU ABDULLAHI</v>
      </c>
      <c r="EQ10" s="109"/>
      <c r="ER10" s="109"/>
      <c r="ES10" s="109"/>
      <c r="ET10" s="109"/>
      <c r="EU10" s="123">
        <f t="shared" si="61"/>
        <v>0</v>
      </c>
      <c r="EV10" s="123"/>
      <c r="EW10" s="123">
        <f t="shared" si="62"/>
        <v>0</v>
      </c>
      <c r="EX10" s="123" t="str">
        <f t="shared" si="63"/>
        <v/>
      </c>
      <c r="EY10" s="123" t="str">
        <f t="shared" si="64"/>
        <v/>
      </c>
      <c r="EZ10" s="123" t="str">
        <f t="shared" si="65"/>
        <v/>
      </c>
      <c r="FA10">
        <v>7</v>
      </c>
      <c r="FB10" s="108" t="str">
        <f>Data!B8</f>
        <v>BABASHEHU ABDULLAHI</v>
      </c>
      <c r="FC10" s="109"/>
      <c r="FD10" s="109"/>
      <c r="FE10" s="109"/>
      <c r="FF10" s="109"/>
      <c r="FG10" s="129">
        <f t="shared" si="66"/>
        <v>0</v>
      </c>
      <c r="FH10" s="129"/>
      <c r="FI10" s="129">
        <f t="shared" si="67"/>
        <v>0</v>
      </c>
      <c r="FJ10" s="129" t="str">
        <f t="shared" si="68"/>
        <v/>
      </c>
      <c r="FK10" s="129" t="str">
        <f t="shared" si="69"/>
        <v/>
      </c>
      <c r="FL10" s="129" t="str">
        <f t="shared" si="70"/>
        <v/>
      </c>
      <c r="FM10">
        <v>7</v>
      </c>
      <c r="FN10" s="108" t="str">
        <f>Data!B8</f>
        <v>BABASHEHU ABDULLAHI</v>
      </c>
      <c r="FO10" s="109"/>
      <c r="FP10" s="109"/>
      <c r="FQ10" s="109"/>
      <c r="FR10" s="109"/>
      <c r="FS10" s="130">
        <f t="shared" si="71"/>
        <v>0</v>
      </c>
      <c r="FT10" s="130"/>
      <c r="FU10" s="130">
        <f t="shared" si="72"/>
        <v>0</v>
      </c>
      <c r="FV10" s="130" t="str">
        <f t="shared" si="73"/>
        <v/>
      </c>
      <c r="FW10" s="130" t="str">
        <f t="shared" si="74"/>
        <v/>
      </c>
      <c r="FX10" s="130" t="str">
        <f t="shared" si="75"/>
        <v/>
      </c>
      <c r="FY10">
        <v>7</v>
      </c>
      <c r="FZ10" s="108" t="str">
        <f>Data!B8</f>
        <v>BABASHEHU ABDULLAHI</v>
      </c>
      <c r="GA10" s="109">
        <v>7</v>
      </c>
      <c r="GB10" s="109">
        <v>8</v>
      </c>
      <c r="GC10" s="109">
        <v>4</v>
      </c>
      <c r="GD10" s="109">
        <v>4</v>
      </c>
      <c r="GE10" s="131">
        <f t="shared" si="76"/>
        <v>23</v>
      </c>
      <c r="GF10" s="131">
        <v>32</v>
      </c>
      <c r="GG10" s="131">
        <f t="shared" si="77"/>
        <v>55</v>
      </c>
      <c r="GH10" s="131">
        <f t="shared" si="78"/>
        <v>21</v>
      </c>
      <c r="GI10" s="131" t="str">
        <f t="shared" si="79"/>
        <v>C</v>
      </c>
      <c r="GJ10" s="131" t="str">
        <f t="shared" si="80"/>
        <v>Credit</v>
      </c>
      <c r="GK10">
        <v>7</v>
      </c>
      <c r="GL10" s="108" t="str">
        <f>Data!B8</f>
        <v>BABASHEHU ABDULLAHI</v>
      </c>
      <c r="GM10" s="132"/>
      <c r="GN10" s="132"/>
      <c r="GO10" s="132"/>
      <c r="GP10" s="132"/>
      <c r="GQ10" s="133">
        <f t="shared" si="81"/>
        <v>0</v>
      </c>
      <c r="GR10" s="132"/>
      <c r="GS10" s="133">
        <f t="shared" si="82"/>
        <v>0</v>
      </c>
      <c r="GT10" s="133" t="str">
        <f t="shared" si="83"/>
        <v/>
      </c>
      <c r="GU10" s="133" t="str">
        <f t="shared" si="84"/>
        <v/>
      </c>
      <c r="GV10" s="133" t="str">
        <f t="shared" si="85"/>
        <v/>
      </c>
      <c r="GW10">
        <v>7</v>
      </c>
      <c r="GX10" s="108" t="str">
        <f>Data!B8</f>
        <v>BABASHEHU ABDULLAHI</v>
      </c>
      <c r="GY10" s="109"/>
      <c r="GZ10" s="109"/>
      <c r="HA10" s="109"/>
      <c r="HB10" s="109"/>
      <c r="HC10" s="119">
        <f t="shared" si="86"/>
        <v>0</v>
      </c>
      <c r="HD10" s="119"/>
      <c r="HE10" s="119">
        <f t="shared" si="87"/>
        <v>0</v>
      </c>
      <c r="HF10" s="119" t="str">
        <f t="shared" si="88"/>
        <v/>
      </c>
      <c r="HG10" s="119" t="str">
        <f t="shared" si="89"/>
        <v/>
      </c>
      <c r="HH10" s="119" t="str">
        <f t="shared" si="90"/>
        <v/>
      </c>
      <c r="HI10">
        <v>7</v>
      </c>
      <c r="HJ10" s="108" t="str">
        <f>Data!B8</f>
        <v>BABASHEHU ABDULLAHI</v>
      </c>
      <c r="HK10" s="144"/>
      <c r="HL10" s="145"/>
      <c r="HM10" s="145"/>
      <c r="HN10" s="145"/>
      <c r="HO10" s="136">
        <f t="shared" si="91"/>
        <v>0</v>
      </c>
      <c r="HP10" s="144"/>
      <c r="HQ10" s="136">
        <f t="shared" si="92"/>
        <v>0</v>
      </c>
      <c r="HR10" s="136" t="str">
        <f t="shared" si="93"/>
        <v/>
      </c>
      <c r="HS10" s="136" t="str">
        <f t="shared" si="94"/>
        <v/>
      </c>
      <c r="HT10" s="136" t="str">
        <f t="shared" si="95"/>
        <v/>
      </c>
      <c r="HU10">
        <v>7</v>
      </c>
      <c r="HV10" s="108" t="str">
        <f>Data!B8</f>
        <v>BABASHEHU ABDULLAHI</v>
      </c>
      <c r="HW10" s="109"/>
      <c r="HX10" s="109"/>
      <c r="HY10" s="109"/>
      <c r="HZ10" s="109"/>
      <c r="IA10" s="117">
        <f t="shared" si="96"/>
        <v>0</v>
      </c>
      <c r="IB10" s="117"/>
      <c r="IC10" s="117">
        <f t="shared" si="97"/>
        <v>0</v>
      </c>
      <c r="ID10" s="117" t="str">
        <f t="shared" si="98"/>
        <v/>
      </c>
      <c r="IE10" s="117" t="str">
        <f t="shared" si="99"/>
        <v/>
      </c>
      <c r="IF10" s="117" t="str">
        <f t="shared" si="100"/>
        <v/>
      </c>
      <c r="IG10">
        <v>7</v>
      </c>
      <c r="IH10" s="108" t="str">
        <f>Data!B8</f>
        <v>BABASHEHU ABDULLAHI</v>
      </c>
      <c r="II10" s="109"/>
      <c r="IJ10" s="109"/>
      <c r="IK10" s="109"/>
      <c r="IL10" s="109"/>
      <c r="IM10" s="137">
        <f t="shared" si="101"/>
        <v>0</v>
      </c>
      <c r="IN10" s="137"/>
      <c r="IO10" s="137">
        <f t="shared" si="102"/>
        <v>0</v>
      </c>
      <c r="IP10" s="137" t="str">
        <f t="shared" si="103"/>
        <v/>
      </c>
      <c r="IQ10" s="137" t="str">
        <f t="shared" si="104"/>
        <v/>
      </c>
      <c r="IR10" s="137" t="str">
        <f t="shared" si="105"/>
        <v/>
      </c>
      <c r="IS10">
        <v>7</v>
      </c>
      <c r="IT10" s="108" t="str">
        <f t="shared" si="106"/>
        <v>BABASHEHU ABDULLAHI</v>
      </c>
      <c r="IU10" s="110">
        <v>7</v>
      </c>
      <c r="IV10" s="110">
        <v>1</v>
      </c>
      <c r="IW10" s="110">
        <v>1</v>
      </c>
      <c r="IX10" s="110">
        <v>4</v>
      </c>
      <c r="IY10" s="111">
        <f t="shared" si="107"/>
        <v>13</v>
      </c>
      <c r="IZ10" s="113">
        <v>42</v>
      </c>
      <c r="JA10" s="131">
        <f t="shared" si="108"/>
        <v>55</v>
      </c>
      <c r="JB10" s="131">
        <f t="shared" si="109"/>
        <v>17</v>
      </c>
      <c r="JC10" s="131" t="str">
        <f t="shared" si="110"/>
        <v>C</v>
      </c>
      <c r="JD10" s="131" t="str">
        <f t="shared" si="111"/>
        <v>Credit</v>
      </c>
      <c r="JE10">
        <v>7</v>
      </c>
      <c r="JF10" s="108" t="str">
        <f t="shared" si="112"/>
        <v>BABASHEHU ABDULLAHI</v>
      </c>
      <c r="JG10" s="147"/>
      <c r="JH10" s="147"/>
      <c r="JI10" s="147"/>
      <c r="JJ10" s="147"/>
      <c r="JK10" s="113">
        <f t="shared" si="113"/>
        <v>0</v>
      </c>
      <c r="JL10" s="147"/>
      <c r="JM10" s="113">
        <f t="shared" si="114"/>
        <v>0</v>
      </c>
      <c r="JN10" s="113" t="str">
        <f t="shared" si="115"/>
        <v/>
      </c>
      <c r="JO10" s="113" t="str">
        <f t="shared" si="116"/>
        <v/>
      </c>
      <c r="JP10" s="113" t="str">
        <f t="shared" si="117"/>
        <v/>
      </c>
      <c r="JQ10">
        <v>7</v>
      </c>
      <c r="JR10" s="108" t="str">
        <f t="shared" si="118"/>
        <v>BABASHEHU ABDULLAHI</v>
      </c>
      <c r="JS10" s="140"/>
      <c r="JT10" s="140"/>
      <c r="JU10" s="140"/>
      <c r="JV10" s="140"/>
      <c r="JW10" s="111">
        <f t="shared" si="119"/>
        <v>0</v>
      </c>
      <c r="JX10" s="141"/>
      <c r="JY10" s="111">
        <f t="shared" si="0"/>
        <v>0</v>
      </c>
      <c r="JZ10" s="111" t="str">
        <f t="shared" si="120"/>
        <v/>
      </c>
      <c r="KA10" s="111" t="str">
        <f t="shared" si="121"/>
        <v/>
      </c>
      <c r="KB10" s="111" t="str">
        <f t="shared" si="122"/>
        <v/>
      </c>
      <c r="KD10" s="47"/>
      <c r="KE10" s="47"/>
      <c r="KF10" s="47"/>
      <c r="KG10" s="47"/>
      <c r="KH10" s="47"/>
      <c r="KI10" s="47"/>
      <c r="KJ10" s="47"/>
      <c r="KK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</row>
    <row r="11" spans="1:308" ht="23.25">
      <c r="A11" s="211">
        <v>8</v>
      </c>
      <c r="B11" s="108" t="str">
        <f>Data!B9</f>
        <v>BUKAR MUHAMMED GAMBO</v>
      </c>
      <c r="C11" s="109">
        <v>10</v>
      </c>
      <c r="D11" s="109">
        <v>4</v>
      </c>
      <c r="E11" s="109">
        <v>1</v>
      </c>
      <c r="F11" s="109">
        <v>5</v>
      </c>
      <c r="G11" s="111">
        <f t="shared" si="1"/>
        <v>20</v>
      </c>
      <c r="H11" s="111">
        <v>32</v>
      </c>
      <c r="I11" s="111">
        <f t="shared" si="2"/>
        <v>52</v>
      </c>
      <c r="J11" s="110">
        <f t="shared" si="3"/>
        <v>10</v>
      </c>
      <c r="K11" s="110" t="str">
        <f t="shared" si="4"/>
        <v>C6</v>
      </c>
      <c r="L11" s="110" t="str">
        <f t="shared" si="5"/>
        <v>Credit</v>
      </c>
      <c r="M11" s="48">
        <v>8</v>
      </c>
      <c r="N11" s="108" t="str">
        <f>Data!B9</f>
        <v>BUKAR MUHAMMED GAMBO</v>
      </c>
      <c r="O11" s="109">
        <v>10</v>
      </c>
      <c r="P11" s="109">
        <v>4</v>
      </c>
      <c r="Q11" s="109">
        <v>1</v>
      </c>
      <c r="R11" s="109">
        <v>5</v>
      </c>
      <c r="S11" s="111">
        <f t="shared" si="6"/>
        <v>20</v>
      </c>
      <c r="T11" s="111">
        <v>32</v>
      </c>
      <c r="U11" s="111">
        <f t="shared" si="7"/>
        <v>52</v>
      </c>
      <c r="V11" s="111">
        <f t="shared" si="8"/>
        <v>8</v>
      </c>
      <c r="W11" s="111" t="str">
        <f t="shared" si="9"/>
        <v>C6</v>
      </c>
      <c r="X11" s="111" t="str">
        <f t="shared" si="10"/>
        <v>Credit</v>
      </c>
      <c r="Y11" s="42">
        <v>8</v>
      </c>
      <c r="Z11" s="108" t="str">
        <f>Data!B9</f>
        <v>BUKAR MUHAMMED GAMBO</v>
      </c>
      <c r="AA11" s="109">
        <v>10</v>
      </c>
      <c r="AB11" s="109">
        <v>4</v>
      </c>
      <c r="AC11" s="109">
        <v>1</v>
      </c>
      <c r="AD11" s="109">
        <v>5</v>
      </c>
      <c r="AE11" s="111">
        <f t="shared" si="11"/>
        <v>20</v>
      </c>
      <c r="AF11" s="112">
        <v>42</v>
      </c>
      <c r="AG11" s="113">
        <f t="shared" si="12"/>
        <v>62</v>
      </c>
      <c r="AH11" s="113">
        <f t="shared" si="13"/>
        <v>15</v>
      </c>
      <c r="AI11" s="113" t="str">
        <f t="shared" si="14"/>
        <v>C4</v>
      </c>
      <c r="AJ11" s="113" t="str">
        <f t="shared" si="15"/>
        <v>Credit</v>
      </c>
      <c r="AK11" s="42">
        <v>8</v>
      </c>
      <c r="AL11" s="108" t="str">
        <f>Data!B9</f>
        <v>BUKAR MUHAMMED GAMBO</v>
      </c>
      <c r="AM11" s="114"/>
      <c r="AN11" s="114"/>
      <c r="AO11" s="114"/>
      <c r="AP11" s="114"/>
      <c r="AQ11" s="115">
        <f t="shared" si="16"/>
        <v>0</v>
      </c>
      <c r="AR11" s="114"/>
      <c r="AS11" s="115">
        <f t="shared" si="17"/>
        <v>0</v>
      </c>
      <c r="AT11" s="115" t="str">
        <f t="shared" si="18"/>
        <v/>
      </c>
      <c r="AU11" s="115" t="str">
        <f t="shared" si="19"/>
        <v/>
      </c>
      <c r="AV11" s="115" t="str">
        <f t="shared" si="20"/>
        <v/>
      </c>
      <c r="AW11" s="42">
        <v>8</v>
      </c>
      <c r="AX11" s="108" t="str">
        <f>Data!B9</f>
        <v>BUKAR MUHAMMED GAMBO</v>
      </c>
      <c r="AY11" s="116"/>
      <c r="AZ11" s="116"/>
      <c r="BA11" s="116"/>
      <c r="BB11" s="116"/>
      <c r="BC11" s="117">
        <f t="shared" si="21"/>
        <v>0</v>
      </c>
      <c r="BD11" s="116"/>
      <c r="BE11" s="117">
        <f t="shared" si="22"/>
        <v>0</v>
      </c>
      <c r="BF11" s="117" t="str">
        <f t="shared" si="23"/>
        <v/>
      </c>
      <c r="BG11" s="117" t="str">
        <f t="shared" si="24"/>
        <v/>
      </c>
      <c r="BH11" s="117" t="str">
        <f t="shared" si="25"/>
        <v/>
      </c>
      <c r="BI11" s="67">
        <v>8</v>
      </c>
      <c r="BJ11" s="108" t="str">
        <f>Data!B9</f>
        <v>BUKAR MUHAMMED GAMBO</v>
      </c>
      <c r="BK11" s="110">
        <v>10</v>
      </c>
      <c r="BL11" s="110">
        <v>4</v>
      </c>
      <c r="BM11" s="110">
        <v>1</v>
      </c>
      <c r="BN11" s="110">
        <v>5</v>
      </c>
      <c r="BO11" s="111">
        <f t="shared" si="26"/>
        <v>20</v>
      </c>
      <c r="BP11" s="113">
        <v>42</v>
      </c>
      <c r="BQ11" s="119">
        <f t="shared" si="27"/>
        <v>62</v>
      </c>
      <c r="BR11" s="119">
        <f t="shared" si="28"/>
        <v>11</v>
      </c>
      <c r="BS11" s="119" t="str">
        <f t="shared" si="29"/>
        <v>C4</v>
      </c>
      <c r="BT11" s="119" t="str">
        <f t="shared" si="30"/>
        <v>Credit</v>
      </c>
      <c r="BU11">
        <v>8</v>
      </c>
      <c r="BV11" s="108" t="str">
        <f>Data!B9</f>
        <v>BUKAR MUHAMMED GAMBO</v>
      </c>
      <c r="BW11" s="120">
        <v>7</v>
      </c>
      <c r="BX11" s="120">
        <v>8</v>
      </c>
      <c r="BY11" s="120">
        <v>10</v>
      </c>
      <c r="BZ11" s="120">
        <v>9</v>
      </c>
      <c r="CA11" s="121">
        <f t="shared" si="31"/>
        <v>34</v>
      </c>
      <c r="CB11" s="120">
        <v>40</v>
      </c>
      <c r="CC11" s="121">
        <f t="shared" si="32"/>
        <v>74</v>
      </c>
      <c r="CD11" s="121">
        <f t="shared" si="33"/>
        <v>8</v>
      </c>
      <c r="CE11" s="121" t="str">
        <f t="shared" si="34"/>
        <v>B2</v>
      </c>
      <c r="CF11" s="121" t="str">
        <f t="shared" si="35"/>
        <v>V.Good</v>
      </c>
      <c r="CG11">
        <v>8</v>
      </c>
      <c r="CH11" s="108" t="str">
        <f>Data!B9</f>
        <v>BUKAR MUHAMMED GAMBO</v>
      </c>
      <c r="CI11" s="109"/>
      <c r="CJ11" s="109"/>
      <c r="CK11" s="109"/>
      <c r="CL11" s="109"/>
      <c r="CM11" s="122">
        <f t="shared" si="36"/>
        <v>0</v>
      </c>
      <c r="CN11" s="122"/>
      <c r="CO11" s="122">
        <f t="shared" si="37"/>
        <v>0</v>
      </c>
      <c r="CP11" s="122" t="str">
        <f t="shared" si="38"/>
        <v/>
      </c>
      <c r="CQ11" s="122" t="str">
        <f t="shared" si="39"/>
        <v/>
      </c>
      <c r="CR11" s="122" t="str">
        <f t="shared" si="40"/>
        <v/>
      </c>
      <c r="CS11">
        <v>8</v>
      </c>
      <c r="CT11" s="108" t="str">
        <f>Data!B9</f>
        <v>BUKAR MUHAMMED GAMBO</v>
      </c>
      <c r="CU11" s="43"/>
      <c r="CV11" s="43"/>
      <c r="CW11" s="43"/>
      <c r="CX11" s="43"/>
      <c r="CY11" s="123">
        <f t="shared" si="41"/>
        <v>0</v>
      </c>
      <c r="CZ11" s="43"/>
      <c r="DA11" s="123">
        <f t="shared" si="42"/>
        <v>0</v>
      </c>
      <c r="DB11" s="123" t="str">
        <f t="shared" si="43"/>
        <v/>
      </c>
      <c r="DC11" s="123" t="str">
        <f t="shared" si="44"/>
        <v/>
      </c>
      <c r="DD11" s="123" t="str">
        <f t="shared" si="45"/>
        <v/>
      </c>
      <c r="DE11">
        <v>8</v>
      </c>
      <c r="DF11" s="108" t="str">
        <f>Data!B9</f>
        <v>BUKAR MUHAMMED GAMBO</v>
      </c>
      <c r="DG11" s="109"/>
      <c r="DH11" s="109"/>
      <c r="DI11" s="109"/>
      <c r="DJ11" s="109"/>
      <c r="DK11" s="117">
        <f t="shared" si="46"/>
        <v>0</v>
      </c>
      <c r="DL11" s="116"/>
      <c r="DM11" s="117">
        <f t="shared" si="47"/>
        <v>0</v>
      </c>
      <c r="DN11" s="117" t="str">
        <f t="shared" si="48"/>
        <v/>
      </c>
      <c r="DO11" s="117" t="str">
        <f t="shared" si="49"/>
        <v/>
      </c>
      <c r="DP11" s="117" t="str">
        <f t="shared" si="50"/>
        <v/>
      </c>
      <c r="DQ11">
        <v>8</v>
      </c>
      <c r="DR11" s="108" t="str">
        <f>Data!B9</f>
        <v>BUKAR MUHAMMED GAMBO</v>
      </c>
      <c r="DS11" s="124"/>
      <c r="DT11" s="124"/>
      <c r="DU11" s="124"/>
      <c r="DV11" s="124"/>
      <c r="DW11" s="125">
        <f t="shared" si="51"/>
        <v>0</v>
      </c>
      <c r="DX11" s="126"/>
      <c r="DY11" s="125">
        <f t="shared" si="52"/>
        <v>0</v>
      </c>
      <c r="DZ11" s="125" t="str">
        <f t="shared" si="53"/>
        <v/>
      </c>
      <c r="EA11" s="125" t="str">
        <f t="shared" si="54"/>
        <v/>
      </c>
      <c r="EB11" s="125" t="str">
        <f t="shared" si="55"/>
        <v/>
      </c>
      <c r="EC11">
        <v>8</v>
      </c>
      <c r="ED11" s="108" t="str">
        <f>Data!B9</f>
        <v>BUKAR MUHAMMED GAMBO</v>
      </c>
      <c r="EE11" s="109"/>
      <c r="EF11" s="109"/>
      <c r="EG11" s="109"/>
      <c r="EH11" s="109"/>
      <c r="EI11" s="127">
        <f t="shared" si="56"/>
        <v>0</v>
      </c>
      <c r="EJ11" s="127"/>
      <c r="EK11" s="127">
        <f t="shared" si="57"/>
        <v>0</v>
      </c>
      <c r="EL11" s="127" t="str">
        <f t="shared" si="58"/>
        <v/>
      </c>
      <c r="EM11" s="127" t="str">
        <f t="shared" si="59"/>
        <v/>
      </c>
      <c r="EN11" s="127" t="str">
        <f t="shared" si="60"/>
        <v/>
      </c>
      <c r="EO11">
        <v>8</v>
      </c>
      <c r="EP11" s="128" t="str">
        <f>Data!B9</f>
        <v>BUKAR MUHAMMED GAMBO</v>
      </c>
      <c r="EQ11" s="109"/>
      <c r="ER11" s="109"/>
      <c r="ES11" s="109"/>
      <c r="ET11" s="109"/>
      <c r="EU11" s="123">
        <f t="shared" si="61"/>
        <v>0</v>
      </c>
      <c r="EV11" s="123"/>
      <c r="EW11" s="123">
        <f t="shared" si="62"/>
        <v>0</v>
      </c>
      <c r="EX11" s="123" t="str">
        <f t="shared" si="63"/>
        <v/>
      </c>
      <c r="EY11" s="123" t="str">
        <f t="shared" si="64"/>
        <v/>
      </c>
      <c r="EZ11" s="123" t="str">
        <f t="shared" si="65"/>
        <v/>
      </c>
      <c r="FA11">
        <v>8</v>
      </c>
      <c r="FB11" s="108" t="str">
        <f>Data!B9</f>
        <v>BUKAR MUHAMMED GAMBO</v>
      </c>
      <c r="FC11" s="109"/>
      <c r="FD11" s="109"/>
      <c r="FE11" s="109"/>
      <c r="FF11" s="109"/>
      <c r="FG11" s="129">
        <f t="shared" si="66"/>
        <v>0</v>
      </c>
      <c r="FH11" s="129"/>
      <c r="FI11" s="129">
        <f t="shared" si="67"/>
        <v>0</v>
      </c>
      <c r="FJ11" s="129" t="str">
        <f t="shared" si="68"/>
        <v/>
      </c>
      <c r="FK11" s="129" t="str">
        <f t="shared" si="69"/>
        <v/>
      </c>
      <c r="FL11" s="129" t="str">
        <f t="shared" si="70"/>
        <v/>
      </c>
      <c r="FM11">
        <v>8</v>
      </c>
      <c r="FN11" s="108" t="str">
        <f>Data!B9</f>
        <v>BUKAR MUHAMMED GAMBO</v>
      </c>
      <c r="FO11" s="109"/>
      <c r="FP11" s="109"/>
      <c r="FQ11" s="109"/>
      <c r="FR11" s="109"/>
      <c r="FS11" s="130">
        <f t="shared" si="71"/>
        <v>0</v>
      </c>
      <c r="FT11" s="130"/>
      <c r="FU11" s="130">
        <f t="shared" si="72"/>
        <v>0</v>
      </c>
      <c r="FV11" s="130" t="str">
        <f t="shared" si="73"/>
        <v/>
      </c>
      <c r="FW11" s="130" t="str">
        <f t="shared" si="74"/>
        <v/>
      </c>
      <c r="FX11" s="130" t="str">
        <f t="shared" si="75"/>
        <v/>
      </c>
      <c r="FY11">
        <v>8</v>
      </c>
      <c r="FZ11" s="108" t="str">
        <f>Data!B9</f>
        <v>BUKAR MUHAMMED GAMBO</v>
      </c>
      <c r="GA11" s="109">
        <v>8</v>
      </c>
      <c r="GB11" s="109">
        <v>9</v>
      </c>
      <c r="GC11" s="109">
        <v>9</v>
      </c>
      <c r="GD11" s="109">
        <v>8</v>
      </c>
      <c r="GE11" s="131">
        <f t="shared" si="76"/>
        <v>34</v>
      </c>
      <c r="GF11" s="131">
        <v>33</v>
      </c>
      <c r="GG11" s="131">
        <f t="shared" si="77"/>
        <v>67</v>
      </c>
      <c r="GH11" s="131">
        <f t="shared" si="78"/>
        <v>7</v>
      </c>
      <c r="GI11" s="131" t="str">
        <f t="shared" si="79"/>
        <v>C</v>
      </c>
      <c r="GJ11" s="131" t="str">
        <f t="shared" si="80"/>
        <v>Good</v>
      </c>
      <c r="GK11">
        <v>8</v>
      </c>
      <c r="GL11" s="108" t="str">
        <f>Data!B9</f>
        <v>BUKAR MUHAMMED GAMBO</v>
      </c>
      <c r="GM11" s="132"/>
      <c r="GN11" s="132"/>
      <c r="GO11" s="132"/>
      <c r="GP11" s="132"/>
      <c r="GQ11" s="133">
        <f t="shared" si="81"/>
        <v>0</v>
      </c>
      <c r="GR11" s="132"/>
      <c r="GS11" s="133">
        <f t="shared" si="82"/>
        <v>0</v>
      </c>
      <c r="GT11" s="133" t="str">
        <f t="shared" si="83"/>
        <v/>
      </c>
      <c r="GU11" s="133" t="str">
        <f t="shared" si="84"/>
        <v/>
      </c>
      <c r="GV11" s="133" t="str">
        <f t="shared" si="85"/>
        <v/>
      </c>
      <c r="GW11">
        <v>8</v>
      </c>
      <c r="GX11" s="108" t="str">
        <f>Data!B9</f>
        <v>BUKAR MUHAMMED GAMBO</v>
      </c>
      <c r="GY11" s="109">
        <v>10</v>
      </c>
      <c r="GZ11" s="109">
        <v>8</v>
      </c>
      <c r="HA11" s="109">
        <v>7</v>
      </c>
      <c r="HB11" s="109">
        <v>10</v>
      </c>
      <c r="HC11" s="119">
        <f t="shared" si="86"/>
        <v>35</v>
      </c>
      <c r="HD11" s="119"/>
      <c r="HE11" s="119">
        <f t="shared" si="87"/>
        <v>35</v>
      </c>
      <c r="HF11" s="119">
        <f t="shared" si="88"/>
        <v>4</v>
      </c>
      <c r="HG11" s="119" t="str">
        <f t="shared" si="89"/>
        <v>F</v>
      </c>
      <c r="HH11" s="119" t="str">
        <f t="shared" si="90"/>
        <v>Fail</v>
      </c>
      <c r="HI11">
        <v>8</v>
      </c>
      <c r="HJ11" s="108" t="str">
        <f>Data!B9</f>
        <v>BUKAR MUHAMMED GAMBO</v>
      </c>
      <c r="HK11" s="144"/>
      <c r="HL11" s="145"/>
      <c r="HM11" s="145"/>
      <c r="HN11" s="145"/>
      <c r="HO11" s="136">
        <f t="shared" si="91"/>
        <v>0</v>
      </c>
      <c r="HP11" s="144"/>
      <c r="HQ11" s="136">
        <f t="shared" si="92"/>
        <v>0</v>
      </c>
      <c r="HR11" s="136" t="str">
        <f t="shared" si="93"/>
        <v/>
      </c>
      <c r="HS11" s="136" t="str">
        <f t="shared" si="94"/>
        <v/>
      </c>
      <c r="HT11" s="136" t="str">
        <f t="shared" si="95"/>
        <v/>
      </c>
      <c r="HU11">
        <v>8</v>
      </c>
      <c r="HV11" s="108" t="str">
        <f>Data!B9</f>
        <v>BUKAR MUHAMMED GAMBO</v>
      </c>
      <c r="HW11" s="109"/>
      <c r="HX11" s="109"/>
      <c r="HY11" s="109"/>
      <c r="HZ11" s="109"/>
      <c r="IA11" s="117">
        <f t="shared" si="96"/>
        <v>0</v>
      </c>
      <c r="IB11" s="117"/>
      <c r="IC11" s="117">
        <f t="shared" si="97"/>
        <v>0</v>
      </c>
      <c r="ID11" s="117" t="str">
        <f t="shared" si="98"/>
        <v/>
      </c>
      <c r="IE11" s="117" t="str">
        <f t="shared" si="99"/>
        <v/>
      </c>
      <c r="IF11" s="117" t="str">
        <f t="shared" si="100"/>
        <v/>
      </c>
      <c r="IG11">
        <v>8</v>
      </c>
      <c r="IH11" s="108" t="str">
        <f>Data!B9</f>
        <v>BUKAR MUHAMMED GAMBO</v>
      </c>
      <c r="II11" s="109"/>
      <c r="IJ11" s="109"/>
      <c r="IK11" s="109"/>
      <c r="IL11" s="109"/>
      <c r="IM11" s="137">
        <f t="shared" si="101"/>
        <v>0</v>
      </c>
      <c r="IN11" s="137"/>
      <c r="IO11" s="137">
        <f t="shared" si="102"/>
        <v>0</v>
      </c>
      <c r="IP11" s="137" t="str">
        <f t="shared" si="103"/>
        <v/>
      </c>
      <c r="IQ11" s="137" t="str">
        <f t="shared" si="104"/>
        <v/>
      </c>
      <c r="IR11" s="137" t="str">
        <f t="shared" si="105"/>
        <v/>
      </c>
      <c r="IS11">
        <v>8</v>
      </c>
      <c r="IT11" s="108" t="str">
        <f t="shared" si="106"/>
        <v>BUKAR MUHAMMED GAMBO</v>
      </c>
      <c r="IU11" s="110">
        <v>10</v>
      </c>
      <c r="IV11" s="110">
        <v>4</v>
      </c>
      <c r="IW11" s="110">
        <v>1</v>
      </c>
      <c r="IX11" s="110">
        <v>5</v>
      </c>
      <c r="IY11" s="111">
        <f t="shared" si="107"/>
        <v>20</v>
      </c>
      <c r="IZ11" s="113">
        <v>42</v>
      </c>
      <c r="JA11" s="131">
        <f t="shared" si="108"/>
        <v>62</v>
      </c>
      <c r="JB11" s="131">
        <f t="shared" si="109"/>
        <v>11</v>
      </c>
      <c r="JC11" s="131" t="str">
        <f t="shared" si="110"/>
        <v>C</v>
      </c>
      <c r="JD11" s="131" t="str">
        <f t="shared" si="111"/>
        <v>Credit</v>
      </c>
      <c r="JE11">
        <v>8</v>
      </c>
      <c r="JF11" s="108" t="str">
        <f t="shared" si="112"/>
        <v>BUKAR MUHAMMED GAMBO</v>
      </c>
      <c r="JG11" s="147"/>
      <c r="JH11" s="147"/>
      <c r="JI11" s="147"/>
      <c r="JJ11" s="147"/>
      <c r="JK11" s="113">
        <f t="shared" si="113"/>
        <v>0</v>
      </c>
      <c r="JL11" s="147"/>
      <c r="JM11" s="113">
        <f t="shared" si="114"/>
        <v>0</v>
      </c>
      <c r="JN11" s="113" t="str">
        <f t="shared" si="115"/>
        <v/>
      </c>
      <c r="JO11" s="113" t="str">
        <f t="shared" si="116"/>
        <v/>
      </c>
      <c r="JP11" s="113" t="str">
        <f t="shared" si="117"/>
        <v/>
      </c>
      <c r="JQ11">
        <v>8</v>
      </c>
      <c r="JR11" s="108" t="str">
        <f t="shared" si="118"/>
        <v>BUKAR MUHAMMED GAMBO</v>
      </c>
      <c r="JS11" s="140"/>
      <c r="JT11" s="140"/>
      <c r="JU11" s="140"/>
      <c r="JV11" s="140"/>
      <c r="JW11" s="111">
        <f t="shared" si="119"/>
        <v>0</v>
      </c>
      <c r="JX11" s="141"/>
      <c r="JY11" s="111">
        <f t="shared" si="0"/>
        <v>0</v>
      </c>
      <c r="JZ11" s="111" t="str">
        <f t="shared" si="120"/>
        <v/>
      </c>
      <c r="KA11" s="111" t="str">
        <f t="shared" si="121"/>
        <v/>
      </c>
      <c r="KB11" s="111" t="str">
        <f t="shared" si="122"/>
        <v/>
      </c>
      <c r="KD11" s="47"/>
      <c r="KE11" s="47"/>
      <c r="KF11" s="47"/>
      <c r="KG11" s="47"/>
      <c r="KH11" s="47"/>
      <c r="KI11" s="47"/>
      <c r="KJ11" s="47"/>
      <c r="KK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</row>
    <row r="12" spans="1:308" ht="23.25">
      <c r="A12" s="211">
        <v>9</v>
      </c>
      <c r="B12" s="108" t="str">
        <f>Data!B10</f>
        <v>ELKANAH DANIEL KAIGAMA</v>
      </c>
      <c r="C12" s="109">
        <v>5</v>
      </c>
      <c r="D12" s="109">
        <v>2</v>
      </c>
      <c r="E12" s="109">
        <v>10</v>
      </c>
      <c r="F12" s="109">
        <v>10</v>
      </c>
      <c r="G12" s="111"/>
      <c r="H12" s="111">
        <v>25</v>
      </c>
      <c r="I12" s="111">
        <f t="shared" si="2"/>
        <v>25</v>
      </c>
      <c r="J12" s="110">
        <f t="shared" si="3"/>
        <v>37</v>
      </c>
      <c r="K12" s="110" t="str">
        <f t="shared" si="4"/>
        <v>F</v>
      </c>
      <c r="L12" s="110" t="str">
        <f t="shared" si="5"/>
        <v>Fail</v>
      </c>
      <c r="M12" s="48">
        <v>9</v>
      </c>
      <c r="N12" s="108" t="str">
        <f>Data!B10</f>
        <v>ELKANAH DANIEL KAIGAMA</v>
      </c>
      <c r="O12" s="109">
        <v>5</v>
      </c>
      <c r="P12" s="109">
        <v>2</v>
      </c>
      <c r="Q12" s="109">
        <v>10</v>
      </c>
      <c r="R12" s="109">
        <v>10</v>
      </c>
      <c r="S12" s="111"/>
      <c r="T12" s="111">
        <v>25</v>
      </c>
      <c r="U12" s="111">
        <f t="shared" si="7"/>
        <v>25</v>
      </c>
      <c r="V12" s="111">
        <f t="shared" si="8"/>
        <v>25</v>
      </c>
      <c r="W12" s="111" t="str">
        <f t="shared" si="9"/>
        <v>F</v>
      </c>
      <c r="X12" s="111" t="str">
        <f t="shared" si="10"/>
        <v>Fail</v>
      </c>
      <c r="Y12" s="42">
        <v>9</v>
      </c>
      <c r="Z12" s="108" t="str">
        <f>Data!B10</f>
        <v>ELKANAH DANIEL KAIGAMA</v>
      </c>
      <c r="AA12" s="109">
        <v>5</v>
      </c>
      <c r="AB12" s="109">
        <v>2</v>
      </c>
      <c r="AC12" s="109">
        <v>10</v>
      </c>
      <c r="AD12" s="109">
        <v>10</v>
      </c>
      <c r="AE12" s="111">
        <f t="shared" si="11"/>
        <v>27</v>
      </c>
      <c r="AF12" s="112">
        <v>42</v>
      </c>
      <c r="AG12" s="113">
        <f t="shared" si="12"/>
        <v>69</v>
      </c>
      <c r="AH12" s="113">
        <f t="shared" si="13"/>
        <v>7</v>
      </c>
      <c r="AI12" s="113" t="str">
        <f t="shared" si="14"/>
        <v>B3</v>
      </c>
      <c r="AJ12" s="113" t="str">
        <f t="shared" si="15"/>
        <v>Good</v>
      </c>
      <c r="AK12" s="42">
        <v>9</v>
      </c>
      <c r="AL12" s="108" t="str">
        <f>Data!B10</f>
        <v>ELKANAH DANIEL KAIGAMA</v>
      </c>
      <c r="AM12" s="114"/>
      <c r="AN12" s="114"/>
      <c r="AO12" s="114"/>
      <c r="AP12" s="114"/>
      <c r="AQ12" s="115">
        <f t="shared" si="16"/>
        <v>0</v>
      </c>
      <c r="AR12" s="114"/>
      <c r="AS12" s="115">
        <f t="shared" si="17"/>
        <v>0</v>
      </c>
      <c r="AT12" s="115" t="str">
        <f t="shared" si="18"/>
        <v/>
      </c>
      <c r="AU12" s="115" t="str">
        <f t="shared" si="19"/>
        <v/>
      </c>
      <c r="AV12" s="115" t="str">
        <f t="shared" si="20"/>
        <v/>
      </c>
      <c r="AW12" s="42">
        <v>9</v>
      </c>
      <c r="AX12" s="108" t="str">
        <f>Data!B10</f>
        <v>ELKANAH DANIEL KAIGAMA</v>
      </c>
      <c r="AY12" s="116"/>
      <c r="AZ12" s="116"/>
      <c r="BA12" s="116"/>
      <c r="BB12" s="116"/>
      <c r="BC12" s="117">
        <f t="shared" si="21"/>
        <v>0</v>
      </c>
      <c r="BD12" s="116"/>
      <c r="BE12" s="117">
        <f t="shared" si="22"/>
        <v>0</v>
      </c>
      <c r="BF12" s="117" t="str">
        <f t="shared" si="23"/>
        <v/>
      </c>
      <c r="BG12" s="117" t="str">
        <f t="shared" si="24"/>
        <v/>
      </c>
      <c r="BH12" s="117" t="str">
        <f t="shared" si="25"/>
        <v/>
      </c>
      <c r="BI12" s="67">
        <v>9</v>
      </c>
      <c r="BJ12" s="108" t="str">
        <f>Data!B10</f>
        <v>ELKANAH DANIEL KAIGAMA</v>
      </c>
      <c r="BK12" s="110">
        <v>5</v>
      </c>
      <c r="BL12" s="110">
        <v>2</v>
      </c>
      <c r="BM12" s="110">
        <v>10</v>
      </c>
      <c r="BN12" s="110">
        <v>10</v>
      </c>
      <c r="BO12" s="111">
        <f t="shared" si="26"/>
        <v>27</v>
      </c>
      <c r="BP12" s="113">
        <v>42</v>
      </c>
      <c r="BQ12" s="119">
        <f t="shared" si="27"/>
        <v>69</v>
      </c>
      <c r="BR12" s="119">
        <f t="shared" si="28"/>
        <v>6</v>
      </c>
      <c r="BS12" s="119" t="str">
        <f t="shared" si="29"/>
        <v>B3</v>
      </c>
      <c r="BT12" s="119" t="str">
        <f t="shared" si="30"/>
        <v>Good</v>
      </c>
      <c r="BU12">
        <v>9</v>
      </c>
      <c r="BV12" s="108" t="str">
        <f>Data!B10</f>
        <v>ELKANAH DANIEL KAIGAMA</v>
      </c>
      <c r="BW12" s="120">
        <v>7</v>
      </c>
      <c r="BX12" s="120">
        <v>4</v>
      </c>
      <c r="BY12" s="120">
        <v>10</v>
      </c>
      <c r="BZ12" s="120">
        <v>9</v>
      </c>
      <c r="CA12" s="121">
        <f t="shared" si="31"/>
        <v>30</v>
      </c>
      <c r="CB12" s="120">
        <v>21</v>
      </c>
      <c r="CC12" s="121">
        <f t="shared" si="32"/>
        <v>51</v>
      </c>
      <c r="CD12" s="121">
        <f t="shared" si="33"/>
        <v>19</v>
      </c>
      <c r="CE12" s="121" t="str">
        <f t="shared" si="34"/>
        <v>C6</v>
      </c>
      <c r="CF12" s="121" t="str">
        <f t="shared" si="35"/>
        <v>Credit</v>
      </c>
      <c r="CG12">
        <v>9</v>
      </c>
      <c r="CH12" s="108" t="str">
        <f>Data!B10</f>
        <v>ELKANAH DANIEL KAIGAMA</v>
      </c>
      <c r="CI12" s="109"/>
      <c r="CJ12" s="109"/>
      <c r="CK12" s="109"/>
      <c r="CL12" s="109"/>
      <c r="CM12" s="122">
        <f t="shared" si="36"/>
        <v>0</v>
      </c>
      <c r="CN12" s="122"/>
      <c r="CO12" s="122">
        <f t="shared" si="37"/>
        <v>0</v>
      </c>
      <c r="CP12" s="122" t="str">
        <f t="shared" si="38"/>
        <v/>
      </c>
      <c r="CQ12" s="122" t="str">
        <f t="shared" si="39"/>
        <v/>
      </c>
      <c r="CR12" s="122" t="str">
        <f t="shared" si="40"/>
        <v/>
      </c>
      <c r="CS12">
        <v>9</v>
      </c>
      <c r="CT12" s="108" t="str">
        <f>Data!B10</f>
        <v>ELKANAH DANIEL KAIGAMA</v>
      </c>
      <c r="CU12" s="43"/>
      <c r="CV12" s="43"/>
      <c r="CW12" s="43"/>
      <c r="CX12" s="43"/>
      <c r="CY12" s="123">
        <f t="shared" si="41"/>
        <v>0</v>
      </c>
      <c r="CZ12" s="43"/>
      <c r="DA12" s="123">
        <f t="shared" si="42"/>
        <v>0</v>
      </c>
      <c r="DB12" s="123" t="str">
        <f t="shared" si="43"/>
        <v/>
      </c>
      <c r="DC12" s="123" t="str">
        <f t="shared" si="44"/>
        <v/>
      </c>
      <c r="DD12" s="123" t="str">
        <f t="shared" si="45"/>
        <v/>
      </c>
      <c r="DE12">
        <v>9</v>
      </c>
      <c r="DF12" s="108" t="str">
        <f>Data!B10</f>
        <v>ELKANAH DANIEL KAIGAMA</v>
      </c>
      <c r="DG12" s="109">
        <v>7</v>
      </c>
      <c r="DH12" s="109">
        <v>2</v>
      </c>
      <c r="DI12" s="109">
        <v>2</v>
      </c>
      <c r="DJ12" s="109">
        <v>5</v>
      </c>
      <c r="DK12" s="117">
        <f t="shared" si="46"/>
        <v>16</v>
      </c>
      <c r="DL12" s="116">
        <v>23</v>
      </c>
      <c r="DM12" s="117">
        <f t="shared" si="47"/>
        <v>39</v>
      </c>
      <c r="DN12" s="117">
        <f t="shared" si="48"/>
        <v>6</v>
      </c>
      <c r="DO12" s="117" t="str">
        <f t="shared" si="49"/>
        <v>F</v>
      </c>
      <c r="DP12" s="117" t="str">
        <f t="shared" si="50"/>
        <v>Fail</v>
      </c>
      <c r="DQ12">
        <v>9</v>
      </c>
      <c r="DR12" s="108" t="str">
        <f>Data!B10</f>
        <v>ELKANAH DANIEL KAIGAMA</v>
      </c>
      <c r="DS12" s="124"/>
      <c r="DT12" s="124"/>
      <c r="DU12" s="124"/>
      <c r="DV12" s="124"/>
      <c r="DW12" s="125">
        <f t="shared" si="51"/>
        <v>0</v>
      </c>
      <c r="DX12" s="126"/>
      <c r="DY12" s="125">
        <f t="shared" si="52"/>
        <v>0</v>
      </c>
      <c r="DZ12" s="125" t="str">
        <f t="shared" si="53"/>
        <v/>
      </c>
      <c r="EA12" s="125" t="str">
        <f t="shared" si="54"/>
        <v/>
      </c>
      <c r="EB12" s="125" t="str">
        <f t="shared" si="55"/>
        <v/>
      </c>
      <c r="EC12">
        <v>9</v>
      </c>
      <c r="ED12" s="108" t="str">
        <f>Data!B10</f>
        <v>ELKANAH DANIEL KAIGAMA</v>
      </c>
      <c r="EE12" s="109"/>
      <c r="EF12" s="109"/>
      <c r="EG12" s="109"/>
      <c r="EH12" s="109"/>
      <c r="EI12" s="127">
        <f t="shared" si="56"/>
        <v>0</v>
      </c>
      <c r="EJ12" s="127"/>
      <c r="EK12" s="127">
        <f t="shared" si="57"/>
        <v>0</v>
      </c>
      <c r="EL12" s="127" t="str">
        <f t="shared" si="58"/>
        <v/>
      </c>
      <c r="EM12" s="127" t="str">
        <f t="shared" si="59"/>
        <v/>
      </c>
      <c r="EN12" s="127" t="str">
        <f t="shared" si="60"/>
        <v/>
      </c>
      <c r="EO12">
        <v>9</v>
      </c>
      <c r="EP12" s="128" t="str">
        <f>Data!B10</f>
        <v>ELKANAH DANIEL KAIGAMA</v>
      </c>
      <c r="EQ12" s="109"/>
      <c r="ER12" s="109"/>
      <c r="ES12" s="109"/>
      <c r="ET12" s="109"/>
      <c r="EU12" s="123">
        <f t="shared" si="61"/>
        <v>0</v>
      </c>
      <c r="EV12" s="123"/>
      <c r="EW12" s="123">
        <f t="shared" si="62"/>
        <v>0</v>
      </c>
      <c r="EX12" s="123" t="str">
        <f t="shared" si="63"/>
        <v/>
      </c>
      <c r="EY12" s="123" t="str">
        <f t="shared" si="64"/>
        <v/>
      </c>
      <c r="EZ12" s="123" t="str">
        <f t="shared" si="65"/>
        <v/>
      </c>
      <c r="FA12">
        <v>9</v>
      </c>
      <c r="FB12" s="108" t="str">
        <f>Data!B10</f>
        <v>ELKANAH DANIEL KAIGAMA</v>
      </c>
      <c r="FC12" s="109"/>
      <c r="FD12" s="109"/>
      <c r="FE12" s="109"/>
      <c r="FF12" s="109"/>
      <c r="FG12" s="129">
        <f t="shared" si="66"/>
        <v>0</v>
      </c>
      <c r="FH12" s="129"/>
      <c r="FI12" s="129">
        <f t="shared" si="67"/>
        <v>0</v>
      </c>
      <c r="FJ12" s="129" t="str">
        <f t="shared" si="68"/>
        <v/>
      </c>
      <c r="FK12" s="129" t="str">
        <f t="shared" si="69"/>
        <v/>
      </c>
      <c r="FL12" s="129" t="str">
        <f t="shared" si="70"/>
        <v/>
      </c>
      <c r="FM12">
        <v>9</v>
      </c>
      <c r="FN12" s="108" t="str">
        <f>Data!B10</f>
        <v>ELKANAH DANIEL KAIGAMA</v>
      </c>
      <c r="FO12" s="109"/>
      <c r="FP12" s="109"/>
      <c r="FQ12" s="109"/>
      <c r="FR12" s="109"/>
      <c r="FS12" s="130">
        <f t="shared" si="71"/>
        <v>0</v>
      </c>
      <c r="FT12" s="130"/>
      <c r="FU12" s="130">
        <f t="shared" si="72"/>
        <v>0</v>
      </c>
      <c r="FV12" s="130" t="str">
        <f t="shared" si="73"/>
        <v/>
      </c>
      <c r="FW12" s="130" t="str">
        <f t="shared" si="74"/>
        <v/>
      </c>
      <c r="FX12" s="130" t="str">
        <f t="shared" si="75"/>
        <v/>
      </c>
      <c r="FY12">
        <v>9</v>
      </c>
      <c r="FZ12" s="108" t="str">
        <f>Data!B10</f>
        <v>ELKANAH DANIEL KAIGAMA</v>
      </c>
      <c r="GA12" s="109">
        <v>4</v>
      </c>
      <c r="GB12" s="109">
        <v>9</v>
      </c>
      <c r="GC12" s="109">
        <v>7</v>
      </c>
      <c r="GD12" s="109">
        <v>9</v>
      </c>
      <c r="GE12" s="131">
        <f t="shared" si="76"/>
        <v>29</v>
      </c>
      <c r="GF12" s="131">
        <v>33</v>
      </c>
      <c r="GG12" s="131">
        <f t="shared" si="77"/>
        <v>62</v>
      </c>
      <c r="GH12" s="131">
        <f t="shared" si="78"/>
        <v>11</v>
      </c>
      <c r="GI12" s="131" t="str">
        <f t="shared" si="79"/>
        <v>C</v>
      </c>
      <c r="GJ12" s="131" t="str">
        <f t="shared" si="80"/>
        <v>Credit</v>
      </c>
      <c r="GK12">
        <v>9</v>
      </c>
      <c r="GL12" s="108" t="str">
        <f>Data!B10</f>
        <v>ELKANAH DANIEL KAIGAMA</v>
      </c>
      <c r="GM12" s="132"/>
      <c r="GN12" s="132"/>
      <c r="GO12" s="132"/>
      <c r="GP12" s="132"/>
      <c r="GQ12" s="133">
        <f t="shared" si="81"/>
        <v>0</v>
      </c>
      <c r="GR12" s="132"/>
      <c r="GS12" s="133">
        <f t="shared" si="82"/>
        <v>0</v>
      </c>
      <c r="GT12" s="133" t="str">
        <f t="shared" si="83"/>
        <v/>
      </c>
      <c r="GU12" s="133" t="str">
        <f t="shared" si="84"/>
        <v/>
      </c>
      <c r="GV12" s="133" t="str">
        <f t="shared" si="85"/>
        <v/>
      </c>
      <c r="GW12">
        <v>9</v>
      </c>
      <c r="GX12" s="108" t="str">
        <f>Data!B10</f>
        <v>ELKANAH DANIEL KAIGAMA</v>
      </c>
      <c r="GY12" s="109"/>
      <c r="GZ12" s="109"/>
      <c r="HA12" s="109"/>
      <c r="HB12" s="109"/>
      <c r="HC12" s="119">
        <f t="shared" si="86"/>
        <v>0</v>
      </c>
      <c r="HD12" s="119"/>
      <c r="HE12" s="119">
        <f t="shared" si="87"/>
        <v>0</v>
      </c>
      <c r="HF12" s="119" t="str">
        <f t="shared" si="88"/>
        <v/>
      </c>
      <c r="HG12" s="119" t="str">
        <f t="shared" si="89"/>
        <v/>
      </c>
      <c r="HH12" s="119" t="str">
        <f t="shared" si="90"/>
        <v/>
      </c>
      <c r="HI12">
        <v>9</v>
      </c>
      <c r="HJ12" s="108" t="str">
        <f>Data!B10</f>
        <v>ELKANAH DANIEL KAIGAMA</v>
      </c>
      <c r="HK12" s="144"/>
      <c r="HL12" s="145"/>
      <c r="HM12" s="145"/>
      <c r="HN12" s="145"/>
      <c r="HO12" s="136">
        <f t="shared" si="91"/>
        <v>0</v>
      </c>
      <c r="HP12" s="144"/>
      <c r="HQ12" s="136">
        <f t="shared" si="92"/>
        <v>0</v>
      </c>
      <c r="HR12" s="136" t="str">
        <f t="shared" si="93"/>
        <v/>
      </c>
      <c r="HS12" s="136" t="str">
        <f t="shared" si="94"/>
        <v/>
      </c>
      <c r="HT12" s="136" t="str">
        <f t="shared" si="95"/>
        <v/>
      </c>
      <c r="HU12">
        <v>9</v>
      </c>
      <c r="HV12" s="108" t="str">
        <f>Data!B10</f>
        <v>ELKANAH DANIEL KAIGAMA</v>
      </c>
      <c r="HW12" s="109"/>
      <c r="HX12" s="109"/>
      <c r="HY12" s="109"/>
      <c r="HZ12" s="109"/>
      <c r="IA12" s="117">
        <f t="shared" si="96"/>
        <v>0</v>
      </c>
      <c r="IB12" s="117"/>
      <c r="IC12" s="117">
        <f t="shared" si="97"/>
        <v>0</v>
      </c>
      <c r="ID12" s="117" t="str">
        <f t="shared" si="98"/>
        <v/>
      </c>
      <c r="IE12" s="117" t="str">
        <f t="shared" si="99"/>
        <v/>
      </c>
      <c r="IF12" s="117" t="str">
        <f t="shared" si="100"/>
        <v/>
      </c>
      <c r="IG12">
        <v>9</v>
      </c>
      <c r="IH12" s="108" t="str">
        <f>Data!B10</f>
        <v>ELKANAH DANIEL KAIGAMA</v>
      </c>
      <c r="II12" s="109"/>
      <c r="IJ12" s="109"/>
      <c r="IK12" s="109"/>
      <c r="IL12" s="109"/>
      <c r="IM12" s="137">
        <f t="shared" si="101"/>
        <v>0</v>
      </c>
      <c r="IN12" s="137"/>
      <c r="IO12" s="137">
        <f t="shared" si="102"/>
        <v>0</v>
      </c>
      <c r="IP12" s="137" t="str">
        <f t="shared" si="103"/>
        <v/>
      </c>
      <c r="IQ12" s="137" t="str">
        <f t="shared" si="104"/>
        <v/>
      </c>
      <c r="IR12" s="137" t="str">
        <f t="shared" si="105"/>
        <v/>
      </c>
      <c r="IS12">
        <v>9</v>
      </c>
      <c r="IT12" s="108" t="str">
        <f t="shared" si="106"/>
        <v>ELKANAH DANIEL KAIGAMA</v>
      </c>
      <c r="IU12" s="110">
        <v>5</v>
      </c>
      <c r="IV12" s="110">
        <v>2</v>
      </c>
      <c r="IW12" s="110">
        <v>10</v>
      </c>
      <c r="IX12" s="110">
        <v>10</v>
      </c>
      <c r="IY12" s="111">
        <f t="shared" si="107"/>
        <v>27</v>
      </c>
      <c r="IZ12" s="113">
        <v>42</v>
      </c>
      <c r="JA12" s="131">
        <f t="shared" si="108"/>
        <v>69</v>
      </c>
      <c r="JB12" s="131">
        <f t="shared" si="109"/>
        <v>6</v>
      </c>
      <c r="JC12" s="131" t="str">
        <f t="shared" si="110"/>
        <v>C</v>
      </c>
      <c r="JD12" s="131" t="str">
        <f t="shared" si="111"/>
        <v>Good</v>
      </c>
      <c r="JE12">
        <v>9</v>
      </c>
      <c r="JF12" s="108" t="str">
        <f t="shared" si="112"/>
        <v>ELKANAH DANIEL KAIGAMA</v>
      </c>
      <c r="JG12" s="147"/>
      <c r="JH12" s="147"/>
      <c r="JI12" s="147"/>
      <c r="JJ12" s="147"/>
      <c r="JK12" s="113">
        <f t="shared" si="113"/>
        <v>0</v>
      </c>
      <c r="JL12" s="147"/>
      <c r="JM12" s="113">
        <f t="shared" si="114"/>
        <v>0</v>
      </c>
      <c r="JN12" s="113" t="str">
        <f t="shared" si="115"/>
        <v/>
      </c>
      <c r="JO12" s="113" t="str">
        <f t="shared" si="116"/>
        <v/>
      </c>
      <c r="JP12" s="113" t="str">
        <f t="shared" si="117"/>
        <v/>
      </c>
      <c r="JQ12">
        <v>9</v>
      </c>
      <c r="JR12" s="108" t="str">
        <f t="shared" si="118"/>
        <v>ELKANAH DANIEL KAIGAMA</v>
      </c>
      <c r="JS12" s="140"/>
      <c r="JT12" s="140"/>
      <c r="JU12" s="140"/>
      <c r="JV12" s="140"/>
      <c r="JW12" s="111">
        <f t="shared" si="119"/>
        <v>0</v>
      </c>
      <c r="JX12" s="141"/>
      <c r="JY12" s="111">
        <f t="shared" si="0"/>
        <v>0</v>
      </c>
      <c r="JZ12" s="111" t="str">
        <f t="shared" si="120"/>
        <v/>
      </c>
      <c r="KA12" s="111" t="str">
        <f t="shared" si="121"/>
        <v/>
      </c>
      <c r="KB12" s="111" t="str">
        <f t="shared" si="122"/>
        <v/>
      </c>
      <c r="KD12" s="47"/>
      <c r="KE12" s="47"/>
      <c r="KF12" s="47"/>
      <c r="KG12" s="47"/>
      <c r="KH12" s="47"/>
      <c r="KI12" s="47"/>
      <c r="KJ12" s="47"/>
      <c r="KK12" s="47"/>
      <c r="KM12" s="47"/>
      <c r="KN12" s="47"/>
      <c r="KO12" s="47"/>
      <c r="KP12" s="47"/>
      <c r="KQ12" s="47"/>
      <c r="KR12" s="47"/>
      <c r="KS12" s="47"/>
      <c r="KT12" s="47"/>
      <c r="KU12" s="47"/>
      <c r="KV12" s="47"/>
    </row>
    <row r="13" spans="1:308" ht="23.25">
      <c r="A13" s="211">
        <v>10</v>
      </c>
      <c r="B13" s="108" t="str">
        <f>Data!B11</f>
        <v>GANA ABUBAKAR ALHAJ</v>
      </c>
      <c r="C13" s="109">
        <v>6</v>
      </c>
      <c r="D13" s="109">
        <v>1</v>
      </c>
      <c r="E13" s="109">
        <v>1</v>
      </c>
      <c r="F13" s="109">
        <v>1</v>
      </c>
      <c r="G13" s="111">
        <f t="shared" ref="G13:G38" si="123">SUM(C13:F13)</f>
        <v>9</v>
      </c>
      <c r="H13" s="111">
        <v>18</v>
      </c>
      <c r="I13" s="111">
        <f t="shared" si="2"/>
        <v>27</v>
      </c>
      <c r="J13" s="110">
        <f t="shared" si="3"/>
        <v>33</v>
      </c>
      <c r="K13" s="110" t="str">
        <f t="shared" si="4"/>
        <v>F</v>
      </c>
      <c r="L13" s="110" t="str">
        <f t="shared" si="5"/>
        <v>Fail</v>
      </c>
      <c r="M13" s="48">
        <v>10</v>
      </c>
      <c r="N13" s="108" t="str">
        <f>Data!B11</f>
        <v>GANA ABUBAKAR ALHAJ</v>
      </c>
      <c r="O13" s="109">
        <v>6</v>
      </c>
      <c r="P13" s="109">
        <v>1</v>
      </c>
      <c r="Q13" s="109">
        <v>1</v>
      </c>
      <c r="R13" s="109">
        <v>1</v>
      </c>
      <c r="S13" s="111">
        <f t="shared" si="6"/>
        <v>9</v>
      </c>
      <c r="T13" s="111">
        <v>18</v>
      </c>
      <c r="U13" s="111">
        <f t="shared" si="7"/>
        <v>27</v>
      </c>
      <c r="V13" s="111">
        <f t="shared" si="8"/>
        <v>22</v>
      </c>
      <c r="W13" s="111" t="str">
        <f t="shared" si="9"/>
        <v>F</v>
      </c>
      <c r="X13" s="111" t="str">
        <f t="shared" si="10"/>
        <v>Fail</v>
      </c>
      <c r="Y13" s="42">
        <v>10</v>
      </c>
      <c r="Z13" s="108" t="str">
        <f>Data!B11</f>
        <v>GANA ABUBAKAR ALHAJ</v>
      </c>
      <c r="AA13" s="109">
        <v>6</v>
      </c>
      <c r="AB13" s="109">
        <v>1</v>
      </c>
      <c r="AC13" s="109">
        <v>1</v>
      </c>
      <c r="AD13" s="109">
        <v>1</v>
      </c>
      <c r="AE13" s="111">
        <f t="shared" si="11"/>
        <v>9</v>
      </c>
      <c r="AF13" s="112">
        <v>42</v>
      </c>
      <c r="AG13" s="113">
        <f t="shared" si="12"/>
        <v>51</v>
      </c>
      <c r="AH13" s="113">
        <f t="shared" si="13"/>
        <v>34</v>
      </c>
      <c r="AI13" s="113" t="str">
        <f t="shared" si="14"/>
        <v>C6</v>
      </c>
      <c r="AJ13" s="113" t="str">
        <f t="shared" si="15"/>
        <v>Credit</v>
      </c>
      <c r="AK13" s="42">
        <v>10</v>
      </c>
      <c r="AL13" s="108" t="str">
        <f>Data!B11</f>
        <v>GANA ABUBAKAR ALHAJ</v>
      </c>
      <c r="AM13" s="114"/>
      <c r="AN13" s="114"/>
      <c r="AO13" s="114"/>
      <c r="AP13" s="114"/>
      <c r="AQ13" s="115">
        <f t="shared" si="16"/>
        <v>0</v>
      </c>
      <c r="AR13" s="114"/>
      <c r="AS13" s="115">
        <f t="shared" si="17"/>
        <v>0</v>
      </c>
      <c r="AT13" s="115" t="str">
        <f t="shared" si="18"/>
        <v/>
      </c>
      <c r="AU13" s="115" t="str">
        <f t="shared" si="19"/>
        <v/>
      </c>
      <c r="AV13" s="115" t="str">
        <f t="shared" si="20"/>
        <v/>
      </c>
      <c r="AW13" s="42">
        <v>10</v>
      </c>
      <c r="AX13" s="108" t="str">
        <f>Data!B11</f>
        <v>GANA ABUBAKAR ALHAJ</v>
      </c>
      <c r="AY13" s="116"/>
      <c r="AZ13" s="116"/>
      <c r="BA13" s="116"/>
      <c r="BB13" s="116"/>
      <c r="BC13" s="117">
        <f t="shared" si="21"/>
        <v>0</v>
      </c>
      <c r="BD13" s="116"/>
      <c r="BE13" s="117">
        <f t="shared" si="22"/>
        <v>0</v>
      </c>
      <c r="BF13" s="117" t="str">
        <f t="shared" si="23"/>
        <v/>
      </c>
      <c r="BG13" s="117" t="str">
        <f t="shared" si="24"/>
        <v/>
      </c>
      <c r="BH13" s="117" t="str">
        <f t="shared" si="25"/>
        <v/>
      </c>
      <c r="BI13" s="67">
        <v>10</v>
      </c>
      <c r="BJ13" s="108" t="str">
        <f>Data!B11</f>
        <v>GANA ABUBAKAR ALHAJ</v>
      </c>
      <c r="BK13" s="110">
        <v>6</v>
      </c>
      <c r="BL13" s="110">
        <v>1</v>
      </c>
      <c r="BM13" s="110">
        <v>1</v>
      </c>
      <c r="BN13" s="110">
        <v>1</v>
      </c>
      <c r="BO13" s="111">
        <f t="shared" si="26"/>
        <v>9</v>
      </c>
      <c r="BP13" s="113">
        <v>42</v>
      </c>
      <c r="BQ13" s="119">
        <f t="shared" si="27"/>
        <v>51</v>
      </c>
      <c r="BR13" s="119">
        <f t="shared" si="28"/>
        <v>24</v>
      </c>
      <c r="BS13" s="119" t="str">
        <f t="shared" si="29"/>
        <v>C6</v>
      </c>
      <c r="BT13" s="119" t="str">
        <f t="shared" si="30"/>
        <v>Credit</v>
      </c>
      <c r="BU13">
        <v>10</v>
      </c>
      <c r="BV13" s="108" t="str">
        <f>Data!B11</f>
        <v>GANA ABUBAKAR ALHAJ</v>
      </c>
      <c r="BW13" s="120">
        <v>3</v>
      </c>
      <c r="BX13" s="120">
        <v>3</v>
      </c>
      <c r="BY13" s="120">
        <v>9</v>
      </c>
      <c r="BZ13" s="120">
        <v>5</v>
      </c>
      <c r="CA13" s="121">
        <f t="shared" si="31"/>
        <v>20</v>
      </c>
      <c r="CB13" s="120">
        <v>11</v>
      </c>
      <c r="CC13" s="121">
        <f t="shared" si="32"/>
        <v>31</v>
      </c>
      <c r="CD13" s="121">
        <f t="shared" si="33"/>
        <v>44</v>
      </c>
      <c r="CE13" s="121" t="str">
        <f t="shared" si="34"/>
        <v>F</v>
      </c>
      <c r="CF13" s="121" t="str">
        <f t="shared" si="35"/>
        <v>Fail</v>
      </c>
      <c r="CG13">
        <v>10</v>
      </c>
      <c r="CH13" s="108" t="str">
        <f>Data!B11</f>
        <v>GANA ABUBAKAR ALHAJ</v>
      </c>
      <c r="CI13" s="109"/>
      <c r="CJ13" s="109"/>
      <c r="CK13" s="109"/>
      <c r="CL13" s="109"/>
      <c r="CM13" s="122">
        <f t="shared" si="36"/>
        <v>0</v>
      </c>
      <c r="CN13" s="122"/>
      <c r="CO13" s="122">
        <f t="shared" si="37"/>
        <v>0</v>
      </c>
      <c r="CP13" s="122" t="str">
        <f t="shared" si="38"/>
        <v/>
      </c>
      <c r="CQ13" s="122" t="str">
        <f t="shared" si="39"/>
        <v/>
      </c>
      <c r="CR13" s="122" t="str">
        <f t="shared" si="40"/>
        <v/>
      </c>
      <c r="CS13">
        <v>10</v>
      </c>
      <c r="CT13" s="108" t="str">
        <f>Data!B11</f>
        <v>GANA ABUBAKAR ALHAJ</v>
      </c>
      <c r="CU13" s="43"/>
      <c r="CV13" s="43"/>
      <c r="CW13" s="43"/>
      <c r="CX13" s="43"/>
      <c r="CY13" s="123">
        <f t="shared" si="41"/>
        <v>0</v>
      </c>
      <c r="CZ13" s="43"/>
      <c r="DA13" s="123">
        <f t="shared" si="42"/>
        <v>0</v>
      </c>
      <c r="DB13" s="123" t="str">
        <f t="shared" si="43"/>
        <v/>
      </c>
      <c r="DC13" s="123" t="str">
        <f t="shared" si="44"/>
        <v/>
      </c>
      <c r="DD13" s="123" t="str">
        <f t="shared" si="45"/>
        <v/>
      </c>
      <c r="DE13">
        <v>10</v>
      </c>
      <c r="DF13" s="108" t="str">
        <f>Data!B11</f>
        <v>GANA ABUBAKAR ALHAJ</v>
      </c>
      <c r="DG13" s="109">
        <v>3</v>
      </c>
      <c r="DH13" s="109">
        <v>2</v>
      </c>
      <c r="DI13" s="109"/>
      <c r="DJ13" s="109"/>
      <c r="DK13" s="117">
        <f t="shared" si="46"/>
        <v>5</v>
      </c>
      <c r="DL13" s="116">
        <v>18</v>
      </c>
      <c r="DM13" s="117">
        <f t="shared" si="47"/>
        <v>23</v>
      </c>
      <c r="DN13" s="117">
        <f t="shared" si="48"/>
        <v>14</v>
      </c>
      <c r="DO13" s="117" t="str">
        <f t="shared" si="49"/>
        <v>F</v>
      </c>
      <c r="DP13" s="117" t="str">
        <f t="shared" si="50"/>
        <v>Fail</v>
      </c>
      <c r="DQ13">
        <v>10</v>
      </c>
      <c r="DR13" s="108" t="str">
        <f>Data!B11</f>
        <v>GANA ABUBAKAR ALHAJ</v>
      </c>
      <c r="DS13" s="124"/>
      <c r="DT13" s="124"/>
      <c r="DU13" s="124"/>
      <c r="DV13" s="124"/>
      <c r="DW13" s="125">
        <f t="shared" si="51"/>
        <v>0</v>
      </c>
      <c r="DX13" s="126"/>
      <c r="DY13" s="125">
        <f t="shared" si="52"/>
        <v>0</v>
      </c>
      <c r="DZ13" s="125" t="str">
        <f t="shared" si="53"/>
        <v/>
      </c>
      <c r="EA13" s="125" t="str">
        <f t="shared" si="54"/>
        <v/>
      </c>
      <c r="EB13" s="125" t="str">
        <f t="shared" si="55"/>
        <v/>
      </c>
      <c r="EC13">
        <v>10</v>
      </c>
      <c r="ED13" s="108" t="str">
        <f>Data!B11</f>
        <v>GANA ABUBAKAR ALHAJ</v>
      </c>
      <c r="EE13" s="109"/>
      <c r="EF13" s="109"/>
      <c r="EG13" s="109"/>
      <c r="EH13" s="109"/>
      <c r="EI13" s="127">
        <f t="shared" si="56"/>
        <v>0</v>
      </c>
      <c r="EJ13" s="127"/>
      <c r="EK13" s="127">
        <f t="shared" si="57"/>
        <v>0</v>
      </c>
      <c r="EL13" s="127" t="str">
        <f t="shared" si="58"/>
        <v/>
      </c>
      <c r="EM13" s="127" t="str">
        <f t="shared" si="59"/>
        <v/>
      </c>
      <c r="EN13" s="127" t="str">
        <f t="shared" si="60"/>
        <v/>
      </c>
      <c r="EO13">
        <v>10</v>
      </c>
      <c r="EP13" s="128" t="str">
        <f>Data!B11</f>
        <v>GANA ABUBAKAR ALHAJ</v>
      </c>
      <c r="EQ13" s="109"/>
      <c r="ER13" s="109"/>
      <c r="ES13" s="109"/>
      <c r="ET13" s="109"/>
      <c r="EU13" s="123">
        <f t="shared" si="61"/>
        <v>0</v>
      </c>
      <c r="EV13" s="123"/>
      <c r="EW13" s="123">
        <f t="shared" si="62"/>
        <v>0</v>
      </c>
      <c r="EX13" s="123" t="str">
        <f t="shared" si="63"/>
        <v/>
      </c>
      <c r="EY13" s="123" t="str">
        <f t="shared" si="64"/>
        <v/>
      </c>
      <c r="EZ13" s="123" t="str">
        <f t="shared" si="65"/>
        <v/>
      </c>
      <c r="FA13">
        <v>10</v>
      </c>
      <c r="FB13" s="108" t="str">
        <f>Data!B11</f>
        <v>GANA ABUBAKAR ALHAJ</v>
      </c>
      <c r="FC13" s="109"/>
      <c r="FD13" s="109"/>
      <c r="FE13" s="109"/>
      <c r="FF13" s="109"/>
      <c r="FG13" s="129">
        <f t="shared" si="66"/>
        <v>0</v>
      </c>
      <c r="FH13" s="129"/>
      <c r="FI13" s="129">
        <f t="shared" si="67"/>
        <v>0</v>
      </c>
      <c r="FJ13" s="129" t="str">
        <f t="shared" si="68"/>
        <v/>
      </c>
      <c r="FK13" s="129" t="str">
        <f t="shared" si="69"/>
        <v/>
      </c>
      <c r="FL13" s="129" t="str">
        <f t="shared" si="70"/>
        <v/>
      </c>
      <c r="FM13">
        <v>10</v>
      </c>
      <c r="FN13" s="108" t="str">
        <f>Data!B11</f>
        <v>GANA ABUBAKAR ALHAJ</v>
      </c>
      <c r="FO13" s="109"/>
      <c r="FP13" s="109"/>
      <c r="FQ13" s="109"/>
      <c r="FR13" s="109"/>
      <c r="FS13" s="130">
        <f t="shared" si="71"/>
        <v>0</v>
      </c>
      <c r="FT13" s="130"/>
      <c r="FU13" s="130">
        <f t="shared" si="72"/>
        <v>0</v>
      </c>
      <c r="FV13" s="130" t="str">
        <f t="shared" si="73"/>
        <v/>
      </c>
      <c r="FW13" s="130" t="str">
        <f t="shared" si="74"/>
        <v/>
      </c>
      <c r="FX13" s="130" t="str">
        <f t="shared" si="75"/>
        <v/>
      </c>
      <c r="FY13">
        <v>10</v>
      </c>
      <c r="FZ13" s="108" t="str">
        <f>Data!B11</f>
        <v>GANA ABUBAKAR ALHAJ</v>
      </c>
      <c r="GA13" s="109">
        <v>5</v>
      </c>
      <c r="GB13" s="109">
        <v>8</v>
      </c>
      <c r="GC13" s="109">
        <v>2</v>
      </c>
      <c r="GD13" s="109">
        <v>2</v>
      </c>
      <c r="GE13" s="131">
        <f t="shared" si="76"/>
        <v>17</v>
      </c>
      <c r="GF13" s="131">
        <v>16</v>
      </c>
      <c r="GG13" s="131">
        <f t="shared" si="77"/>
        <v>33</v>
      </c>
      <c r="GH13" s="131">
        <f t="shared" si="78"/>
        <v>41</v>
      </c>
      <c r="GI13" s="131" t="str">
        <f t="shared" si="79"/>
        <v>F</v>
      </c>
      <c r="GJ13" s="131" t="str">
        <f t="shared" si="80"/>
        <v>Fail</v>
      </c>
      <c r="GK13">
        <v>10</v>
      </c>
      <c r="GL13" s="108" t="str">
        <f>Data!B11</f>
        <v>GANA ABUBAKAR ALHAJ</v>
      </c>
      <c r="GM13" s="148"/>
      <c r="GN13" s="148"/>
      <c r="GO13" s="148"/>
      <c r="GP13" s="148"/>
      <c r="GQ13" s="133">
        <f t="shared" si="81"/>
        <v>0</v>
      </c>
      <c r="GR13" s="148"/>
      <c r="GS13" s="133">
        <f t="shared" si="82"/>
        <v>0</v>
      </c>
      <c r="GT13" s="133" t="str">
        <f t="shared" si="83"/>
        <v/>
      </c>
      <c r="GU13" s="133" t="str">
        <f t="shared" si="84"/>
        <v/>
      </c>
      <c r="GV13" s="133" t="str">
        <f t="shared" si="85"/>
        <v/>
      </c>
      <c r="GW13">
        <v>10</v>
      </c>
      <c r="GX13" s="108" t="str">
        <f>Data!B11</f>
        <v>GANA ABUBAKAR ALHAJ</v>
      </c>
      <c r="GY13" s="109"/>
      <c r="GZ13" s="109"/>
      <c r="HA13" s="109"/>
      <c r="HB13" s="109"/>
      <c r="HC13" s="119">
        <f t="shared" si="86"/>
        <v>0</v>
      </c>
      <c r="HD13" s="119"/>
      <c r="HE13" s="119">
        <f t="shared" si="87"/>
        <v>0</v>
      </c>
      <c r="HF13" s="119" t="str">
        <f t="shared" si="88"/>
        <v/>
      </c>
      <c r="HG13" s="119" t="str">
        <f t="shared" si="89"/>
        <v/>
      </c>
      <c r="HH13" s="119" t="str">
        <f t="shared" si="90"/>
        <v/>
      </c>
      <c r="HI13">
        <v>10</v>
      </c>
      <c r="HJ13" s="108" t="str">
        <f>Data!B11</f>
        <v>GANA ABUBAKAR ALHAJ</v>
      </c>
      <c r="HK13" s="144"/>
      <c r="HL13" s="145"/>
      <c r="HM13" s="145"/>
      <c r="HN13" s="145"/>
      <c r="HO13" s="136">
        <f t="shared" si="91"/>
        <v>0</v>
      </c>
      <c r="HP13" s="144"/>
      <c r="HQ13" s="136">
        <f t="shared" si="92"/>
        <v>0</v>
      </c>
      <c r="HR13" s="136" t="str">
        <f t="shared" si="93"/>
        <v/>
      </c>
      <c r="HS13" s="136" t="str">
        <f t="shared" si="94"/>
        <v/>
      </c>
      <c r="HT13" s="136" t="str">
        <f t="shared" si="95"/>
        <v/>
      </c>
      <c r="HU13">
        <v>10</v>
      </c>
      <c r="HV13" s="108" t="str">
        <f>Data!B11</f>
        <v>GANA ABUBAKAR ALHAJ</v>
      </c>
      <c r="HW13" s="109"/>
      <c r="HX13" s="109"/>
      <c r="HY13" s="109"/>
      <c r="HZ13" s="109"/>
      <c r="IA13" s="117">
        <f t="shared" si="96"/>
        <v>0</v>
      </c>
      <c r="IB13" s="117"/>
      <c r="IC13" s="117">
        <f t="shared" si="97"/>
        <v>0</v>
      </c>
      <c r="ID13" s="117" t="str">
        <f t="shared" si="98"/>
        <v/>
      </c>
      <c r="IE13" s="117" t="str">
        <f t="shared" si="99"/>
        <v/>
      </c>
      <c r="IF13" s="117" t="str">
        <f t="shared" si="100"/>
        <v/>
      </c>
      <c r="IG13">
        <v>10</v>
      </c>
      <c r="IH13" s="108" t="str">
        <f>Data!B11</f>
        <v>GANA ABUBAKAR ALHAJ</v>
      </c>
      <c r="II13" s="109"/>
      <c r="IJ13" s="109"/>
      <c r="IK13" s="109"/>
      <c r="IL13" s="109"/>
      <c r="IM13" s="137">
        <f t="shared" si="101"/>
        <v>0</v>
      </c>
      <c r="IN13" s="137"/>
      <c r="IO13" s="137">
        <f t="shared" si="102"/>
        <v>0</v>
      </c>
      <c r="IP13" s="137" t="str">
        <f t="shared" si="103"/>
        <v/>
      </c>
      <c r="IQ13" s="137" t="str">
        <f t="shared" si="104"/>
        <v/>
      </c>
      <c r="IR13" s="137" t="str">
        <f t="shared" si="105"/>
        <v/>
      </c>
      <c r="IS13">
        <v>10</v>
      </c>
      <c r="IT13" s="108" t="str">
        <f t="shared" si="106"/>
        <v>GANA ABUBAKAR ALHAJ</v>
      </c>
      <c r="IU13" s="110">
        <v>6</v>
      </c>
      <c r="IV13" s="110">
        <v>1</v>
      </c>
      <c r="IW13" s="110">
        <v>1</v>
      </c>
      <c r="IX13" s="110">
        <v>1</v>
      </c>
      <c r="IY13" s="111">
        <f t="shared" si="107"/>
        <v>9</v>
      </c>
      <c r="IZ13" s="113">
        <v>42</v>
      </c>
      <c r="JA13" s="131">
        <f t="shared" si="108"/>
        <v>51</v>
      </c>
      <c r="JB13" s="131">
        <f t="shared" si="109"/>
        <v>24</v>
      </c>
      <c r="JC13" s="131" t="str">
        <f t="shared" si="110"/>
        <v>C</v>
      </c>
      <c r="JD13" s="131" t="str">
        <f t="shared" si="111"/>
        <v>Credit</v>
      </c>
      <c r="JE13">
        <v>10</v>
      </c>
      <c r="JF13" s="108" t="str">
        <f t="shared" si="112"/>
        <v>GANA ABUBAKAR ALHAJ</v>
      </c>
      <c r="JG13" s="147"/>
      <c r="JH13" s="147"/>
      <c r="JI13" s="147"/>
      <c r="JJ13" s="147"/>
      <c r="JK13" s="113">
        <f t="shared" si="113"/>
        <v>0</v>
      </c>
      <c r="JL13" s="147"/>
      <c r="JM13" s="113">
        <f t="shared" si="114"/>
        <v>0</v>
      </c>
      <c r="JN13" s="113" t="str">
        <f t="shared" si="115"/>
        <v/>
      </c>
      <c r="JO13" s="113" t="str">
        <f t="shared" si="116"/>
        <v/>
      </c>
      <c r="JP13" s="113" t="str">
        <f t="shared" si="117"/>
        <v/>
      </c>
      <c r="JQ13">
        <v>10</v>
      </c>
      <c r="JR13" s="108" t="str">
        <f t="shared" si="118"/>
        <v>GANA ABUBAKAR ALHAJ</v>
      </c>
      <c r="JS13" s="140"/>
      <c r="JT13" s="140"/>
      <c r="JU13" s="140"/>
      <c r="JV13" s="140"/>
      <c r="JW13" s="111">
        <f t="shared" si="119"/>
        <v>0</v>
      </c>
      <c r="JX13" s="141"/>
      <c r="JY13" s="111">
        <f t="shared" si="0"/>
        <v>0</v>
      </c>
      <c r="JZ13" s="111" t="str">
        <f t="shared" si="120"/>
        <v/>
      </c>
      <c r="KA13" s="111" t="str">
        <f t="shared" si="121"/>
        <v/>
      </c>
      <c r="KB13" s="111" t="str">
        <f t="shared" si="122"/>
        <v/>
      </c>
      <c r="KD13" s="47"/>
      <c r="KE13" s="47"/>
      <c r="KF13" s="47"/>
      <c r="KG13" s="47"/>
      <c r="KH13" s="47"/>
      <c r="KI13" s="47"/>
      <c r="KJ13" s="47"/>
      <c r="KK13" s="47"/>
      <c r="KM13" s="47"/>
      <c r="KN13" s="47"/>
      <c r="KO13" s="47"/>
      <c r="KP13" s="47"/>
      <c r="KQ13" s="47"/>
      <c r="KR13" s="47"/>
      <c r="KS13" s="47"/>
      <c r="KT13" s="47"/>
      <c r="KU13" s="47"/>
      <c r="KV13" s="47"/>
    </row>
    <row r="14" spans="1:308" ht="23.25">
      <c r="A14" s="211">
        <v>11</v>
      </c>
      <c r="B14" s="108" t="str">
        <f>Data!B12</f>
        <v>IBRAHIM HASSAN HELMA</v>
      </c>
      <c r="C14" s="109">
        <v>8</v>
      </c>
      <c r="D14" s="109">
        <v>3</v>
      </c>
      <c r="E14" s="109">
        <v>10</v>
      </c>
      <c r="F14" s="109">
        <v>5</v>
      </c>
      <c r="G14" s="111">
        <f t="shared" si="123"/>
        <v>26</v>
      </c>
      <c r="H14" s="111">
        <v>26</v>
      </c>
      <c r="I14" s="111">
        <f t="shared" si="2"/>
        <v>52</v>
      </c>
      <c r="J14" s="110">
        <f t="shared" si="3"/>
        <v>10</v>
      </c>
      <c r="K14" s="110" t="str">
        <f t="shared" si="4"/>
        <v>C6</v>
      </c>
      <c r="L14" s="110" t="str">
        <f t="shared" si="5"/>
        <v>Credit</v>
      </c>
      <c r="M14" s="48">
        <v>11</v>
      </c>
      <c r="N14" s="108" t="str">
        <f>Data!B12</f>
        <v>IBRAHIM HASSAN HELMA</v>
      </c>
      <c r="O14" s="109">
        <v>8</v>
      </c>
      <c r="P14" s="109">
        <v>3</v>
      </c>
      <c r="Q14" s="109">
        <v>10</v>
      </c>
      <c r="R14" s="109">
        <v>5</v>
      </c>
      <c r="S14" s="111">
        <f t="shared" si="6"/>
        <v>26</v>
      </c>
      <c r="T14" s="111">
        <v>26</v>
      </c>
      <c r="U14" s="111">
        <f t="shared" si="7"/>
        <v>52</v>
      </c>
      <c r="V14" s="111">
        <f t="shared" si="8"/>
        <v>8</v>
      </c>
      <c r="W14" s="111" t="str">
        <f t="shared" si="9"/>
        <v>C6</v>
      </c>
      <c r="X14" s="111" t="str">
        <f t="shared" si="10"/>
        <v>Credit</v>
      </c>
      <c r="Y14" s="42">
        <v>11</v>
      </c>
      <c r="Z14" s="108" t="str">
        <f>Data!B12</f>
        <v>IBRAHIM HASSAN HELMA</v>
      </c>
      <c r="AA14" s="109">
        <v>8</v>
      </c>
      <c r="AB14" s="109">
        <v>3</v>
      </c>
      <c r="AC14" s="109">
        <v>10</v>
      </c>
      <c r="AD14" s="109">
        <v>5</v>
      </c>
      <c r="AE14" s="111">
        <f t="shared" si="11"/>
        <v>26</v>
      </c>
      <c r="AF14" s="112">
        <v>42</v>
      </c>
      <c r="AG14" s="113">
        <f t="shared" si="12"/>
        <v>68</v>
      </c>
      <c r="AH14" s="113">
        <f t="shared" si="13"/>
        <v>9</v>
      </c>
      <c r="AI14" s="113" t="str">
        <f t="shared" si="14"/>
        <v>B3</v>
      </c>
      <c r="AJ14" s="113" t="str">
        <f t="shared" si="15"/>
        <v>Good</v>
      </c>
      <c r="AK14" s="42">
        <v>11</v>
      </c>
      <c r="AL14" s="108" t="str">
        <f>Data!B12</f>
        <v>IBRAHIM HASSAN HELMA</v>
      </c>
      <c r="AM14" s="114"/>
      <c r="AN14" s="114"/>
      <c r="AO14" s="114"/>
      <c r="AP14" s="114"/>
      <c r="AQ14" s="115">
        <f t="shared" si="16"/>
        <v>0</v>
      </c>
      <c r="AR14" s="114"/>
      <c r="AS14" s="115">
        <f t="shared" si="17"/>
        <v>0</v>
      </c>
      <c r="AT14" s="115" t="str">
        <f t="shared" si="18"/>
        <v/>
      </c>
      <c r="AU14" s="115" t="str">
        <f t="shared" si="19"/>
        <v/>
      </c>
      <c r="AV14" s="115" t="str">
        <f t="shared" si="20"/>
        <v/>
      </c>
      <c r="AW14" s="42">
        <v>11</v>
      </c>
      <c r="AX14" s="108" t="str">
        <f>Data!B12</f>
        <v>IBRAHIM HASSAN HELMA</v>
      </c>
      <c r="AY14" s="116"/>
      <c r="AZ14" s="116"/>
      <c r="BA14" s="116"/>
      <c r="BB14" s="116"/>
      <c r="BC14" s="117">
        <f t="shared" si="21"/>
        <v>0</v>
      </c>
      <c r="BD14" s="116"/>
      <c r="BE14" s="117">
        <f t="shared" si="22"/>
        <v>0</v>
      </c>
      <c r="BF14" s="117" t="str">
        <f t="shared" si="23"/>
        <v/>
      </c>
      <c r="BG14" s="117" t="str">
        <f t="shared" si="24"/>
        <v/>
      </c>
      <c r="BH14" s="117" t="str">
        <f t="shared" si="25"/>
        <v/>
      </c>
      <c r="BI14" s="67">
        <v>11</v>
      </c>
      <c r="BJ14" s="108" t="str">
        <f>Data!B12</f>
        <v>IBRAHIM HASSAN HELMA</v>
      </c>
      <c r="BK14" s="110">
        <v>8</v>
      </c>
      <c r="BL14" s="110">
        <v>3</v>
      </c>
      <c r="BM14" s="110">
        <v>10</v>
      </c>
      <c r="BN14" s="110">
        <v>5</v>
      </c>
      <c r="BO14" s="111">
        <f t="shared" si="26"/>
        <v>26</v>
      </c>
      <c r="BP14" s="113">
        <v>42</v>
      </c>
      <c r="BQ14" s="119">
        <f t="shared" si="27"/>
        <v>68</v>
      </c>
      <c r="BR14" s="119">
        <f t="shared" si="28"/>
        <v>8</v>
      </c>
      <c r="BS14" s="119" t="str">
        <f t="shared" si="29"/>
        <v>B3</v>
      </c>
      <c r="BT14" s="119" t="str">
        <f t="shared" si="30"/>
        <v>Good</v>
      </c>
      <c r="BU14">
        <v>11</v>
      </c>
      <c r="BV14" s="108" t="str">
        <f>Data!B12</f>
        <v>IBRAHIM HASSAN HELMA</v>
      </c>
      <c r="BW14" s="120">
        <v>6</v>
      </c>
      <c r="BX14" s="120">
        <v>4</v>
      </c>
      <c r="BY14" s="120">
        <v>8</v>
      </c>
      <c r="BZ14" s="120">
        <v>8</v>
      </c>
      <c r="CA14" s="121">
        <f t="shared" si="31"/>
        <v>26</v>
      </c>
      <c r="CB14" s="120">
        <v>21</v>
      </c>
      <c r="CC14" s="121">
        <f t="shared" si="32"/>
        <v>47</v>
      </c>
      <c r="CD14" s="121">
        <f t="shared" si="33"/>
        <v>28</v>
      </c>
      <c r="CE14" s="121" t="str">
        <f t="shared" si="34"/>
        <v>D7</v>
      </c>
      <c r="CF14" s="121" t="str">
        <f t="shared" si="35"/>
        <v>Pass</v>
      </c>
      <c r="CG14">
        <v>11</v>
      </c>
      <c r="CH14" s="108" t="str">
        <f>Data!B12</f>
        <v>IBRAHIM HASSAN HELMA</v>
      </c>
      <c r="CI14" s="109"/>
      <c r="CJ14" s="109"/>
      <c r="CK14" s="109"/>
      <c r="CL14" s="109"/>
      <c r="CM14" s="122">
        <f t="shared" si="36"/>
        <v>0</v>
      </c>
      <c r="CN14" s="122"/>
      <c r="CO14" s="122">
        <f t="shared" si="37"/>
        <v>0</v>
      </c>
      <c r="CP14" s="122" t="str">
        <f t="shared" si="38"/>
        <v/>
      </c>
      <c r="CQ14" s="122" t="str">
        <f t="shared" si="39"/>
        <v/>
      </c>
      <c r="CR14" s="122" t="str">
        <f t="shared" si="40"/>
        <v/>
      </c>
      <c r="CS14">
        <v>11</v>
      </c>
      <c r="CT14" s="108" t="str">
        <f>Data!B12</f>
        <v>IBRAHIM HASSAN HELMA</v>
      </c>
      <c r="CU14" s="43"/>
      <c r="CV14" s="43"/>
      <c r="CW14" s="43"/>
      <c r="CX14" s="43"/>
      <c r="CY14" s="123">
        <f t="shared" si="41"/>
        <v>0</v>
      </c>
      <c r="CZ14" s="43"/>
      <c r="DA14" s="123">
        <f t="shared" si="42"/>
        <v>0</v>
      </c>
      <c r="DB14" s="123" t="str">
        <f t="shared" si="43"/>
        <v/>
      </c>
      <c r="DC14" s="123" t="str">
        <f t="shared" si="44"/>
        <v/>
      </c>
      <c r="DD14" s="123" t="str">
        <f t="shared" si="45"/>
        <v/>
      </c>
      <c r="DE14">
        <v>11</v>
      </c>
      <c r="DF14" s="108" t="str">
        <f>Data!B12</f>
        <v>IBRAHIM HASSAN HELMA</v>
      </c>
      <c r="DG14" s="109">
        <v>5</v>
      </c>
      <c r="DH14" s="109">
        <v>2</v>
      </c>
      <c r="DI14" s="109"/>
      <c r="DJ14" s="109"/>
      <c r="DK14" s="117">
        <f t="shared" si="46"/>
        <v>7</v>
      </c>
      <c r="DL14" s="116">
        <v>22</v>
      </c>
      <c r="DM14" s="117">
        <f t="shared" si="47"/>
        <v>29</v>
      </c>
      <c r="DN14" s="117">
        <f t="shared" si="48"/>
        <v>13</v>
      </c>
      <c r="DO14" s="117" t="str">
        <f t="shared" si="49"/>
        <v>F</v>
      </c>
      <c r="DP14" s="117" t="str">
        <f t="shared" si="50"/>
        <v>Fail</v>
      </c>
      <c r="DQ14">
        <v>11</v>
      </c>
      <c r="DR14" s="108" t="str">
        <f>Data!B12</f>
        <v>IBRAHIM HASSAN HELMA</v>
      </c>
      <c r="DS14" s="124"/>
      <c r="DT14" s="124"/>
      <c r="DU14" s="124"/>
      <c r="DV14" s="124"/>
      <c r="DW14" s="125">
        <f t="shared" si="51"/>
        <v>0</v>
      </c>
      <c r="DX14" s="126"/>
      <c r="DY14" s="125">
        <f t="shared" si="52"/>
        <v>0</v>
      </c>
      <c r="DZ14" s="125" t="str">
        <f t="shared" si="53"/>
        <v/>
      </c>
      <c r="EA14" s="125" t="str">
        <f t="shared" si="54"/>
        <v/>
      </c>
      <c r="EB14" s="125" t="str">
        <f t="shared" si="55"/>
        <v/>
      </c>
      <c r="EC14">
        <v>11</v>
      </c>
      <c r="ED14" s="108" t="str">
        <f>Data!B12</f>
        <v>IBRAHIM HASSAN HELMA</v>
      </c>
      <c r="EE14" s="109"/>
      <c r="EF14" s="109"/>
      <c r="EG14" s="109"/>
      <c r="EH14" s="109"/>
      <c r="EI14" s="127">
        <f t="shared" si="56"/>
        <v>0</v>
      </c>
      <c r="EJ14" s="127"/>
      <c r="EK14" s="127">
        <f t="shared" si="57"/>
        <v>0</v>
      </c>
      <c r="EL14" s="127" t="str">
        <f t="shared" si="58"/>
        <v/>
      </c>
      <c r="EM14" s="127" t="str">
        <f t="shared" si="59"/>
        <v/>
      </c>
      <c r="EN14" s="127" t="str">
        <f t="shared" si="60"/>
        <v/>
      </c>
      <c r="EO14">
        <v>11</v>
      </c>
      <c r="EP14" s="128" t="str">
        <f>Data!B12</f>
        <v>IBRAHIM HASSAN HELMA</v>
      </c>
      <c r="EQ14" s="109"/>
      <c r="ER14" s="109"/>
      <c r="ES14" s="109"/>
      <c r="ET14" s="109"/>
      <c r="EU14" s="123">
        <f t="shared" si="61"/>
        <v>0</v>
      </c>
      <c r="EV14" s="123"/>
      <c r="EW14" s="123">
        <f t="shared" si="62"/>
        <v>0</v>
      </c>
      <c r="EX14" s="123" t="str">
        <f t="shared" si="63"/>
        <v/>
      </c>
      <c r="EY14" s="123" t="str">
        <f t="shared" si="64"/>
        <v/>
      </c>
      <c r="EZ14" s="123" t="str">
        <f t="shared" si="65"/>
        <v/>
      </c>
      <c r="FA14">
        <v>11</v>
      </c>
      <c r="FB14" s="108" t="str">
        <f>Data!B12</f>
        <v>IBRAHIM HASSAN HELMA</v>
      </c>
      <c r="FC14" s="109"/>
      <c r="FD14" s="109"/>
      <c r="FE14" s="109"/>
      <c r="FF14" s="109"/>
      <c r="FG14" s="129">
        <f t="shared" si="66"/>
        <v>0</v>
      </c>
      <c r="FH14" s="129"/>
      <c r="FI14" s="129">
        <f t="shared" si="67"/>
        <v>0</v>
      </c>
      <c r="FJ14" s="129" t="str">
        <f t="shared" si="68"/>
        <v/>
      </c>
      <c r="FK14" s="129" t="str">
        <f t="shared" si="69"/>
        <v/>
      </c>
      <c r="FL14" s="129" t="str">
        <f t="shared" si="70"/>
        <v/>
      </c>
      <c r="FM14">
        <v>11</v>
      </c>
      <c r="FN14" s="108" t="str">
        <f>Data!B12</f>
        <v>IBRAHIM HASSAN HELMA</v>
      </c>
      <c r="FO14" s="109"/>
      <c r="FP14" s="109"/>
      <c r="FQ14" s="109"/>
      <c r="FR14" s="109"/>
      <c r="FS14" s="130">
        <f t="shared" si="71"/>
        <v>0</v>
      </c>
      <c r="FT14" s="130"/>
      <c r="FU14" s="130">
        <f t="shared" si="72"/>
        <v>0</v>
      </c>
      <c r="FV14" s="130" t="str">
        <f t="shared" si="73"/>
        <v/>
      </c>
      <c r="FW14" s="130" t="str">
        <f t="shared" si="74"/>
        <v/>
      </c>
      <c r="FX14" s="130" t="str">
        <f t="shared" si="75"/>
        <v/>
      </c>
      <c r="FY14">
        <v>11</v>
      </c>
      <c r="FZ14" s="108" t="str">
        <f>Data!B12</f>
        <v>IBRAHIM HASSAN HELMA</v>
      </c>
      <c r="GA14" s="109">
        <v>8</v>
      </c>
      <c r="GB14" s="109">
        <v>7</v>
      </c>
      <c r="GC14" s="109">
        <v>8</v>
      </c>
      <c r="GD14" s="109">
        <v>5</v>
      </c>
      <c r="GE14" s="131">
        <f t="shared" si="76"/>
        <v>28</v>
      </c>
      <c r="GF14" s="131">
        <v>27</v>
      </c>
      <c r="GG14" s="131">
        <f t="shared" si="77"/>
        <v>55</v>
      </c>
      <c r="GH14" s="131">
        <f t="shared" si="78"/>
        <v>21</v>
      </c>
      <c r="GI14" s="131" t="str">
        <f t="shared" si="79"/>
        <v>C</v>
      </c>
      <c r="GJ14" s="131" t="str">
        <f t="shared" si="80"/>
        <v>Credit</v>
      </c>
      <c r="GK14">
        <v>11</v>
      </c>
      <c r="GL14" s="108" t="str">
        <f>Data!B12</f>
        <v>IBRAHIM HASSAN HELMA</v>
      </c>
      <c r="GM14" s="132"/>
      <c r="GN14" s="132"/>
      <c r="GO14" s="132"/>
      <c r="GP14" s="132"/>
      <c r="GQ14" s="133">
        <f t="shared" si="81"/>
        <v>0</v>
      </c>
      <c r="GR14" s="132"/>
      <c r="GS14" s="133">
        <f t="shared" si="82"/>
        <v>0</v>
      </c>
      <c r="GT14" s="133" t="str">
        <f t="shared" si="83"/>
        <v/>
      </c>
      <c r="GU14" s="133" t="str">
        <f t="shared" si="84"/>
        <v/>
      </c>
      <c r="GV14" s="133" t="str">
        <f t="shared" si="85"/>
        <v/>
      </c>
      <c r="GW14">
        <v>11</v>
      </c>
      <c r="GX14" s="108" t="str">
        <f>Data!B12</f>
        <v>IBRAHIM HASSAN HELMA</v>
      </c>
      <c r="GY14" s="109"/>
      <c r="GZ14" s="109"/>
      <c r="HA14" s="109"/>
      <c r="HB14" s="109"/>
      <c r="HC14" s="119">
        <f t="shared" si="86"/>
        <v>0</v>
      </c>
      <c r="HD14" s="119"/>
      <c r="HE14" s="119">
        <f t="shared" si="87"/>
        <v>0</v>
      </c>
      <c r="HF14" s="119" t="str">
        <f t="shared" si="88"/>
        <v/>
      </c>
      <c r="HG14" s="119" t="str">
        <f t="shared" si="89"/>
        <v/>
      </c>
      <c r="HH14" s="119" t="str">
        <f t="shared" si="90"/>
        <v/>
      </c>
      <c r="HI14">
        <v>11</v>
      </c>
      <c r="HJ14" s="108" t="str">
        <f>Data!B12</f>
        <v>IBRAHIM HASSAN HELMA</v>
      </c>
      <c r="HK14" s="144"/>
      <c r="HL14" s="145"/>
      <c r="HM14" s="145"/>
      <c r="HN14" s="145"/>
      <c r="HO14" s="136">
        <f t="shared" si="91"/>
        <v>0</v>
      </c>
      <c r="HP14" s="144"/>
      <c r="HQ14" s="136">
        <f t="shared" si="92"/>
        <v>0</v>
      </c>
      <c r="HR14" s="136" t="str">
        <f t="shared" si="93"/>
        <v/>
      </c>
      <c r="HS14" s="136" t="str">
        <f t="shared" si="94"/>
        <v/>
      </c>
      <c r="HT14" s="136" t="str">
        <f t="shared" si="95"/>
        <v/>
      </c>
      <c r="HU14">
        <v>11</v>
      </c>
      <c r="HV14" s="108" t="str">
        <f>Data!B12</f>
        <v>IBRAHIM HASSAN HELMA</v>
      </c>
      <c r="HW14" s="109"/>
      <c r="HX14" s="109"/>
      <c r="HY14" s="109"/>
      <c r="HZ14" s="109"/>
      <c r="IA14" s="117">
        <f t="shared" si="96"/>
        <v>0</v>
      </c>
      <c r="IB14" s="117"/>
      <c r="IC14" s="117">
        <f t="shared" si="97"/>
        <v>0</v>
      </c>
      <c r="ID14" s="117" t="str">
        <f t="shared" si="98"/>
        <v/>
      </c>
      <c r="IE14" s="117" t="str">
        <f t="shared" si="99"/>
        <v/>
      </c>
      <c r="IF14" s="117" t="str">
        <f t="shared" si="100"/>
        <v/>
      </c>
      <c r="IG14">
        <v>11</v>
      </c>
      <c r="IH14" s="108" t="str">
        <f>Data!B12</f>
        <v>IBRAHIM HASSAN HELMA</v>
      </c>
      <c r="II14" s="109"/>
      <c r="IJ14" s="109"/>
      <c r="IK14" s="109"/>
      <c r="IL14" s="109"/>
      <c r="IM14" s="137">
        <f t="shared" si="101"/>
        <v>0</v>
      </c>
      <c r="IN14" s="137"/>
      <c r="IO14" s="137">
        <f t="shared" si="102"/>
        <v>0</v>
      </c>
      <c r="IP14" s="137" t="str">
        <f t="shared" si="103"/>
        <v/>
      </c>
      <c r="IQ14" s="137" t="str">
        <f t="shared" si="104"/>
        <v/>
      </c>
      <c r="IR14" s="137" t="str">
        <f t="shared" si="105"/>
        <v/>
      </c>
      <c r="IS14">
        <v>11</v>
      </c>
      <c r="IT14" s="108" t="str">
        <f t="shared" si="106"/>
        <v>IBRAHIM HASSAN HELMA</v>
      </c>
      <c r="IU14" s="110">
        <v>8</v>
      </c>
      <c r="IV14" s="110">
        <v>3</v>
      </c>
      <c r="IW14" s="110">
        <v>10</v>
      </c>
      <c r="IX14" s="110">
        <v>5</v>
      </c>
      <c r="IY14" s="111">
        <f t="shared" si="107"/>
        <v>26</v>
      </c>
      <c r="IZ14" s="113">
        <v>42</v>
      </c>
      <c r="JA14" s="131">
        <f t="shared" si="108"/>
        <v>68</v>
      </c>
      <c r="JB14" s="131">
        <f t="shared" si="109"/>
        <v>8</v>
      </c>
      <c r="JC14" s="131" t="str">
        <f t="shared" si="110"/>
        <v>C</v>
      </c>
      <c r="JD14" s="131" t="str">
        <f t="shared" si="111"/>
        <v>Good</v>
      </c>
      <c r="JE14">
        <v>11</v>
      </c>
      <c r="JF14" s="108" t="str">
        <f t="shared" si="112"/>
        <v>IBRAHIM HASSAN HELMA</v>
      </c>
      <c r="JG14" s="147"/>
      <c r="JH14" s="147"/>
      <c r="JI14" s="147"/>
      <c r="JJ14" s="147"/>
      <c r="JK14" s="113">
        <f t="shared" si="113"/>
        <v>0</v>
      </c>
      <c r="JL14" s="147"/>
      <c r="JM14" s="113">
        <f t="shared" si="114"/>
        <v>0</v>
      </c>
      <c r="JN14" s="113" t="str">
        <f t="shared" si="115"/>
        <v/>
      </c>
      <c r="JO14" s="113" t="str">
        <f t="shared" si="116"/>
        <v/>
      </c>
      <c r="JP14" s="113" t="str">
        <f t="shared" si="117"/>
        <v/>
      </c>
      <c r="JQ14">
        <v>11</v>
      </c>
      <c r="JR14" s="108" t="str">
        <f t="shared" si="118"/>
        <v>IBRAHIM HASSAN HELMA</v>
      </c>
      <c r="JS14" s="140"/>
      <c r="JT14" s="140"/>
      <c r="JU14" s="140"/>
      <c r="JV14" s="140"/>
      <c r="JW14" s="111">
        <f t="shared" si="119"/>
        <v>0</v>
      </c>
      <c r="JX14" s="141"/>
      <c r="JY14" s="111">
        <f t="shared" si="0"/>
        <v>0</v>
      </c>
      <c r="JZ14" s="111" t="str">
        <f t="shared" si="120"/>
        <v/>
      </c>
      <c r="KA14" s="111" t="str">
        <f t="shared" si="121"/>
        <v/>
      </c>
      <c r="KB14" s="111" t="str">
        <f t="shared" si="122"/>
        <v/>
      </c>
      <c r="KD14" s="47"/>
      <c r="KE14" s="47"/>
      <c r="KF14" s="47"/>
      <c r="KG14" s="47"/>
      <c r="KH14" s="47"/>
      <c r="KI14" s="47"/>
      <c r="KJ14" s="47"/>
      <c r="KK14" s="47"/>
      <c r="KM14" s="47"/>
      <c r="KN14" s="47"/>
      <c r="KO14" s="47"/>
      <c r="KP14" s="47"/>
      <c r="KQ14" s="47"/>
      <c r="KR14" s="47"/>
      <c r="KS14" s="47"/>
      <c r="KT14" s="47"/>
      <c r="KU14" s="47"/>
      <c r="KV14" s="47"/>
    </row>
    <row r="15" spans="1:308" ht="23.25">
      <c r="A15" s="211">
        <v>12</v>
      </c>
      <c r="B15" s="108" t="str">
        <f>Data!B13</f>
        <v>MODUYE ALI</v>
      </c>
      <c r="C15" s="109">
        <v>9</v>
      </c>
      <c r="D15" s="109">
        <v>2</v>
      </c>
      <c r="E15" s="109">
        <v>10</v>
      </c>
      <c r="F15" s="109">
        <v>5</v>
      </c>
      <c r="G15" s="111">
        <f t="shared" si="123"/>
        <v>26</v>
      </c>
      <c r="H15" s="111">
        <v>27</v>
      </c>
      <c r="I15" s="111">
        <f t="shared" si="2"/>
        <v>53</v>
      </c>
      <c r="J15" s="110">
        <f t="shared" si="3"/>
        <v>8</v>
      </c>
      <c r="K15" s="110" t="str">
        <f t="shared" si="4"/>
        <v>C6</v>
      </c>
      <c r="L15" s="110" t="str">
        <f t="shared" si="5"/>
        <v>Credit</v>
      </c>
      <c r="M15" s="48">
        <v>12</v>
      </c>
      <c r="N15" s="108" t="str">
        <f>Data!B13</f>
        <v>MODUYE ALI</v>
      </c>
      <c r="O15" s="109">
        <v>9</v>
      </c>
      <c r="P15" s="109">
        <v>2</v>
      </c>
      <c r="Q15" s="109">
        <v>10</v>
      </c>
      <c r="R15" s="109">
        <v>5</v>
      </c>
      <c r="S15" s="111">
        <f t="shared" si="6"/>
        <v>26</v>
      </c>
      <c r="T15" s="111">
        <v>27</v>
      </c>
      <c r="U15" s="111">
        <f t="shared" si="7"/>
        <v>53</v>
      </c>
      <c r="V15" s="111">
        <f t="shared" si="8"/>
        <v>7</v>
      </c>
      <c r="W15" s="111" t="str">
        <f t="shared" si="9"/>
        <v>C6</v>
      </c>
      <c r="X15" s="111" t="str">
        <f t="shared" si="10"/>
        <v>Credit</v>
      </c>
      <c r="Y15" s="42">
        <v>12</v>
      </c>
      <c r="Z15" s="108" t="str">
        <f>Data!B13</f>
        <v>MODUYE ALI</v>
      </c>
      <c r="AA15" s="109">
        <v>9</v>
      </c>
      <c r="AB15" s="109">
        <v>2</v>
      </c>
      <c r="AC15" s="109">
        <v>10</v>
      </c>
      <c r="AD15" s="109">
        <v>5</v>
      </c>
      <c r="AE15" s="111">
        <f t="shared" si="11"/>
        <v>26</v>
      </c>
      <c r="AF15" s="112">
        <v>42</v>
      </c>
      <c r="AG15" s="113">
        <f t="shared" si="12"/>
        <v>68</v>
      </c>
      <c r="AH15" s="113">
        <f t="shared" si="13"/>
        <v>9</v>
      </c>
      <c r="AI15" s="113" t="str">
        <f t="shared" si="14"/>
        <v>B3</v>
      </c>
      <c r="AJ15" s="113" t="str">
        <f t="shared" si="15"/>
        <v>Good</v>
      </c>
      <c r="AK15" s="42">
        <v>12</v>
      </c>
      <c r="AL15" s="108" t="str">
        <f>Data!B13</f>
        <v>MODUYE ALI</v>
      </c>
      <c r="AM15" s="114"/>
      <c r="AN15" s="114"/>
      <c r="AO15" s="114"/>
      <c r="AP15" s="114"/>
      <c r="AQ15" s="115">
        <f t="shared" si="16"/>
        <v>0</v>
      </c>
      <c r="AR15" s="114"/>
      <c r="AS15" s="115">
        <f t="shared" si="17"/>
        <v>0</v>
      </c>
      <c r="AT15" s="115" t="str">
        <f t="shared" si="18"/>
        <v/>
      </c>
      <c r="AU15" s="115" t="str">
        <f t="shared" si="19"/>
        <v/>
      </c>
      <c r="AV15" s="115" t="str">
        <f t="shared" si="20"/>
        <v/>
      </c>
      <c r="AW15" s="42">
        <v>12</v>
      </c>
      <c r="AX15" s="108" t="str">
        <f>Data!B13</f>
        <v>MODUYE ALI</v>
      </c>
      <c r="AY15" s="116"/>
      <c r="AZ15" s="116"/>
      <c r="BA15" s="116"/>
      <c r="BB15" s="116"/>
      <c r="BC15" s="117">
        <f t="shared" si="21"/>
        <v>0</v>
      </c>
      <c r="BD15" s="116"/>
      <c r="BE15" s="117">
        <f t="shared" si="22"/>
        <v>0</v>
      </c>
      <c r="BF15" s="117" t="str">
        <f t="shared" si="23"/>
        <v/>
      </c>
      <c r="BG15" s="117" t="str">
        <f t="shared" si="24"/>
        <v/>
      </c>
      <c r="BH15" s="117" t="str">
        <f t="shared" si="25"/>
        <v/>
      </c>
      <c r="BI15" s="67">
        <v>12</v>
      </c>
      <c r="BJ15" s="108" t="str">
        <f>Data!B13</f>
        <v>MODUYE ALI</v>
      </c>
      <c r="BK15" s="110">
        <v>9</v>
      </c>
      <c r="BL15" s="110">
        <v>2</v>
      </c>
      <c r="BM15" s="110">
        <v>10</v>
      </c>
      <c r="BN15" s="110">
        <v>5</v>
      </c>
      <c r="BO15" s="111">
        <f t="shared" si="26"/>
        <v>26</v>
      </c>
      <c r="BP15" s="113">
        <v>42</v>
      </c>
      <c r="BQ15" s="119">
        <f t="shared" si="27"/>
        <v>68</v>
      </c>
      <c r="BR15" s="119">
        <f t="shared" si="28"/>
        <v>8</v>
      </c>
      <c r="BS15" s="119" t="str">
        <f t="shared" si="29"/>
        <v>B3</v>
      </c>
      <c r="BT15" s="119" t="str">
        <f t="shared" si="30"/>
        <v>Good</v>
      </c>
      <c r="BU15">
        <v>12</v>
      </c>
      <c r="BV15" s="108" t="str">
        <f>Data!B13</f>
        <v>MODUYE ALI</v>
      </c>
      <c r="BW15" s="120">
        <v>5</v>
      </c>
      <c r="BX15" s="120">
        <v>6</v>
      </c>
      <c r="BY15" s="120">
        <v>8</v>
      </c>
      <c r="BZ15" s="120">
        <v>7</v>
      </c>
      <c r="CA15" s="121">
        <f t="shared" si="31"/>
        <v>26</v>
      </c>
      <c r="CB15" s="120">
        <v>24</v>
      </c>
      <c r="CC15" s="121">
        <f t="shared" si="32"/>
        <v>50</v>
      </c>
      <c r="CD15" s="121">
        <f t="shared" si="33"/>
        <v>23</v>
      </c>
      <c r="CE15" s="121" t="str">
        <f t="shared" si="34"/>
        <v>C6</v>
      </c>
      <c r="CF15" s="121" t="str">
        <f t="shared" si="35"/>
        <v>Credit</v>
      </c>
      <c r="CG15">
        <v>12</v>
      </c>
      <c r="CH15" s="108" t="str">
        <f>Data!B13</f>
        <v>MODUYE ALI</v>
      </c>
      <c r="CI15" s="109"/>
      <c r="CJ15" s="109"/>
      <c r="CK15" s="109"/>
      <c r="CL15" s="109"/>
      <c r="CM15" s="122">
        <f t="shared" si="36"/>
        <v>0</v>
      </c>
      <c r="CN15" s="122"/>
      <c r="CO15" s="122">
        <f t="shared" si="37"/>
        <v>0</v>
      </c>
      <c r="CP15" s="122" t="str">
        <f t="shared" si="38"/>
        <v/>
      </c>
      <c r="CQ15" s="122" t="str">
        <f t="shared" si="39"/>
        <v/>
      </c>
      <c r="CR15" s="122" t="str">
        <f t="shared" si="40"/>
        <v/>
      </c>
      <c r="CS15">
        <v>12</v>
      </c>
      <c r="CT15" s="108" t="str">
        <f>Data!B13</f>
        <v>MODUYE ALI</v>
      </c>
      <c r="CU15" s="43"/>
      <c r="CV15" s="43"/>
      <c r="CW15" s="43"/>
      <c r="CX15" s="43"/>
      <c r="CY15" s="123">
        <f t="shared" si="41"/>
        <v>0</v>
      </c>
      <c r="CZ15" s="43"/>
      <c r="DA15" s="123">
        <f t="shared" si="42"/>
        <v>0</v>
      </c>
      <c r="DB15" s="123" t="str">
        <f t="shared" si="43"/>
        <v/>
      </c>
      <c r="DC15" s="123" t="str">
        <f t="shared" si="44"/>
        <v/>
      </c>
      <c r="DD15" s="123" t="str">
        <f t="shared" si="45"/>
        <v/>
      </c>
      <c r="DE15">
        <v>12</v>
      </c>
      <c r="DF15" s="108" t="str">
        <f>Data!B13</f>
        <v>MODUYE ALI</v>
      </c>
      <c r="DG15" s="109">
        <v>7</v>
      </c>
      <c r="DH15" s="109">
        <v>3</v>
      </c>
      <c r="DI15" s="109">
        <v>2</v>
      </c>
      <c r="DJ15" s="109">
        <v>5</v>
      </c>
      <c r="DK15" s="117">
        <f t="shared" si="46"/>
        <v>17</v>
      </c>
      <c r="DL15" s="116">
        <v>24</v>
      </c>
      <c r="DM15" s="117">
        <f t="shared" si="47"/>
        <v>41</v>
      </c>
      <c r="DN15" s="117">
        <f t="shared" si="48"/>
        <v>4</v>
      </c>
      <c r="DO15" s="117" t="str">
        <f t="shared" si="49"/>
        <v>E8</v>
      </c>
      <c r="DP15" s="117" t="str">
        <f t="shared" si="50"/>
        <v>Pass</v>
      </c>
      <c r="DQ15">
        <v>12</v>
      </c>
      <c r="DR15" s="108" t="str">
        <f>Data!B13</f>
        <v>MODUYE ALI</v>
      </c>
      <c r="DS15" s="124"/>
      <c r="DT15" s="124"/>
      <c r="DU15" s="124"/>
      <c r="DV15" s="124"/>
      <c r="DW15" s="125">
        <f t="shared" si="51"/>
        <v>0</v>
      </c>
      <c r="DX15" s="126"/>
      <c r="DY15" s="125">
        <f t="shared" si="52"/>
        <v>0</v>
      </c>
      <c r="DZ15" s="125" t="str">
        <f t="shared" si="53"/>
        <v/>
      </c>
      <c r="EA15" s="125" t="str">
        <f t="shared" si="54"/>
        <v/>
      </c>
      <c r="EB15" s="125" t="str">
        <f t="shared" si="55"/>
        <v/>
      </c>
      <c r="EC15">
        <v>12</v>
      </c>
      <c r="ED15" s="108" t="str">
        <f>Data!B13</f>
        <v>MODUYE ALI</v>
      </c>
      <c r="EE15" s="109"/>
      <c r="EF15" s="109"/>
      <c r="EG15" s="109"/>
      <c r="EH15" s="109"/>
      <c r="EI15" s="127">
        <f t="shared" si="56"/>
        <v>0</v>
      </c>
      <c r="EJ15" s="127"/>
      <c r="EK15" s="127">
        <f t="shared" si="57"/>
        <v>0</v>
      </c>
      <c r="EL15" s="127" t="str">
        <f t="shared" si="58"/>
        <v/>
      </c>
      <c r="EM15" s="127" t="str">
        <f t="shared" si="59"/>
        <v/>
      </c>
      <c r="EN15" s="127" t="str">
        <f t="shared" si="60"/>
        <v/>
      </c>
      <c r="EO15">
        <v>12</v>
      </c>
      <c r="EP15" s="128" t="str">
        <f>Data!B13</f>
        <v>MODUYE ALI</v>
      </c>
      <c r="EQ15" s="109"/>
      <c r="ER15" s="109"/>
      <c r="ES15" s="109"/>
      <c r="ET15" s="109"/>
      <c r="EU15" s="123">
        <f t="shared" si="61"/>
        <v>0</v>
      </c>
      <c r="EV15" s="123"/>
      <c r="EW15" s="123">
        <f t="shared" si="62"/>
        <v>0</v>
      </c>
      <c r="EX15" s="123" t="str">
        <f t="shared" si="63"/>
        <v/>
      </c>
      <c r="EY15" s="123" t="str">
        <f t="shared" si="64"/>
        <v/>
      </c>
      <c r="EZ15" s="123" t="str">
        <f t="shared" si="65"/>
        <v/>
      </c>
      <c r="FA15">
        <v>12</v>
      </c>
      <c r="FB15" s="108" t="str">
        <f>Data!B13</f>
        <v>MODUYE ALI</v>
      </c>
      <c r="FC15" s="109"/>
      <c r="FD15" s="109"/>
      <c r="FE15" s="109"/>
      <c r="FF15" s="109"/>
      <c r="FG15" s="129">
        <f t="shared" si="66"/>
        <v>0</v>
      </c>
      <c r="FH15" s="129"/>
      <c r="FI15" s="129">
        <f t="shared" si="67"/>
        <v>0</v>
      </c>
      <c r="FJ15" s="129" t="str">
        <f t="shared" si="68"/>
        <v/>
      </c>
      <c r="FK15" s="129" t="str">
        <f t="shared" si="69"/>
        <v/>
      </c>
      <c r="FL15" s="129" t="str">
        <f t="shared" si="70"/>
        <v/>
      </c>
      <c r="FM15">
        <v>12</v>
      </c>
      <c r="FN15" s="108" t="str">
        <f>Data!B13</f>
        <v>MODUYE ALI</v>
      </c>
      <c r="FO15" s="109"/>
      <c r="FP15" s="109"/>
      <c r="FQ15" s="109"/>
      <c r="FR15" s="109"/>
      <c r="FS15" s="130">
        <f t="shared" si="71"/>
        <v>0</v>
      </c>
      <c r="FT15" s="130"/>
      <c r="FU15" s="130">
        <f t="shared" si="72"/>
        <v>0</v>
      </c>
      <c r="FV15" s="130" t="str">
        <f t="shared" si="73"/>
        <v/>
      </c>
      <c r="FW15" s="130" t="str">
        <f t="shared" si="74"/>
        <v/>
      </c>
      <c r="FX15" s="130" t="str">
        <f t="shared" si="75"/>
        <v/>
      </c>
      <c r="FY15">
        <v>12</v>
      </c>
      <c r="FZ15" s="108" t="str">
        <f>Data!B13</f>
        <v>MODUYE ALI</v>
      </c>
      <c r="GA15" s="109">
        <v>6</v>
      </c>
      <c r="GB15" s="109">
        <v>8</v>
      </c>
      <c r="GC15" s="109">
        <v>8</v>
      </c>
      <c r="GD15" s="109">
        <v>8</v>
      </c>
      <c r="GE15" s="131">
        <f t="shared" si="76"/>
        <v>30</v>
      </c>
      <c r="GF15" s="131">
        <v>30</v>
      </c>
      <c r="GG15" s="131">
        <f t="shared" si="77"/>
        <v>60</v>
      </c>
      <c r="GH15" s="131">
        <f t="shared" si="78"/>
        <v>12</v>
      </c>
      <c r="GI15" s="131" t="str">
        <f t="shared" si="79"/>
        <v>C</v>
      </c>
      <c r="GJ15" s="131" t="str">
        <f t="shared" si="80"/>
        <v>Credit</v>
      </c>
      <c r="GK15">
        <v>12</v>
      </c>
      <c r="GL15" s="108" t="str">
        <f>Data!B13</f>
        <v>MODUYE ALI</v>
      </c>
      <c r="GM15" s="132"/>
      <c r="GN15" s="132"/>
      <c r="GO15" s="132"/>
      <c r="GP15" s="132"/>
      <c r="GQ15" s="133">
        <f t="shared" si="81"/>
        <v>0</v>
      </c>
      <c r="GR15" s="132"/>
      <c r="GS15" s="133">
        <f t="shared" si="82"/>
        <v>0</v>
      </c>
      <c r="GT15" s="133" t="str">
        <f t="shared" si="83"/>
        <v/>
      </c>
      <c r="GU15" s="133" t="str">
        <f t="shared" si="84"/>
        <v/>
      </c>
      <c r="GV15" s="133" t="str">
        <f t="shared" si="85"/>
        <v/>
      </c>
      <c r="GW15">
        <v>12</v>
      </c>
      <c r="GX15" s="108" t="str">
        <f>Data!B13</f>
        <v>MODUYE ALI</v>
      </c>
      <c r="GY15" s="109"/>
      <c r="GZ15" s="109"/>
      <c r="HA15" s="109"/>
      <c r="HB15" s="109"/>
      <c r="HC15" s="119">
        <f t="shared" si="86"/>
        <v>0</v>
      </c>
      <c r="HD15" s="119"/>
      <c r="HE15" s="119">
        <f t="shared" si="87"/>
        <v>0</v>
      </c>
      <c r="HF15" s="119" t="str">
        <f t="shared" si="88"/>
        <v/>
      </c>
      <c r="HG15" s="119" t="str">
        <f t="shared" si="89"/>
        <v/>
      </c>
      <c r="HH15" s="119" t="str">
        <f t="shared" si="90"/>
        <v/>
      </c>
      <c r="HI15">
        <v>12</v>
      </c>
      <c r="HJ15" s="108" t="str">
        <f>Data!B13</f>
        <v>MODUYE ALI</v>
      </c>
      <c r="HK15" s="144"/>
      <c r="HL15" s="145"/>
      <c r="HM15" s="145"/>
      <c r="HN15" s="145"/>
      <c r="HO15" s="136">
        <f t="shared" si="91"/>
        <v>0</v>
      </c>
      <c r="HP15" s="144"/>
      <c r="HQ15" s="136">
        <f t="shared" si="92"/>
        <v>0</v>
      </c>
      <c r="HR15" s="136" t="str">
        <f t="shared" si="93"/>
        <v/>
      </c>
      <c r="HS15" s="136" t="str">
        <f t="shared" si="94"/>
        <v/>
      </c>
      <c r="HT15" s="136" t="str">
        <f t="shared" si="95"/>
        <v/>
      </c>
      <c r="HU15">
        <v>12</v>
      </c>
      <c r="HV15" s="108" t="str">
        <f>Data!B13</f>
        <v>MODUYE ALI</v>
      </c>
      <c r="HW15" s="109"/>
      <c r="HX15" s="109"/>
      <c r="HY15" s="109"/>
      <c r="HZ15" s="109"/>
      <c r="IA15" s="117">
        <f t="shared" si="96"/>
        <v>0</v>
      </c>
      <c r="IB15" s="117"/>
      <c r="IC15" s="117">
        <f t="shared" si="97"/>
        <v>0</v>
      </c>
      <c r="ID15" s="117" t="str">
        <f t="shared" si="98"/>
        <v/>
      </c>
      <c r="IE15" s="117" t="str">
        <f t="shared" si="99"/>
        <v/>
      </c>
      <c r="IF15" s="117" t="str">
        <f t="shared" si="100"/>
        <v/>
      </c>
      <c r="IG15">
        <v>12</v>
      </c>
      <c r="IH15" s="108" t="str">
        <f>Data!B13</f>
        <v>MODUYE ALI</v>
      </c>
      <c r="II15" s="109"/>
      <c r="IJ15" s="109"/>
      <c r="IK15" s="109"/>
      <c r="IL15" s="109"/>
      <c r="IM15" s="137">
        <f t="shared" si="101"/>
        <v>0</v>
      </c>
      <c r="IN15" s="137"/>
      <c r="IO15" s="137">
        <f t="shared" si="102"/>
        <v>0</v>
      </c>
      <c r="IP15" s="137" t="str">
        <f t="shared" si="103"/>
        <v/>
      </c>
      <c r="IQ15" s="137" t="str">
        <f t="shared" si="104"/>
        <v/>
      </c>
      <c r="IR15" s="137" t="str">
        <f t="shared" si="105"/>
        <v/>
      </c>
      <c r="IS15">
        <v>12</v>
      </c>
      <c r="IT15" s="108" t="str">
        <f t="shared" si="106"/>
        <v>MODUYE ALI</v>
      </c>
      <c r="IU15" s="110">
        <v>9</v>
      </c>
      <c r="IV15" s="110">
        <v>2</v>
      </c>
      <c r="IW15" s="110">
        <v>10</v>
      </c>
      <c r="IX15" s="110">
        <v>5</v>
      </c>
      <c r="IY15" s="111">
        <f t="shared" si="107"/>
        <v>26</v>
      </c>
      <c r="IZ15" s="113">
        <v>42</v>
      </c>
      <c r="JA15" s="131">
        <f t="shared" si="108"/>
        <v>68</v>
      </c>
      <c r="JB15" s="131">
        <f t="shared" si="109"/>
        <v>8</v>
      </c>
      <c r="JC15" s="131" t="str">
        <f t="shared" si="110"/>
        <v>C</v>
      </c>
      <c r="JD15" s="131" t="str">
        <f t="shared" si="111"/>
        <v>Good</v>
      </c>
      <c r="JE15">
        <v>12</v>
      </c>
      <c r="JF15" s="108" t="str">
        <f t="shared" si="112"/>
        <v>MODUYE ALI</v>
      </c>
      <c r="JG15" s="147"/>
      <c r="JH15" s="147"/>
      <c r="JI15" s="147"/>
      <c r="JJ15" s="147"/>
      <c r="JK15" s="113">
        <f t="shared" si="113"/>
        <v>0</v>
      </c>
      <c r="JL15" s="147"/>
      <c r="JM15" s="113">
        <f t="shared" si="114"/>
        <v>0</v>
      </c>
      <c r="JN15" s="113" t="str">
        <f t="shared" si="115"/>
        <v/>
      </c>
      <c r="JO15" s="113" t="str">
        <f t="shared" si="116"/>
        <v/>
      </c>
      <c r="JP15" s="113" t="str">
        <f t="shared" si="117"/>
        <v/>
      </c>
      <c r="JQ15">
        <v>12</v>
      </c>
      <c r="JR15" s="108" t="str">
        <f t="shared" si="118"/>
        <v>MODUYE ALI</v>
      </c>
      <c r="JS15" s="140"/>
      <c r="JT15" s="140"/>
      <c r="JU15" s="140"/>
      <c r="JV15" s="140"/>
      <c r="JW15" s="111">
        <f t="shared" si="119"/>
        <v>0</v>
      </c>
      <c r="JX15" s="141"/>
      <c r="JY15" s="111">
        <f t="shared" si="0"/>
        <v>0</v>
      </c>
      <c r="JZ15" s="111" t="str">
        <f t="shared" si="120"/>
        <v/>
      </c>
      <c r="KA15" s="111" t="str">
        <f t="shared" si="121"/>
        <v/>
      </c>
      <c r="KB15" s="111" t="str">
        <f t="shared" si="122"/>
        <v/>
      </c>
      <c r="KD15" s="47"/>
      <c r="KE15" s="47"/>
      <c r="KF15" s="47"/>
      <c r="KG15" s="47"/>
      <c r="KH15" s="47"/>
      <c r="KI15" s="47"/>
      <c r="KJ15" s="47"/>
      <c r="KK15" s="47"/>
      <c r="KM15" s="47"/>
      <c r="KN15" s="47"/>
      <c r="KO15" s="47"/>
      <c r="KP15" s="47"/>
      <c r="KQ15" s="47"/>
      <c r="KR15" s="47"/>
      <c r="KS15" s="47"/>
      <c r="KT15" s="47"/>
      <c r="KU15" s="47"/>
      <c r="KV15" s="47"/>
    </row>
    <row r="16" spans="1:308" ht="23.25">
      <c r="A16" s="211">
        <v>13</v>
      </c>
      <c r="B16" s="108" t="str">
        <f>Data!B14</f>
        <v>MUSA AYUNDA JAMES</v>
      </c>
      <c r="C16" s="109">
        <v>10</v>
      </c>
      <c r="D16" s="109"/>
      <c r="E16" s="109">
        <v>10</v>
      </c>
      <c r="F16" s="109">
        <v>10</v>
      </c>
      <c r="G16" s="111">
        <f t="shared" si="123"/>
        <v>30</v>
      </c>
      <c r="H16" s="111">
        <v>33</v>
      </c>
      <c r="I16" s="111">
        <f t="shared" si="2"/>
        <v>63</v>
      </c>
      <c r="J16" s="110">
        <f t="shared" si="3"/>
        <v>1</v>
      </c>
      <c r="K16" s="110" t="str">
        <f t="shared" si="4"/>
        <v>C4</v>
      </c>
      <c r="L16" s="110" t="str">
        <f t="shared" si="5"/>
        <v>Credit</v>
      </c>
      <c r="M16" s="48">
        <v>13</v>
      </c>
      <c r="N16" s="108" t="str">
        <f>Data!B14</f>
        <v>MUSA AYUNDA JAMES</v>
      </c>
      <c r="O16" s="109">
        <v>10</v>
      </c>
      <c r="P16" s="109"/>
      <c r="Q16" s="109">
        <v>10</v>
      </c>
      <c r="R16" s="109">
        <v>10</v>
      </c>
      <c r="S16" s="111">
        <f t="shared" si="6"/>
        <v>30</v>
      </c>
      <c r="T16" s="111">
        <v>33</v>
      </c>
      <c r="U16" s="111">
        <f t="shared" si="7"/>
        <v>63</v>
      </c>
      <c r="V16" s="111">
        <f t="shared" si="8"/>
        <v>1</v>
      </c>
      <c r="W16" s="111" t="str">
        <f t="shared" si="9"/>
        <v>C4</v>
      </c>
      <c r="X16" s="111" t="str">
        <f t="shared" si="10"/>
        <v>Credit</v>
      </c>
      <c r="Y16" s="42">
        <v>13</v>
      </c>
      <c r="Z16" s="108" t="str">
        <f>Data!B14</f>
        <v>MUSA AYUNDA JAMES</v>
      </c>
      <c r="AA16" s="109">
        <v>10</v>
      </c>
      <c r="AB16" s="109"/>
      <c r="AC16" s="109">
        <v>10</v>
      </c>
      <c r="AD16" s="109">
        <v>10</v>
      </c>
      <c r="AE16" s="111">
        <f t="shared" si="11"/>
        <v>30</v>
      </c>
      <c r="AF16" s="112">
        <v>42</v>
      </c>
      <c r="AG16" s="113">
        <f t="shared" si="12"/>
        <v>72</v>
      </c>
      <c r="AH16" s="113">
        <f t="shared" si="13"/>
        <v>4</v>
      </c>
      <c r="AI16" s="113" t="str">
        <f t="shared" si="14"/>
        <v>B2</v>
      </c>
      <c r="AJ16" s="113" t="str">
        <f t="shared" si="15"/>
        <v>V.Good</v>
      </c>
      <c r="AK16" s="42">
        <v>13</v>
      </c>
      <c r="AL16" s="108" t="str">
        <f>Data!B14</f>
        <v>MUSA AYUNDA JAMES</v>
      </c>
      <c r="AM16" s="114"/>
      <c r="AN16" s="114"/>
      <c r="AO16" s="114"/>
      <c r="AP16" s="114"/>
      <c r="AQ16" s="115">
        <f t="shared" si="16"/>
        <v>0</v>
      </c>
      <c r="AR16" s="114"/>
      <c r="AS16" s="115">
        <f t="shared" si="17"/>
        <v>0</v>
      </c>
      <c r="AT16" s="115" t="str">
        <f t="shared" si="18"/>
        <v/>
      </c>
      <c r="AU16" s="115" t="str">
        <f t="shared" si="19"/>
        <v/>
      </c>
      <c r="AV16" s="115" t="str">
        <f t="shared" si="20"/>
        <v/>
      </c>
      <c r="AW16" s="42">
        <v>13</v>
      </c>
      <c r="AX16" s="108" t="str">
        <f>Data!B14</f>
        <v>MUSA AYUNDA JAMES</v>
      </c>
      <c r="AY16" s="116"/>
      <c r="AZ16" s="116"/>
      <c r="BA16" s="116"/>
      <c r="BB16" s="116"/>
      <c r="BC16" s="117">
        <f t="shared" si="21"/>
        <v>0</v>
      </c>
      <c r="BD16" s="116"/>
      <c r="BE16" s="117">
        <f t="shared" si="22"/>
        <v>0</v>
      </c>
      <c r="BF16" s="117" t="str">
        <f t="shared" si="23"/>
        <v/>
      </c>
      <c r="BG16" s="117" t="str">
        <f t="shared" si="24"/>
        <v/>
      </c>
      <c r="BH16" s="117" t="str">
        <f t="shared" si="25"/>
        <v/>
      </c>
      <c r="BI16" s="67">
        <v>13</v>
      </c>
      <c r="BJ16" s="108" t="str">
        <f>Data!B14</f>
        <v>MUSA AYUNDA JAMES</v>
      </c>
      <c r="BK16" s="110">
        <v>10</v>
      </c>
      <c r="BL16" s="110"/>
      <c r="BM16" s="110">
        <v>10</v>
      </c>
      <c r="BN16" s="110">
        <v>10</v>
      </c>
      <c r="BO16" s="111">
        <f t="shared" si="26"/>
        <v>30</v>
      </c>
      <c r="BP16" s="113">
        <v>42</v>
      </c>
      <c r="BQ16" s="119">
        <f t="shared" si="27"/>
        <v>72</v>
      </c>
      <c r="BR16" s="119">
        <f t="shared" si="28"/>
        <v>4</v>
      </c>
      <c r="BS16" s="119" t="str">
        <f t="shared" si="29"/>
        <v>B2</v>
      </c>
      <c r="BT16" s="119" t="str">
        <f t="shared" si="30"/>
        <v>V.Good</v>
      </c>
      <c r="BU16">
        <v>13</v>
      </c>
      <c r="BV16" s="108" t="str">
        <f>Data!B14</f>
        <v>MUSA AYUNDA JAMES</v>
      </c>
      <c r="BW16" s="120">
        <v>6</v>
      </c>
      <c r="BX16" s="120">
        <v>6</v>
      </c>
      <c r="BY16" s="120">
        <v>10</v>
      </c>
      <c r="BZ16" s="120">
        <v>7</v>
      </c>
      <c r="CA16" s="121">
        <f t="shared" si="31"/>
        <v>29</v>
      </c>
      <c r="CB16" s="120">
        <v>39</v>
      </c>
      <c r="CC16" s="121">
        <f t="shared" si="32"/>
        <v>68</v>
      </c>
      <c r="CD16" s="121">
        <f t="shared" si="33"/>
        <v>10</v>
      </c>
      <c r="CE16" s="121" t="str">
        <f t="shared" si="34"/>
        <v>B3</v>
      </c>
      <c r="CF16" s="121" t="str">
        <f t="shared" si="35"/>
        <v>Good</v>
      </c>
      <c r="CG16">
        <v>13</v>
      </c>
      <c r="CH16" s="108" t="str">
        <f>Data!B14</f>
        <v>MUSA AYUNDA JAMES</v>
      </c>
      <c r="CI16" s="109"/>
      <c r="CJ16" s="109"/>
      <c r="CK16" s="109"/>
      <c r="CL16" s="109"/>
      <c r="CM16" s="122">
        <f t="shared" si="36"/>
        <v>0</v>
      </c>
      <c r="CN16" s="122"/>
      <c r="CO16" s="122">
        <f t="shared" si="37"/>
        <v>0</v>
      </c>
      <c r="CP16" s="122" t="str">
        <f t="shared" si="38"/>
        <v/>
      </c>
      <c r="CQ16" s="122" t="str">
        <f t="shared" si="39"/>
        <v/>
      </c>
      <c r="CR16" s="122" t="str">
        <f t="shared" si="40"/>
        <v/>
      </c>
      <c r="CS16">
        <v>13</v>
      </c>
      <c r="CT16" s="108" t="str">
        <f>Data!B14</f>
        <v>MUSA AYUNDA JAMES</v>
      </c>
      <c r="CU16" s="43"/>
      <c r="CV16" s="43"/>
      <c r="CW16" s="43"/>
      <c r="CX16" s="43"/>
      <c r="CY16" s="123">
        <f t="shared" si="41"/>
        <v>0</v>
      </c>
      <c r="CZ16" s="43"/>
      <c r="DA16" s="123">
        <f t="shared" si="42"/>
        <v>0</v>
      </c>
      <c r="DB16" s="123" t="str">
        <f t="shared" si="43"/>
        <v/>
      </c>
      <c r="DC16" s="123" t="str">
        <f t="shared" si="44"/>
        <v/>
      </c>
      <c r="DD16" s="123" t="str">
        <f t="shared" si="45"/>
        <v/>
      </c>
      <c r="DE16">
        <v>13</v>
      </c>
      <c r="DF16" s="108" t="str">
        <f>Data!B14</f>
        <v>MUSA AYUNDA JAMES</v>
      </c>
      <c r="DG16" s="109"/>
      <c r="DH16" s="109"/>
      <c r="DI16" s="109"/>
      <c r="DJ16" s="109"/>
      <c r="DK16" s="117">
        <f t="shared" si="46"/>
        <v>0</v>
      </c>
      <c r="DL16" s="116"/>
      <c r="DM16" s="117">
        <f t="shared" si="47"/>
        <v>0</v>
      </c>
      <c r="DN16" s="117" t="str">
        <f t="shared" si="48"/>
        <v/>
      </c>
      <c r="DO16" s="117" t="str">
        <f t="shared" si="49"/>
        <v/>
      </c>
      <c r="DP16" s="117" t="str">
        <f t="shared" si="50"/>
        <v/>
      </c>
      <c r="DQ16">
        <v>13</v>
      </c>
      <c r="DR16" s="108" t="str">
        <f>Data!B14</f>
        <v>MUSA AYUNDA JAMES</v>
      </c>
      <c r="DS16" s="124"/>
      <c r="DT16" s="124"/>
      <c r="DU16" s="124"/>
      <c r="DV16" s="124"/>
      <c r="DW16" s="125">
        <f t="shared" si="51"/>
        <v>0</v>
      </c>
      <c r="DX16" s="126"/>
      <c r="DY16" s="125">
        <f t="shared" si="52"/>
        <v>0</v>
      </c>
      <c r="DZ16" s="125" t="str">
        <f t="shared" si="53"/>
        <v/>
      </c>
      <c r="EA16" s="125" t="str">
        <f t="shared" si="54"/>
        <v/>
      </c>
      <c r="EB16" s="125" t="str">
        <f t="shared" si="55"/>
        <v/>
      </c>
      <c r="EC16">
        <v>13</v>
      </c>
      <c r="ED16" s="108" t="str">
        <f>Data!B14</f>
        <v>MUSA AYUNDA JAMES</v>
      </c>
      <c r="EE16" s="109"/>
      <c r="EF16" s="109"/>
      <c r="EG16" s="109"/>
      <c r="EH16" s="109"/>
      <c r="EI16" s="127">
        <f t="shared" si="56"/>
        <v>0</v>
      </c>
      <c r="EJ16" s="127"/>
      <c r="EK16" s="127">
        <f t="shared" si="57"/>
        <v>0</v>
      </c>
      <c r="EL16" s="127" t="str">
        <f t="shared" si="58"/>
        <v/>
      </c>
      <c r="EM16" s="127" t="str">
        <f t="shared" si="59"/>
        <v/>
      </c>
      <c r="EN16" s="127" t="str">
        <f t="shared" si="60"/>
        <v/>
      </c>
      <c r="EO16">
        <v>13</v>
      </c>
      <c r="EP16" s="128" t="str">
        <f>Data!B14</f>
        <v>MUSA AYUNDA JAMES</v>
      </c>
      <c r="EQ16" s="109"/>
      <c r="ER16" s="109"/>
      <c r="ES16" s="109"/>
      <c r="ET16" s="109"/>
      <c r="EU16" s="123">
        <f t="shared" si="61"/>
        <v>0</v>
      </c>
      <c r="EV16" s="123"/>
      <c r="EW16" s="123">
        <f t="shared" si="62"/>
        <v>0</v>
      </c>
      <c r="EX16" s="123" t="str">
        <f t="shared" si="63"/>
        <v/>
      </c>
      <c r="EY16" s="123" t="str">
        <f t="shared" si="64"/>
        <v/>
      </c>
      <c r="EZ16" s="123" t="str">
        <f t="shared" si="65"/>
        <v/>
      </c>
      <c r="FA16">
        <v>13</v>
      </c>
      <c r="FB16" s="108" t="str">
        <f>Data!B14</f>
        <v>MUSA AYUNDA JAMES</v>
      </c>
      <c r="FC16" s="109"/>
      <c r="FD16" s="109"/>
      <c r="FE16" s="109"/>
      <c r="FF16" s="109"/>
      <c r="FG16" s="129">
        <f t="shared" si="66"/>
        <v>0</v>
      </c>
      <c r="FH16" s="129"/>
      <c r="FI16" s="129">
        <f t="shared" si="67"/>
        <v>0</v>
      </c>
      <c r="FJ16" s="129" t="str">
        <f t="shared" si="68"/>
        <v/>
      </c>
      <c r="FK16" s="129" t="str">
        <f t="shared" si="69"/>
        <v/>
      </c>
      <c r="FL16" s="129" t="str">
        <f t="shared" si="70"/>
        <v/>
      </c>
      <c r="FM16">
        <v>13</v>
      </c>
      <c r="FN16" s="108" t="str">
        <f>Data!B14</f>
        <v>MUSA AYUNDA JAMES</v>
      </c>
      <c r="FO16" s="109"/>
      <c r="FP16" s="109"/>
      <c r="FQ16" s="109"/>
      <c r="FR16" s="109"/>
      <c r="FS16" s="130">
        <f t="shared" si="71"/>
        <v>0</v>
      </c>
      <c r="FT16" s="130"/>
      <c r="FU16" s="130">
        <f t="shared" si="72"/>
        <v>0</v>
      </c>
      <c r="FV16" s="130" t="str">
        <f t="shared" si="73"/>
        <v/>
      </c>
      <c r="FW16" s="130" t="str">
        <f t="shared" si="74"/>
        <v/>
      </c>
      <c r="FX16" s="130" t="str">
        <f t="shared" si="75"/>
        <v/>
      </c>
      <c r="FY16">
        <v>13</v>
      </c>
      <c r="FZ16" s="108" t="str">
        <f>Data!B14</f>
        <v>MUSA AYUNDA JAMES</v>
      </c>
      <c r="GA16" s="109">
        <v>6</v>
      </c>
      <c r="GB16" s="109">
        <v>7</v>
      </c>
      <c r="GC16" s="109">
        <v>9</v>
      </c>
      <c r="GD16" s="109">
        <v>9</v>
      </c>
      <c r="GE16" s="131">
        <f t="shared" si="76"/>
        <v>31</v>
      </c>
      <c r="GF16" s="131">
        <v>26</v>
      </c>
      <c r="GG16" s="131">
        <f t="shared" si="77"/>
        <v>57</v>
      </c>
      <c r="GH16" s="131">
        <f t="shared" si="78"/>
        <v>17</v>
      </c>
      <c r="GI16" s="131" t="str">
        <f t="shared" si="79"/>
        <v>C</v>
      </c>
      <c r="GJ16" s="131" t="str">
        <f t="shared" si="80"/>
        <v>Credit</v>
      </c>
      <c r="GK16">
        <v>13</v>
      </c>
      <c r="GL16" s="108" t="str">
        <f>Data!B14</f>
        <v>MUSA AYUNDA JAMES</v>
      </c>
      <c r="GM16" s="132"/>
      <c r="GN16" s="132"/>
      <c r="GO16" s="132"/>
      <c r="GP16" s="132"/>
      <c r="GQ16" s="133">
        <f t="shared" si="81"/>
        <v>0</v>
      </c>
      <c r="GR16" s="132"/>
      <c r="GS16" s="133">
        <f t="shared" si="82"/>
        <v>0</v>
      </c>
      <c r="GT16" s="133" t="str">
        <f t="shared" si="83"/>
        <v/>
      </c>
      <c r="GU16" s="133" t="str">
        <f t="shared" si="84"/>
        <v/>
      </c>
      <c r="GV16" s="133" t="str">
        <f t="shared" si="85"/>
        <v/>
      </c>
      <c r="GW16">
        <v>13</v>
      </c>
      <c r="GX16" s="108" t="str">
        <f>Data!B14</f>
        <v>MUSA AYUNDA JAMES</v>
      </c>
      <c r="GY16" s="109"/>
      <c r="GZ16" s="109"/>
      <c r="HA16" s="109"/>
      <c r="HB16" s="109"/>
      <c r="HC16" s="119">
        <f t="shared" si="86"/>
        <v>0</v>
      </c>
      <c r="HD16" s="119"/>
      <c r="HE16" s="119">
        <f t="shared" si="87"/>
        <v>0</v>
      </c>
      <c r="HF16" s="119" t="str">
        <f t="shared" si="88"/>
        <v/>
      </c>
      <c r="HG16" s="119" t="str">
        <f t="shared" si="89"/>
        <v/>
      </c>
      <c r="HH16" s="119" t="str">
        <f t="shared" si="90"/>
        <v/>
      </c>
      <c r="HI16">
        <v>13</v>
      </c>
      <c r="HJ16" s="108" t="str">
        <f>Data!B14</f>
        <v>MUSA AYUNDA JAMES</v>
      </c>
      <c r="HK16" s="144">
        <v>8</v>
      </c>
      <c r="HL16" s="145">
        <v>7</v>
      </c>
      <c r="HM16" s="145">
        <v>9</v>
      </c>
      <c r="HN16" s="145">
        <v>10</v>
      </c>
      <c r="HO16" s="136">
        <f t="shared" si="91"/>
        <v>34</v>
      </c>
      <c r="HP16" s="144"/>
      <c r="HQ16" s="136">
        <f t="shared" si="92"/>
        <v>34</v>
      </c>
      <c r="HR16" s="136">
        <f t="shared" si="93"/>
        <v>1</v>
      </c>
      <c r="HS16" s="136" t="str">
        <f t="shared" si="94"/>
        <v>F</v>
      </c>
      <c r="HT16" s="136" t="str">
        <f t="shared" si="95"/>
        <v>Fail</v>
      </c>
      <c r="HU16">
        <v>13</v>
      </c>
      <c r="HV16" s="108" t="str">
        <f>Data!B14</f>
        <v>MUSA AYUNDA JAMES</v>
      </c>
      <c r="HW16" s="109"/>
      <c r="HX16" s="109"/>
      <c r="HY16" s="109"/>
      <c r="HZ16" s="109"/>
      <c r="IA16" s="117">
        <f t="shared" si="96"/>
        <v>0</v>
      </c>
      <c r="IB16" s="117"/>
      <c r="IC16" s="117">
        <f t="shared" si="97"/>
        <v>0</v>
      </c>
      <c r="ID16" s="117" t="str">
        <f t="shared" si="98"/>
        <v/>
      </c>
      <c r="IE16" s="117" t="str">
        <f t="shared" si="99"/>
        <v/>
      </c>
      <c r="IF16" s="117" t="str">
        <f t="shared" si="100"/>
        <v/>
      </c>
      <c r="IG16">
        <v>13</v>
      </c>
      <c r="IH16" s="108" t="str">
        <f>Data!B14</f>
        <v>MUSA AYUNDA JAMES</v>
      </c>
      <c r="II16" s="109"/>
      <c r="IJ16" s="109"/>
      <c r="IK16" s="109"/>
      <c r="IL16" s="109"/>
      <c r="IM16" s="137">
        <f t="shared" si="101"/>
        <v>0</v>
      </c>
      <c r="IN16" s="137"/>
      <c r="IO16" s="137">
        <f t="shared" si="102"/>
        <v>0</v>
      </c>
      <c r="IP16" s="137" t="str">
        <f t="shared" si="103"/>
        <v/>
      </c>
      <c r="IQ16" s="137" t="str">
        <f t="shared" si="104"/>
        <v/>
      </c>
      <c r="IR16" s="137" t="str">
        <f t="shared" si="105"/>
        <v/>
      </c>
      <c r="IS16">
        <v>13</v>
      </c>
      <c r="IT16" s="108" t="str">
        <f t="shared" si="106"/>
        <v>MUSA AYUNDA JAMES</v>
      </c>
      <c r="IU16" s="110">
        <v>10</v>
      </c>
      <c r="IV16" s="110"/>
      <c r="IW16" s="110">
        <v>10</v>
      </c>
      <c r="IX16" s="110">
        <v>10</v>
      </c>
      <c r="IY16" s="111">
        <f t="shared" si="107"/>
        <v>30</v>
      </c>
      <c r="IZ16" s="113">
        <v>42</v>
      </c>
      <c r="JA16" s="131">
        <f t="shared" si="108"/>
        <v>72</v>
      </c>
      <c r="JB16" s="131">
        <f t="shared" si="109"/>
        <v>4</v>
      </c>
      <c r="JC16" s="131" t="str">
        <f t="shared" si="110"/>
        <v>B2</v>
      </c>
      <c r="JD16" s="131" t="str">
        <f t="shared" si="111"/>
        <v>V.Good</v>
      </c>
      <c r="JE16">
        <v>13</v>
      </c>
      <c r="JF16" s="108" t="str">
        <f t="shared" si="112"/>
        <v>MUSA AYUNDA JAMES</v>
      </c>
      <c r="JG16" s="147"/>
      <c r="JH16" s="147"/>
      <c r="JI16" s="147"/>
      <c r="JJ16" s="147"/>
      <c r="JK16" s="113">
        <f t="shared" si="113"/>
        <v>0</v>
      </c>
      <c r="JL16" s="147"/>
      <c r="JM16" s="113">
        <f t="shared" si="114"/>
        <v>0</v>
      </c>
      <c r="JN16" s="113" t="str">
        <f t="shared" si="115"/>
        <v/>
      </c>
      <c r="JO16" s="113" t="str">
        <f t="shared" si="116"/>
        <v/>
      </c>
      <c r="JP16" s="113" t="str">
        <f t="shared" si="117"/>
        <v/>
      </c>
      <c r="JQ16">
        <v>13</v>
      </c>
      <c r="JR16" s="108" t="str">
        <f t="shared" si="118"/>
        <v>MUSA AYUNDA JAMES</v>
      </c>
      <c r="JS16" s="140"/>
      <c r="JT16" s="140"/>
      <c r="JU16" s="140"/>
      <c r="JV16" s="140"/>
      <c r="JW16" s="111">
        <f t="shared" si="119"/>
        <v>0</v>
      </c>
      <c r="JX16" s="141"/>
      <c r="JY16" s="111">
        <f t="shared" si="0"/>
        <v>0</v>
      </c>
      <c r="JZ16" s="111" t="str">
        <f t="shared" si="120"/>
        <v/>
      </c>
      <c r="KA16" s="111" t="str">
        <f t="shared" si="121"/>
        <v/>
      </c>
      <c r="KB16" s="111" t="str">
        <f t="shared" si="122"/>
        <v/>
      </c>
      <c r="KD16" s="47"/>
      <c r="KE16" s="47"/>
      <c r="KF16" s="47"/>
      <c r="KG16" s="47"/>
      <c r="KH16" s="47"/>
      <c r="KI16" s="47"/>
      <c r="KJ16" s="47"/>
      <c r="KK16" s="47"/>
      <c r="KM16" s="47"/>
      <c r="KN16" s="47"/>
      <c r="KO16" s="47"/>
      <c r="KP16" s="47"/>
      <c r="KQ16" s="47"/>
      <c r="KR16" s="47"/>
      <c r="KS16" s="47"/>
      <c r="KT16" s="47"/>
      <c r="KU16" s="47"/>
      <c r="KV16" s="47"/>
    </row>
    <row r="17" spans="1:308" ht="23.25">
      <c r="A17" s="211">
        <v>14</v>
      </c>
      <c r="B17" s="108" t="str">
        <f>Data!B15</f>
        <v>MUHAMMED KOLE MUHAMMED</v>
      </c>
      <c r="C17" s="109">
        <v>9</v>
      </c>
      <c r="D17" s="109">
        <v>2</v>
      </c>
      <c r="E17" s="109">
        <v>1</v>
      </c>
      <c r="F17" s="109">
        <v>4</v>
      </c>
      <c r="G17" s="111">
        <f t="shared" si="123"/>
        <v>16</v>
      </c>
      <c r="H17" s="111">
        <v>25</v>
      </c>
      <c r="I17" s="111">
        <f t="shared" si="2"/>
        <v>41</v>
      </c>
      <c r="J17" s="110">
        <f t="shared" si="3"/>
        <v>19</v>
      </c>
      <c r="K17" s="110" t="str">
        <f t="shared" si="4"/>
        <v>E8</v>
      </c>
      <c r="L17" s="110" t="str">
        <f t="shared" si="5"/>
        <v>Pass</v>
      </c>
      <c r="M17" s="48">
        <v>14</v>
      </c>
      <c r="N17" s="108" t="str">
        <f>Data!B15</f>
        <v>MUHAMMED KOLE MUHAMMED</v>
      </c>
      <c r="O17" s="109">
        <v>9</v>
      </c>
      <c r="P17" s="109">
        <v>2</v>
      </c>
      <c r="Q17" s="109">
        <v>1</v>
      </c>
      <c r="R17" s="109">
        <v>4</v>
      </c>
      <c r="S17" s="111">
        <f t="shared" si="6"/>
        <v>16</v>
      </c>
      <c r="T17" s="111">
        <v>25</v>
      </c>
      <c r="U17" s="111">
        <f t="shared" si="7"/>
        <v>41</v>
      </c>
      <c r="V17" s="111">
        <f t="shared" si="8"/>
        <v>13</v>
      </c>
      <c r="W17" s="111" t="str">
        <f t="shared" si="9"/>
        <v>E8</v>
      </c>
      <c r="X17" s="111" t="str">
        <f t="shared" si="10"/>
        <v>Pass</v>
      </c>
      <c r="Y17" s="42">
        <v>14</v>
      </c>
      <c r="Z17" s="108" t="str">
        <f>Data!B15</f>
        <v>MUHAMMED KOLE MUHAMMED</v>
      </c>
      <c r="AA17" s="109">
        <v>9</v>
      </c>
      <c r="AB17" s="109">
        <v>2</v>
      </c>
      <c r="AC17" s="109">
        <v>1</v>
      </c>
      <c r="AD17" s="109">
        <v>4</v>
      </c>
      <c r="AE17" s="111">
        <f t="shared" si="11"/>
        <v>16</v>
      </c>
      <c r="AF17" s="112">
        <v>42</v>
      </c>
      <c r="AG17" s="113">
        <f t="shared" si="12"/>
        <v>58</v>
      </c>
      <c r="AH17" s="113">
        <f t="shared" si="13"/>
        <v>19</v>
      </c>
      <c r="AI17" s="113" t="str">
        <f t="shared" si="14"/>
        <v>C5</v>
      </c>
      <c r="AJ17" s="113" t="str">
        <f t="shared" si="15"/>
        <v>Credit</v>
      </c>
      <c r="AK17" s="42">
        <v>14</v>
      </c>
      <c r="AL17" s="108" t="str">
        <f>Data!B15</f>
        <v>MUHAMMED KOLE MUHAMMED</v>
      </c>
      <c r="AM17" s="114"/>
      <c r="AN17" s="114"/>
      <c r="AO17" s="114"/>
      <c r="AP17" s="114"/>
      <c r="AQ17" s="115">
        <f t="shared" si="16"/>
        <v>0</v>
      </c>
      <c r="AR17" s="114"/>
      <c r="AS17" s="115">
        <f t="shared" si="17"/>
        <v>0</v>
      </c>
      <c r="AT17" s="115" t="str">
        <f t="shared" si="18"/>
        <v/>
      </c>
      <c r="AU17" s="115" t="str">
        <f t="shared" si="19"/>
        <v/>
      </c>
      <c r="AV17" s="115" t="str">
        <f t="shared" si="20"/>
        <v/>
      </c>
      <c r="AW17" s="42">
        <v>14</v>
      </c>
      <c r="AX17" s="108" t="str">
        <f>Data!B15</f>
        <v>MUHAMMED KOLE MUHAMMED</v>
      </c>
      <c r="AY17" s="116"/>
      <c r="AZ17" s="116"/>
      <c r="BA17" s="116"/>
      <c r="BB17" s="116"/>
      <c r="BC17" s="117">
        <f t="shared" si="21"/>
        <v>0</v>
      </c>
      <c r="BD17" s="116"/>
      <c r="BE17" s="117">
        <f t="shared" si="22"/>
        <v>0</v>
      </c>
      <c r="BF17" s="117" t="str">
        <f t="shared" si="23"/>
        <v/>
      </c>
      <c r="BG17" s="117" t="str">
        <f t="shared" si="24"/>
        <v/>
      </c>
      <c r="BH17" s="117" t="str">
        <f t="shared" si="25"/>
        <v/>
      </c>
      <c r="BI17" s="67">
        <v>14</v>
      </c>
      <c r="BJ17" s="108" t="str">
        <f>Data!B15</f>
        <v>MUHAMMED KOLE MUHAMMED</v>
      </c>
      <c r="BK17" s="110">
        <v>9</v>
      </c>
      <c r="BL17" s="110">
        <v>2</v>
      </c>
      <c r="BM17" s="110">
        <v>1</v>
      </c>
      <c r="BN17" s="110">
        <v>4</v>
      </c>
      <c r="BO17" s="111">
        <f t="shared" si="26"/>
        <v>16</v>
      </c>
      <c r="BP17" s="113">
        <v>42</v>
      </c>
      <c r="BQ17" s="119">
        <f t="shared" si="27"/>
        <v>58</v>
      </c>
      <c r="BR17" s="119">
        <f t="shared" si="28"/>
        <v>13</v>
      </c>
      <c r="BS17" s="119" t="str">
        <f t="shared" si="29"/>
        <v>C5</v>
      </c>
      <c r="BT17" s="119" t="str">
        <f t="shared" si="30"/>
        <v>Credit</v>
      </c>
      <c r="BU17">
        <v>14</v>
      </c>
      <c r="BV17" s="108" t="str">
        <f>Data!B15</f>
        <v>MUHAMMED KOLE MUHAMMED</v>
      </c>
      <c r="BW17" s="120"/>
      <c r="BX17" s="120">
        <v>3</v>
      </c>
      <c r="BY17" s="120">
        <v>9</v>
      </c>
      <c r="BZ17" s="120">
        <v>8</v>
      </c>
      <c r="CA17" s="121">
        <f t="shared" si="31"/>
        <v>20</v>
      </c>
      <c r="CB17" s="120">
        <v>21</v>
      </c>
      <c r="CC17" s="121">
        <f t="shared" si="32"/>
        <v>41</v>
      </c>
      <c r="CD17" s="121">
        <f t="shared" si="33"/>
        <v>35</v>
      </c>
      <c r="CE17" s="121" t="str">
        <f t="shared" si="34"/>
        <v>E8</v>
      </c>
      <c r="CF17" s="121" t="str">
        <f t="shared" si="35"/>
        <v>Pass</v>
      </c>
      <c r="CG17">
        <v>14</v>
      </c>
      <c r="CH17" s="108" t="str">
        <f>Data!B15</f>
        <v>MUHAMMED KOLE MUHAMMED</v>
      </c>
      <c r="CI17" s="109"/>
      <c r="CJ17" s="109"/>
      <c r="CK17" s="109"/>
      <c r="CL17" s="109"/>
      <c r="CM17" s="122">
        <f t="shared" si="36"/>
        <v>0</v>
      </c>
      <c r="CN17" s="122"/>
      <c r="CO17" s="122">
        <f t="shared" si="37"/>
        <v>0</v>
      </c>
      <c r="CP17" s="122" t="str">
        <f t="shared" si="38"/>
        <v/>
      </c>
      <c r="CQ17" s="122" t="str">
        <f t="shared" si="39"/>
        <v/>
      </c>
      <c r="CR17" s="122" t="str">
        <f t="shared" si="40"/>
        <v/>
      </c>
      <c r="CS17">
        <v>14</v>
      </c>
      <c r="CT17" s="108" t="str">
        <f>Data!B15</f>
        <v>MUHAMMED KOLE MUHAMMED</v>
      </c>
      <c r="CU17" s="43"/>
      <c r="CV17" s="43"/>
      <c r="CW17" s="43"/>
      <c r="CX17" s="43"/>
      <c r="CY17" s="123">
        <f t="shared" si="41"/>
        <v>0</v>
      </c>
      <c r="CZ17" s="43"/>
      <c r="DA17" s="123">
        <f t="shared" si="42"/>
        <v>0</v>
      </c>
      <c r="DB17" s="123" t="str">
        <f t="shared" si="43"/>
        <v/>
      </c>
      <c r="DC17" s="123" t="str">
        <f t="shared" si="44"/>
        <v/>
      </c>
      <c r="DD17" s="123" t="str">
        <f t="shared" si="45"/>
        <v/>
      </c>
      <c r="DE17">
        <v>14</v>
      </c>
      <c r="DF17" s="108" t="str">
        <f>Data!B15</f>
        <v>MUHAMMED KOLE MUHAMMED</v>
      </c>
      <c r="DG17" s="109">
        <v>4</v>
      </c>
      <c r="DH17" s="109">
        <v>4</v>
      </c>
      <c r="DI17" s="109">
        <v>2</v>
      </c>
      <c r="DJ17" s="109">
        <v>5</v>
      </c>
      <c r="DK17" s="117">
        <f t="shared" si="46"/>
        <v>15</v>
      </c>
      <c r="DL17" s="116">
        <v>31</v>
      </c>
      <c r="DM17" s="117">
        <f t="shared" si="47"/>
        <v>46</v>
      </c>
      <c r="DN17" s="117">
        <f t="shared" si="48"/>
        <v>2</v>
      </c>
      <c r="DO17" s="117" t="str">
        <f t="shared" si="49"/>
        <v>D7</v>
      </c>
      <c r="DP17" s="117" t="str">
        <f t="shared" si="50"/>
        <v>Pass</v>
      </c>
      <c r="DQ17">
        <v>14</v>
      </c>
      <c r="DR17" s="108" t="str">
        <f>Data!B15</f>
        <v>MUHAMMED KOLE MUHAMMED</v>
      </c>
      <c r="DS17" s="124"/>
      <c r="DT17" s="124"/>
      <c r="DU17" s="124"/>
      <c r="DV17" s="124"/>
      <c r="DW17" s="125">
        <f t="shared" si="51"/>
        <v>0</v>
      </c>
      <c r="DX17" s="126"/>
      <c r="DY17" s="125">
        <f t="shared" si="52"/>
        <v>0</v>
      </c>
      <c r="DZ17" s="125" t="str">
        <f t="shared" si="53"/>
        <v/>
      </c>
      <c r="EA17" s="125" t="str">
        <f t="shared" si="54"/>
        <v/>
      </c>
      <c r="EB17" s="125" t="str">
        <f t="shared" si="55"/>
        <v/>
      </c>
      <c r="EC17">
        <v>14</v>
      </c>
      <c r="ED17" s="108" t="str">
        <f>Data!B15</f>
        <v>MUHAMMED KOLE MUHAMMED</v>
      </c>
      <c r="EE17" s="109"/>
      <c r="EF17" s="109"/>
      <c r="EG17" s="109"/>
      <c r="EH17" s="109"/>
      <c r="EI17" s="127">
        <f t="shared" si="56"/>
        <v>0</v>
      </c>
      <c r="EJ17" s="127"/>
      <c r="EK17" s="127">
        <f t="shared" si="57"/>
        <v>0</v>
      </c>
      <c r="EL17" s="127" t="str">
        <f t="shared" si="58"/>
        <v/>
      </c>
      <c r="EM17" s="127" t="str">
        <f t="shared" si="59"/>
        <v/>
      </c>
      <c r="EN17" s="127" t="str">
        <f t="shared" si="60"/>
        <v/>
      </c>
      <c r="EO17">
        <v>14</v>
      </c>
      <c r="EP17" s="128" t="str">
        <f>Data!B15</f>
        <v>MUHAMMED KOLE MUHAMMED</v>
      </c>
      <c r="EQ17" s="109"/>
      <c r="ER17" s="109"/>
      <c r="ES17" s="109"/>
      <c r="ET17" s="109"/>
      <c r="EU17" s="123">
        <f t="shared" si="61"/>
        <v>0</v>
      </c>
      <c r="EV17" s="123"/>
      <c r="EW17" s="123">
        <f t="shared" si="62"/>
        <v>0</v>
      </c>
      <c r="EX17" s="123" t="str">
        <f t="shared" si="63"/>
        <v/>
      </c>
      <c r="EY17" s="123" t="str">
        <f t="shared" si="64"/>
        <v/>
      </c>
      <c r="EZ17" s="123" t="str">
        <f t="shared" si="65"/>
        <v/>
      </c>
      <c r="FA17">
        <v>14</v>
      </c>
      <c r="FB17" s="108" t="str">
        <f>Data!B15</f>
        <v>MUHAMMED KOLE MUHAMMED</v>
      </c>
      <c r="FC17" s="109"/>
      <c r="FD17" s="109"/>
      <c r="FE17" s="109"/>
      <c r="FF17" s="109"/>
      <c r="FG17" s="129">
        <f t="shared" si="66"/>
        <v>0</v>
      </c>
      <c r="FH17" s="129"/>
      <c r="FI17" s="129">
        <f t="shared" si="67"/>
        <v>0</v>
      </c>
      <c r="FJ17" s="129" t="str">
        <f t="shared" si="68"/>
        <v/>
      </c>
      <c r="FK17" s="129" t="str">
        <f t="shared" si="69"/>
        <v/>
      </c>
      <c r="FL17" s="129" t="str">
        <f t="shared" si="70"/>
        <v/>
      </c>
      <c r="FM17">
        <v>14</v>
      </c>
      <c r="FN17" s="108" t="str">
        <f>Data!B15</f>
        <v>MUHAMMED KOLE MUHAMMED</v>
      </c>
      <c r="FO17" s="109"/>
      <c r="FP17" s="109"/>
      <c r="FQ17" s="109"/>
      <c r="FR17" s="109"/>
      <c r="FS17" s="130">
        <f t="shared" si="71"/>
        <v>0</v>
      </c>
      <c r="FT17" s="130"/>
      <c r="FU17" s="130">
        <f t="shared" si="72"/>
        <v>0</v>
      </c>
      <c r="FV17" s="130" t="str">
        <f t="shared" si="73"/>
        <v/>
      </c>
      <c r="FW17" s="130" t="str">
        <f t="shared" si="74"/>
        <v/>
      </c>
      <c r="FX17" s="130" t="str">
        <f t="shared" si="75"/>
        <v/>
      </c>
      <c r="FY17">
        <v>14</v>
      </c>
      <c r="FZ17" s="108" t="str">
        <f>Data!B15</f>
        <v>MUHAMMED KOLE MUHAMMED</v>
      </c>
      <c r="GA17" s="109">
        <v>7</v>
      </c>
      <c r="GB17" s="109">
        <v>8</v>
      </c>
      <c r="GC17" s="109">
        <v>8</v>
      </c>
      <c r="GD17" s="109">
        <v>8</v>
      </c>
      <c r="GE17" s="131">
        <f t="shared" si="76"/>
        <v>31</v>
      </c>
      <c r="GF17" s="131">
        <v>28</v>
      </c>
      <c r="GG17" s="131">
        <f t="shared" si="77"/>
        <v>59</v>
      </c>
      <c r="GH17" s="131">
        <f t="shared" si="78"/>
        <v>14</v>
      </c>
      <c r="GI17" s="131" t="str">
        <f t="shared" si="79"/>
        <v>C</v>
      </c>
      <c r="GJ17" s="131" t="str">
        <f t="shared" si="80"/>
        <v>Credit</v>
      </c>
      <c r="GK17">
        <v>14</v>
      </c>
      <c r="GL17" s="108" t="str">
        <f>Data!B15</f>
        <v>MUHAMMED KOLE MUHAMMED</v>
      </c>
      <c r="GM17" s="132"/>
      <c r="GN17" s="132"/>
      <c r="GO17" s="132"/>
      <c r="GP17" s="132"/>
      <c r="GQ17" s="133">
        <f t="shared" si="81"/>
        <v>0</v>
      </c>
      <c r="GR17" s="132"/>
      <c r="GS17" s="133">
        <f t="shared" si="82"/>
        <v>0</v>
      </c>
      <c r="GT17" s="133" t="str">
        <f t="shared" si="83"/>
        <v/>
      </c>
      <c r="GU17" s="133" t="str">
        <f t="shared" si="84"/>
        <v/>
      </c>
      <c r="GV17" s="133" t="str">
        <f t="shared" si="85"/>
        <v/>
      </c>
      <c r="GW17">
        <v>14</v>
      </c>
      <c r="GX17" s="108" t="str">
        <f>Data!B15</f>
        <v>MUHAMMED KOLE MUHAMMED</v>
      </c>
      <c r="GY17" s="109"/>
      <c r="GZ17" s="109"/>
      <c r="HA17" s="109"/>
      <c r="HB17" s="109"/>
      <c r="HC17" s="119">
        <f t="shared" si="86"/>
        <v>0</v>
      </c>
      <c r="HD17" s="119"/>
      <c r="HE17" s="119">
        <f t="shared" si="87"/>
        <v>0</v>
      </c>
      <c r="HF17" s="119" t="str">
        <f t="shared" si="88"/>
        <v/>
      </c>
      <c r="HG17" s="119" t="str">
        <f t="shared" si="89"/>
        <v/>
      </c>
      <c r="HH17" s="119" t="str">
        <f t="shared" si="90"/>
        <v/>
      </c>
      <c r="HI17">
        <v>14</v>
      </c>
      <c r="HJ17" s="108" t="str">
        <f>Data!B15</f>
        <v>MUHAMMED KOLE MUHAMMED</v>
      </c>
      <c r="HK17" s="144"/>
      <c r="HL17" s="145"/>
      <c r="HM17" s="145"/>
      <c r="HN17" s="145"/>
      <c r="HO17" s="136">
        <f t="shared" si="91"/>
        <v>0</v>
      </c>
      <c r="HP17" s="144"/>
      <c r="HQ17" s="136">
        <f t="shared" si="92"/>
        <v>0</v>
      </c>
      <c r="HR17" s="136" t="str">
        <f t="shared" si="93"/>
        <v/>
      </c>
      <c r="HS17" s="136" t="str">
        <f t="shared" si="94"/>
        <v/>
      </c>
      <c r="HT17" s="136" t="str">
        <f t="shared" si="95"/>
        <v/>
      </c>
      <c r="HU17">
        <v>14</v>
      </c>
      <c r="HV17" s="108" t="str">
        <f>Data!B15</f>
        <v>MUHAMMED KOLE MUHAMMED</v>
      </c>
      <c r="HW17" s="109"/>
      <c r="HX17" s="109"/>
      <c r="HY17" s="109"/>
      <c r="HZ17" s="109"/>
      <c r="IA17" s="117">
        <f t="shared" si="96"/>
        <v>0</v>
      </c>
      <c r="IB17" s="117"/>
      <c r="IC17" s="117">
        <f t="shared" si="97"/>
        <v>0</v>
      </c>
      <c r="ID17" s="117" t="str">
        <f t="shared" si="98"/>
        <v/>
      </c>
      <c r="IE17" s="117" t="str">
        <f t="shared" si="99"/>
        <v/>
      </c>
      <c r="IF17" s="117" t="str">
        <f t="shared" si="100"/>
        <v/>
      </c>
      <c r="IG17">
        <v>14</v>
      </c>
      <c r="IH17" s="108" t="str">
        <f>Data!B15</f>
        <v>MUHAMMED KOLE MUHAMMED</v>
      </c>
      <c r="II17" s="109"/>
      <c r="IJ17" s="109"/>
      <c r="IK17" s="109"/>
      <c r="IL17" s="109"/>
      <c r="IM17" s="137">
        <f t="shared" si="101"/>
        <v>0</v>
      </c>
      <c r="IN17" s="137"/>
      <c r="IO17" s="137">
        <f t="shared" si="102"/>
        <v>0</v>
      </c>
      <c r="IP17" s="137" t="str">
        <f t="shared" si="103"/>
        <v/>
      </c>
      <c r="IQ17" s="137" t="str">
        <f t="shared" si="104"/>
        <v/>
      </c>
      <c r="IR17" s="137" t="str">
        <f t="shared" si="105"/>
        <v/>
      </c>
      <c r="IS17">
        <v>14</v>
      </c>
      <c r="IT17" s="108" t="str">
        <f t="shared" si="106"/>
        <v>MUHAMMED KOLE MUHAMMED</v>
      </c>
      <c r="IU17" s="110">
        <v>9</v>
      </c>
      <c r="IV17" s="110">
        <v>2</v>
      </c>
      <c r="IW17" s="110">
        <v>1</v>
      </c>
      <c r="IX17" s="110">
        <v>4</v>
      </c>
      <c r="IY17" s="111">
        <f t="shared" si="107"/>
        <v>16</v>
      </c>
      <c r="IZ17" s="113">
        <v>42</v>
      </c>
      <c r="JA17" s="131">
        <f t="shared" si="108"/>
        <v>58</v>
      </c>
      <c r="JB17" s="131">
        <f t="shared" si="109"/>
        <v>13</v>
      </c>
      <c r="JC17" s="131" t="str">
        <f t="shared" si="110"/>
        <v>C</v>
      </c>
      <c r="JD17" s="131" t="str">
        <f t="shared" si="111"/>
        <v>Credit</v>
      </c>
      <c r="JE17">
        <v>14</v>
      </c>
      <c r="JF17" s="108" t="str">
        <f t="shared" si="112"/>
        <v>MUHAMMED KOLE MUHAMMED</v>
      </c>
      <c r="JG17" s="147"/>
      <c r="JH17" s="147"/>
      <c r="JI17" s="147"/>
      <c r="JJ17" s="147"/>
      <c r="JK17" s="113">
        <f t="shared" si="113"/>
        <v>0</v>
      </c>
      <c r="JL17" s="147"/>
      <c r="JM17" s="113">
        <f t="shared" si="114"/>
        <v>0</v>
      </c>
      <c r="JN17" s="113" t="str">
        <f t="shared" si="115"/>
        <v/>
      </c>
      <c r="JO17" s="113" t="str">
        <f t="shared" si="116"/>
        <v/>
      </c>
      <c r="JP17" s="113" t="str">
        <f t="shared" si="117"/>
        <v/>
      </c>
      <c r="JQ17">
        <v>14</v>
      </c>
      <c r="JR17" s="108" t="str">
        <f t="shared" si="118"/>
        <v>MUHAMMED KOLE MUHAMMED</v>
      </c>
      <c r="JS17" s="140"/>
      <c r="JT17" s="140"/>
      <c r="JU17" s="140"/>
      <c r="JV17" s="140"/>
      <c r="JW17" s="111">
        <f t="shared" si="119"/>
        <v>0</v>
      </c>
      <c r="JX17" s="141"/>
      <c r="JY17" s="111">
        <f t="shared" si="0"/>
        <v>0</v>
      </c>
      <c r="JZ17" s="111" t="str">
        <f t="shared" si="120"/>
        <v/>
      </c>
      <c r="KA17" s="111" t="str">
        <f t="shared" si="121"/>
        <v/>
      </c>
      <c r="KB17" s="111" t="str">
        <f t="shared" si="122"/>
        <v/>
      </c>
      <c r="KD17" s="47"/>
      <c r="KE17" s="47"/>
      <c r="KF17" s="47"/>
      <c r="KG17" s="47"/>
      <c r="KH17" s="47"/>
      <c r="KI17" s="47"/>
      <c r="KJ17" s="47"/>
      <c r="KK17" s="47"/>
      <c r="KM17" s="47"/>
      <c r="KN17" s="47"/>
      <c r="KO17" s="47"/>
      <c r="KP17" s="47"/>
      <c r="KQ17" s="47"/>
      <c r="KR17" s="47"/>
      <c r="KS17" s="47"/>
      <c r="KT17" s="47"/>
      <c r="KU17" s="47"/>
      <c r="KV17" s="47"/>
    </row>
    <row r="18" spans="1:308" ht="23.25">
      <c r="A18" s="211">
        <v>15</v>
      </c>
      <c r="B18" s="108" t="str">
        <f>Data!B16</f>
        <v>MOHAMMED IBRAHIM SHETTIMA</v>
      </c>
      <c r="C18" s="109">
        <v>7</v>
      </c>
      <c r="D18" s="109">
        <v>2</v>
      </c>
      <c r="E18" s="109">
        <v>10</v>
      </c>
      <c r="F18" s="109">
        <v>10</v>
      </c>
      <c r="G18" s="111">
        <f t="shared" si="123"/>
        <v>29</v>
      </c>
      <c r="H18" s="111">
        <v>29</v>
      </c>
      <c r="I18" s="111">
        <f t="shared" si="2"/>
        <v>58</v>
      </c>
      <c r="J18" s="110">
        <f t="shared" si="3"/>
        <v>5</v>
      </c>
      <c r="K18" s="110" t="str">
        <f t="shared" si="4"/>
        <v>C5</v>
      </c>
      <c r="L18" s="110" t="str">
        <f t="shared" si="5"/>
        <v>Credit</v>
      </c>
      <c r="M18" s="48">
        <v>15</v>
      </c>
      <c r="N18" s="108" t="str">
        <f>Data!B16</f>
        <v>MOHAMMED IBRAHIM SHETTIMA</v>
      </c>
      <c r="O18" s="109">
        <v>7</v>
      </c>
      <c r="P18" s="109">
        <v>2</v>
      </c>
      <c r="Q18" s="109">
        <v>10</v>
      </c>
      <c r="R18" s="109">
        <v>10</v>
      </c>
      <c r="S18" s="111">
        <f t="shared" si="6"/>
        <v>29</v>
      </c>
      <c r="T18" s="111">
        <v>29</v>
      </c>
      <c r="U18" s="111">
        <f t="shared" si="7"/>
        <v>58</v>
      </c>
      <c r="V18" s="111">
        <f t="shared" si="8"/>
        <v>4</v>
      </c>
      <c r="W18" s="111" t="str">
        <f t="shared" si="9"/>
        <v>C5</v>
      </c>
      <c r="X18" s="111" t="str">
        <f t="shared" si="10"/>
        <v>Credit</v>
      </c>
      <c r="Y18" s="42">
        <v>15</v>
      </c>
      <c r="Z18" s="108" t="str">
        <f>Data!B16</f>
        <v>MOHAMMED IBRAHIM SHETTIMA</v>
      </c>
      <c r="AA18" s="109">
        <v>7</v>
      </c>
      <c r="AB18" s="109">
        <v>2</v>
      </c>
      <c r="AC18" s="109">
        <v>10</v>
      </c>
      <c r="AD18" s="109">
        <v>10</v>
      </c>
      <c r="AE18" s="111">
        <f t="shared" si="11"/>
        <v>29</v>
      </c>
      <c r="AF18" s="112">
        <v>42</v>
      </c>
      <c r="AG18" s="113">
        <f t="shared" si="12"/>
        <v>71</v>
      </c>
      <c r="AH18" s="113">
        <f t="shared" si="13"/>
        <v>6</v>
      </c>
      <c r="AI18" s="113" t="str">
        <f t="shared" si="14"/>
        <v>B2</v>
      </c>
      <c r="AJ18" s="113" t="str">
        <f t="shared" si="15"/>
        <v>V.Good</v>
      </c>
      <c r="AK18" s="42">
        <v>15</v>
      </c>
      <c r="AL18" s="108" t="str">
        <f>Data!B16</f>
        <v>MOHAMMED IBRAHIM SHETTIMA</v>
      </c>
      <c r="AM18" s="114"/>
      <c r="AN18" s="114"/>
      <c r="AO18" s="114"/>
      <c r="AP18" s="114"/>
      <c r="AQ18" s="115">
        <f t="shared" si="16"/>
        <v>0</v>
      </c>
      <c r="AR18" s="114"/>
      <c r="AS18" s="115">
        <f t="shared" si="17"/>
        <v>0</v>
      </c>
      <c r="AT18" s="115" t="str">
        <f t="shared" si="18"/>
        <v/>
      </c>
      <c r="AU18" s="115" t="str">
        <f t="shared" si="19"/>
        <v/>
      </c>
      <c r="AV18" s="115" t="str">
        <f t="shared" si="20"/>
        <v/>
      </c>
      <c r="AW18" s="42">
        <v>15</v>
      </c>
      <c r="AX18" s="108" t="str">
        <f>Data!B16</f>
        <v>MOHAMMED IBRAHIM SHETTIMA</v>
      </c>
      <c r="AY18" s="116"/>
      <c r="AZ18" s="116"/>
      <c r="BA18" s="116"/>
      <c r="BB18" s="116"/>
      <c r="BC18" s="117">
        <f t="shared" si="21"/>
        <v>0</v>
      </c>
      <c r="BD18" s="116"/>
      <c r="BE18" s="117">
        <f t="shared" si="22"/>
        <v>0</v>
      </c>
      <c r="BF18" s="117" t="str">
        <f t="shared" si="23"/>
        <v/>
      </c>
      <c r="BG18" s="117" t="str">
        <f t="shared" si="24"/>
        <v/>
      </c>
      <c r="BH18" s="117" t="str">
        <f t="shared" si="25"/>
        <v/>
      </c>
      <c r="BI18" s="67">
        <v>15</v>
      </c>
      <c r="BJ18" s="108" t="str">
        <f>Data!B16</f>
        <v>MOHAMMED IBRAHIM SHETTIMA</v>
      </c>
      <c r="BK18" s="110">
        <v>7</v>
      </c>
      <c r="BL18" s="110">
        <v>2</v>
      </c>
      <c r="BM18" s="110">
        <v>10</v>
      </c>
      <c r="BN18" s="110">
        <v>10</v>
      </c>
      <c r="BO18" s="111">
        <f t="shared" si="26"/>
        <v>29</v>
      </c>
      <c r="BP18" s="113">
        <v>42</v>
      </c>
      <c r="BQ18" s="119">
        <f t="shared" si="27"/>
        <v>71</v>
      </c>
      <c r="BR18" s="119">
        <f t="shared" si="28"/>
        <v>5</v>
      </c>
      <c r="BS18" s="119" t="str">
        <f t="shared" si="29"/>
        <v>B2</v>
      </c>
      <c r="BT18" s="119" t="str">
        <f t="shared" si="30"/>
        <v>V.Good</v>
      </c>
      <c r="BU18">
        <v>15</v>
      </c>
      <c r="BV18" s="108" t="str">
        <f>Data!B16</f>
        <v>MOHAMMED IBRAHIM SHETTIMA</v>
      </c>
      <c r="BW18" s="120">
        <v>6</v>
      </c>
      <c r="BX18" s="120">
        <v>2</v>
      </c>
      <c r="BY18" s="120">
        <v>8</v>
      </c>
      <c r="BZ18" s="120">
        <v>6</v>
      </c>
      <c r="CA18" s="121">
        <f t="shared" si="31"/>
        <v>22</v>
      </c>
      <c r="CB18" s="120">
        <v>21</v>
      </c>
      <c r="CC18" s="121">
        <f t="shared" si="32"/>
        <v>43</v>
      </c>
      <c r="CD18" s="121">
        <f t="shared" si="33"/>
        <v>32</v>
      </c>
      <c r="CE18" s="121" t="str">
        <f t="shared" si="34"/>
        <v>E8</v>
      </c>
      <c r="CF18" s="121" t="str">
        <f t="shared" si="35"/>
        <v>Pass</v>
      </c>
      <c r="CG18">
        <v>15</v>
      </c>
      <c r="CH18" s="108" t="str">
        <f>Data!B16</f>
        <v>MOHAMMED IBRAHIM SHETTIMA</v>
      </c>
      <c r="CI18" s="109"/>
      <c r="CJ18" s="109"/>
      <c r="CK18" s="109"/>
      <c r="CL18" s="109"/>
      <c r="CM18" s="122">
        <f t="shared" si="36"/>
        <v>0</v>
      </c>
      <c r="CN18" s="122"/>
      <c r="CO18" s="122">
        <f t="shared" si="37"/>
        <v>0</v>
      </c>
      <c r="CP18" s="122" t="str">
        <f t="shared" si="38"/>
        <v/>
      </c>
      <c r="CQ18" s="122" t="str">
        <f t="shared" si="39"/>
        <v/>
      </c>
      <c r="CR18" s="122" t="str">
        <f t="shared" si="40"/>
        <v/>
      </c>
      <c r="CS18">
        <v>15</v>
      </c>
      <c r="CT18" s="108" t="str">
        <f>Data!B16</f>
        <v>MOHAMMED IBRAHIM SHETTIMA</v>
      </c>
      <c r="CU18" s="43"/>
      <c r="CV18" s="43"/>
      <c r="CW18" s="43"/>
      <c r="CX18" s="43"/>
      <c r="CY18" s="123">
        <f t="shared" si="41"/>
        <v>0</v>
      </c>
      <c r="CZ18" s="43"/>
      <c r="DA18" s="123">
        <f t="shared" si="42"/>
        <v>0</v>
      </c>
      <c r="DB18" s="123" t="str">
        <f t="shared" si="43"/>
        <v/>
      </c>
      <c r="DC18" s="123" t="str">
        <f t="shared" si="44"/>
        <v/>
      </c>
      <c r="DD18" s="123" t="str">
        <f t="shared" si="45"/>
        <v/>
      </c>
      <c r="DE18">
        <v>15</v>
      </c>
      <c r="DF18" s="108" t="str">
        <f>Data!B16</f>
        <v>MOHAMMED IBRAHIM SHETTIMA</v>
      </c>
      <c r="DG18" s="109"/>
      <c r="DH18" s="109"/>
      <c r="DI18" s="109"/>
      <c r="DJ18" s="109"/>
      <c r="DK18" s="117">
        <f t="shared" si="46"/>
        <v>0</v>
      </c>
      <c r="DL18" s="116"/>
      <c r="DM18" s="117">
        <f t="shared" si="47"/>
        <v>0</v>
      </c>
      <c r="DN18" s="117" t="str">
        <f t="shared" si="48"/>
        <v/>
      </c>
      <c r="DO18" s="117" t="str">
        <f t="shared" si="49"/>
        <v/>
      </c>
      <c r="DP18" s="117" t="str">
        <f t="shared" si="50"/>
        <v/>
      </c>
      <c r="DQ18">
        <v>15</v>
      </c>
      <c r="DR18" s="108" t="str">
        <f>Data!B16</f>
        <v>MOHAMMED IBRAHIM SHETTIMA</v>
      </c>
      <c r="DS18" s="124"/>
      <c r="DT18" s="124"/>
      <c r="DU18" s="124"/>
      <c r="DV18" s="124"/>
      <c r="DW18" s="125">
        <f t="shared" si="51"/>
        <v>0</v>
      </c>
      <c r="DX18" s="126"/>
      <c r="DY18" s="125">
        <f t="shared" si="52"/>
        <v>0</v>
      </c>
      <c r="DZ18" s="125" t="str">
        <f t="shared" si="53"/>
        <v/>
      </c>
      <c r="EA18" s="125" t="str">
        <f t="shared" si="54"/>
        <v/>
      </c>
      <c r="EB18" s="125" t="str">
        <f t="shared" si="55"/>
        <v/>
      </c>
      <c r="EC18">
        <v>15</v>
      </c>
      <c r="ED18" s="108" t="str">
        <f>Data!B16</f>
        <v>MOHAMMED IBRAHIM SHETTIMA</v>
      </c>
      <c r="EE18" s="109"/>
      <c r="EF18" s="109"/>
      <c r="EG18" s="109"/>
      <c r="EH18" s="109"/>
      <c r="EI18" s="127">
        <f t="shared" si="56"/>
        <v>0</v>
      </c>
      <c r="EJ18" s="127"/>
      <c r="EK18" s="127">
        <f t="shared" si="57"/>
        <v>0</v>
      </c>
      <c r="EL18" s="127" t="str">
        <f t="shared" si="58"/>
        <v/>
      </c>
      <c r="EM18" s="127" t="str">
        <f t="shared" si="59"/>
        <v/>
      </c>
      <c r="EN18" s="127" t="str">
        <f t="shared" si="60"/>
        <v/>
      </c>
      <c r="EO18">
        <v>15</v>
      </c>
      <c r="EP18" s="128" t="str">
        <f>Data!B16</f>
        <v>MOHAMMED IBRAHIM SHETTIMA</v>
      </c>
      <c r="EQ18" s="109"/>
      <c r="ER18" s="109"/>
      <c r="ES18" s="109"/>
      <c r="ET18" s="109"/>
      <c r="EU18" s="123">
        <f t="shared" si="61"/>
        <v>0</v>
      </c>
      <c r="EV18" s="123"/>
      <c r="EW18" s="123">
        <f t="shared" si="62"/>
        <v>0</v>
      </c>
      <c r="EX18" s="123" t="str">
        <f t="shared" si="63"/>
        <v/>
      </c>
      <c r="EY18" s="123" t="str">
        <f t="shared" si="64"/>
        <v/>
      </c>
      <c r="EZ18" s="123" t="str">
        <f t="shared" si="65"/>
        <v/>
      </c>
      <c r="FA18">
        <v>15</v>
      </c>
      <c r="FB18" s="108" t="str">
        <f>Data!B16</f>
        <v>MOHAMMED IBRAHIM SHETTIMA</v>
      </c>
      <c r="FC18" s="109"/>
      <c r="FD18" s="109"/>
      <c r="FE18" s="109"/>
      <c r="FF18" s="109"/>
      <c r="FG18" s="129">
        <f t="shared" si="66"/>
        <v>0</v>
      </c>
      <c r="FH18" s="129"/>
      <c r="FI18" s="129">
        <f t="shared" si="67"/>
        <v>0</v>
      </c>
      <c r="FJ18" s="129" t="str">
        <f t="shared" si="68"/>
        <v/>
      </c>
      <c r="FK18" s="129" t="str">
        <f t="shared" si="69"/>
        <v/>
      </c>
      <c r="FL18" s="129" t="str">
        <f t="shared" si="70"/>
        <v/>
      </c>
      <c r="FM18">
        <v>15</v>
      </c>
      <c r="FN18" s="108" t="str">
        <f>Data!B16</f>
        <v>MOHAMMED IBRAHIM SHETTIMA</v>
      </c>
      <c r="FO18" s="109"/>
      <c r="FP18" s="109"/>
      <c r="FQ18" s="109"/>
      <c r="FR18" s="109"/>
      <c r="FS18" s="130">
        <f t="shared" si="71"/>
        <v>0</v>
      </c>
      <c r="FT18" s="130"/>
      <c r="FU18" s="130">
        <f t="shared" si="72"/>
        <v>0</v>
      </c>
      <c r="FV18" s="130" t="str">
        <f t="shared" si="73"/>
        <v/>
      </c>
      <c r="FW18" s="130" t="str">
        <f t="shared" si="74"/>
        <v/>
      </c>
      <c r="FX18" s="130" t="str">
        <f t="shared" si="75"/>
        <v/>
      </c>
      <c r="FY18">
        <v>15</v>
      </c>
      <c r="FZ18" s="108" t="str">
        <f>Data!B16</f>
        <v>MOHAMMED IBRAHIM SHETTIMA</v>
      </c>
      <c r="GA18" s="109">
        <v>6</v>
      </c>
      <c r="GB18" s="109">
        <v>6</v>
      </c>
      <c r="GC18" s="109">
        <v>7</v>
      </c>
      <c r="GD18" s="109">
        <v>7</v>
      </c>
      <c r="GE18" s="131">
        <f t="shared" si="76"/>
        <v>26</v>
      </c>
      <c r="GF18" s="131">
        <v>16</v>
      </c>
      <c r="GG18" s="131">
        <f t="shared" si="77"/>
        <v>42</v>
      </c>
      <c r="GH18" s="131">
        <f t="shared" si="78"/>
        <v>35</v>
      </c>
      <c r="GI18" s="131" t="str">
        <f t="shared" si="79"/>
        <v>E</v>
      </c>
      <c r="GJ18" s="131" t="str">
        <f t="shared" si="80"/>
        <v>Pass</v>
      </c>
      <c r="GK18">
        <v>15</v>
      </c>
      <c r="GL18" s="108" t="str">
        <f>Data!B16</f>
        <v>MOHAMMED IBRAHIM SHETTIMA</v>
      </c>
      <c r="GM18" s="132"/>
      <c r="GN18" s="132"/>
      <c r="GO18" s="132"/>
      <c r="GP18" s="132"/>
      <c r="GQ18" s="133">
        <f t="shared" si="81"/>
        <v>0</v>
      </c>
      <c r="GR18" s="132"/>
      <c r="GS18" s="133">
        <f t="shared" si="82"/>
        <v>0</v>
      </c>
      <c r="GT18" s="133" t="str">
        <f t="shared" si="83"/>
        <v/>
      </c>
      <c r="GU18" s="133" t="str">
        <f t="shared" si="84"/>
        <v/>
      </c>
      <c r="GV18" s="133" t="str">
        <f t="shared" si="85"/>
        <v/>
      </c>
      <c r="GW18">
        <v>15</v>
      </c>
      <c r="GX18" s="108" t="str">
        <f>Data!B16</f>
        <v>MOHAMMED IBRAHIM SHETTIMA</v>
      </c>
      <c r="GY18" s="109">
        <v>6</v>
      </c>
      <c r="GZ18" s="109">
        <v>8</v>
      </c>
      <c r="HA18" s="109">
        <v>10</v>
      </c>
      <c r="HB18" s="109">
        <v>10</v>
      </c>
      <c r="HC18" s="119">
        <f t="shared" si="86"/>
        <v>34</v>
      </c>
      <c r="HD18" s="119"/>
      <c r="HE18" s="119">
        <f t="shared" si="87"/>
        <v>34</v>
      </c>
      <c r="HF18" s="119">
        <f t="shared" si="88"/>
        <v>5</v>
      </c>
      <c r="HG18" s="119" t="str">
        <f t="shared" si="89"/>
        <v>F</v>
      </c>
      <c r="HH18" s="119" t="str">
        <f t="shared" si="90"/>
        <v>Fail</v>
      </c>
      <c r="HI18">
        <v>15</v>
      </c>
      <c r="HJ18" s="108" t="str">
        <f>Data!B16</f>
        <v>MOHAMMED IBRAHIM SHETTIMA</v>
      </c>
      <c r="HK18" s="144"/>
      <c r="HL18" s="145"/>
      <c r="HM18" s="145"/>
      <c r="HN18" s="145"/>
      <c r="HO18" s="136">
        <f t="shared" si="91"/>
        <v>0</v>
      </c>
      <c r="HP18" s="144"/>
      <c r="HQ18" s="136">
        <f t="shared" si="92"/>
        <v>0</v>
      </c>
      <c r="HR18" s="136" t="str">
        <f t="shared" si="93"/>
        <v/>
      </c>
      <c r="HS18" s="136" t="str">
        <f t="shared" si="94"/>
        <v/>
      </c>
      <c r="HT18" s="136" t="str">
        <f t="shared" si="95"/>
        <v/>
      </c>
      <c r="HU18">
        <v>15</v>
      </c>
      <c r="HV18" s="108" t="str">
        <f>Data!B16</f>
        <v>MOHAMMED IBRAHIM SHETTIMA</v>
      </c>
      <c r="HW18" s="109"/>
      <c r="HX18" s="109"/>
      <c r="HY18" s="109"/>
      <c r="HZ18" s="109"/>
      <c r="IA18" s="117">
        <f t="shared" si="96"/>
        <v>0</v>
      </c>
      <c r="IB18" s="117"/>
      <c r="IC18" s="117">
        <f t="shared" si="97"/>
        <v>0</v>
      </c>
      <c r="ID18" s="117" t="str">
        <f t="shared" si="98"/>
        <v/>
      </c>
      <c r="IE18" s="117" t="str">
        <f t="shared" si="99"/>
        <v/>
      </c>
      <c r="IF18" s="117" t="str">
        <f t="shared" si="100"/>
        <v/>
      </c>
      <c r="IG18">
        <v>15</v>
      </c>
      <c r="IH18" s="108" t="str">
        <f>Data!B16</f>
        <v>MOHAMMED IBRAHIM SHETTIMA</v>
      </c>
      <c r="II18" s="109"/>
      <c r="IJ18" s="109"/>
      <c r="IK18" s="109"/>
      <c r="IL18" s="109"/>
      <c r="IM18" s="137">
        <f t="shared" si="101"/>
        <v>0</v>
      </c>
      <c r="IN18" s="137"/>
      <c r="IO18" s="137">
        <f t="shared" si="102"/>
        <v>0</v>
      </c>
      <c r="IP18" s="137" t="str">
        <f t="shared" si="103"/>
        <v/>
      </c>
      <c r="IQ18" s="137" t="str">
        <f t="shared" si="104"/>
        <v/>
      </c>
      <c r="IR18" s="137" t="str">
        <f t="shared" si="105"/>
        <v/>
      </c>
      <c r="IS18">
        <v>15</v>
      </c>
      <c r="IT18" s="108" t="str">
        <f t="shared" si="106"/>
        <v>MOHAMMED IBRAHIM SHETTIMA</v>
      </c>
      <c r="IU18" s="110">
        <v>7</v>
      </c>
      <c r="IV18" s="110">
        <v>2</v>
      </c>
      <c r="IW18" s="110">
        <v>10</v>
      </c>
      <c r="IX18" s="110">
        <v>10</v>
      </c>
      <c r="IY18" s="111">
        <f t="shared" si="107"/>
        <v>29</v>
      </c>
      <c r="IZ18" s="113">
        <v>42</v>
      </c>
      <c r="JA18" s="131">
        <f t="shared" si="108"/>
        <v>71</v>
      </c>
      <c r="JB18" s="131">
        <f t="shared" si="109"/>
        <v>5</v>
      </c>
      <c r="JC18" s="131" t="str">
        <f t="shared" si="110"/>
        <v>B2</v>
      </c>
      <c r="JD18" s="131" t="str">
        <f t="shared" si="111"/>
        <v>V.Good</v>
      </c>
      <c r="JE18">
        <v>15</v>
      </c>
      <c r="JF18" s="108" t="str">
        <f t="shared" si="112"/>
        <v>MOHAMMED IBRAHIM SHETTIMA</v>
      </c>
      <c r="JG18" s="147"/>
      <c r="JH18" s="147"/>
      <c r="JI18" s="147"/>
      <c r="JJ18" s="147"/>
      <c r="JK18" s="113">
        <f t="shared" si="113"/>
        <v>0</v>
      </c>
      <c r="JL18" s="147"/>
      <c r="JM18" s="113">
        <f t="shared" si="114"/>
        <v>0</v>
      </c>
      <c r="JN18" s="113" t="str">
        <f t="shared" si="115"/>
        <v/>
      </c>
      <c r="JO18" s="113" t="str">
        <f t="shared" si="116"/>
        <v/>
      </c>
      <c r="JP18" s="113" t="str">
        <f t="shared" si="117"/>
        <v/>
      </c>
      <c r="JQ18">
        <v>15</v>
      </c>
      <c r="JR18" s="108" t="str">
        <f t="shared" si="118"/>
        <v>MOHAMMED IBRAHIM SHETTIMA</v>
      </c>
      <c r="JS18" s="140"/>
      <c r="JT18" s="140"/>
      <c r="JU18" s="140"/>
      <c r="JV18" s="140"/>
      <c r="JW18" s="111">
        <f t="shared" si="119"/>
        <v>0</v>
      </c>
      <c r="JX18" s="141"/>
      <c r="JY18" s="111">
        <f t="shared" si="0"/>
        <v>0</v>
      </c>
      <c r="JZ18" s="111" t="str">
        <f t="shared" si="120"/>
        <v/>
      </c>
      <c r="KA18" s="111" t="str">
        <f t="shared" si="121"/>
        <v/>
      </c>
      <c r="KB18" s="111" t="str">
        <f t="shared" si="122"/>
        <v/>
      </c>
      <c r="KD18" s="47"/>
      <c r="KE18" s="47"/>
      <c r="KF18" s="47"/>
      <c r="KG18" s="47"/>
      <c r="KH18" s="47"/>
      <c r="KI18" s="47"/>
      <c r="KJ18" s="47"/>
      <c r="KK18" s="47"/>
      <c r="KM18" s="47"/>
      <c r="KN18" s="47"/>
      <c r="KO18" s="47"/>
      <c r="KP18" s="47"/>
      <c r="KQ18" s="47"/>
      <c r="KR18" s="47"/>
      <c r="KS18" s="47"/>
      <c r="KT18" s="47"/>
      <c r="KU18" s="47"/>
      <c r="KV18" s="47"/>
    </row>
    <row r="19" spans="1:308" ht="23.25">
      <c r="A19" s="211">
        <v>16</v>
      </c>
      <c r="B19" s="108" t="str">
        <f>Data!B17</f>
        <v>MUHAMMED MUSA BUKAR</v>
      </c>
      <c r="C19" s="109">
        <v>2</v>
      </c>
      <c r="D19" s="109">
        <v>1</v>
      </c>
      <c r="E19" s="109">
        <v>1</v>
      </c>
      <c r="F19" s="109">
        <v>1</v>
      </c>
      <c r="G19" s="111">
        <f t="shared" si="123"/>
        <v>5</v>
      </c>
      <c r="H19" s="111">
        <v>22</v>
      </c>
      <c r="I19" s="111">
        <f t="shared" si="2"/>
        <v>27</v>
      </c>
      <c r="J19" s="110">
        <f t="shared" si="3"/>
        <v>33</v>
      </c>
      <c r="K19" s="110" t="str">
        <f t="shared" si="4"/>
        <v>F</v>
      </c>
      <c r="L19" s="110" t="str">
        <f t="shared" si="5"/>
        <v>Fail</v>
      </c>
      <c r="M19" s="48">
        <v>16</v>
      </c>
      <c r="N19" s="108" t="str">
        <f>Data!B17</f>
        <v>MUHAMMED MUSA BUKAR</v>
      </c>
      <c r="O19" s="109">
        <v>2</v>
      </c>
      <c r="P19" s="109">
        <v>1</v>
      </c>
      <c r="Q19" s="109">
        <v>1</v>
      </c>
      <c r="R19" s="109">
        <v>1</v>
      </c>
      <c r="S19" s="111">
        <f t="shared" si="6"/>
        <v>5</v>
      </c>
      <c r="T19" s="111">
        <v>22</v>
      </c>
      <c r="U19" s="111">
        <f t="shared" si="7"/>
        <v>27</v>
      </c>
      <c r="V19" s="111">
        <f t="shared" si="8"/>
        <v>22</v>
      </c>
      <c r="W19" s="111" t="str">
        <f t="shared" si="9"/>
        <v>F</v>
      </c>
      <c r="X19" s="111" t="str">
        <f t="shared" si="10"/>
        <v>Fail</v>
      </c>
      <c r="Y19" s="42">
        <v>16</v>
      </c>
      <c r="Z19" s="108" t="str">
        <f>Data!B17</f>
        <v>MUHAMMED MUSA BUKAR</v>
      </c>
      <c r="AA19" s="109">
        <v>2</v>
      </c>
      <c r="AB19" s="109">
        <v>1</v>
      </c>
      <c r="AC19" s="109">
        <v>1</v>
      </c>
      <c r="AD19" s="109">
        <v>1</v>
      </c>
      <c r="AE19" s="111">
        <f t="shared" si="11"/>
        <v>5</v>
      </c>
      <c r="AF19" s="112">
        <v>42</v>
      </c>
      <c r="AG19" s="113">
        <f t="shared" si="12"/>
        <v>47</v>
      </c>
      <c r="AH19" s="113">
        <f t="shared" si="13"/>
        <v>38</v>
      </c>
      <c r="AI19" s="113" t="str">
        <f t="shared" si="14"/>
        <v>D7</v>
      </c>
      <c r="AJ19" s="113" t="str">
        <f t="shared" si="15"/>
        <v>Pass</v>
      </c>
      <c r="AK19" s="42">
        <v>16</v>
      </c>
      <c r="AL19" s="108" t="str">
        <f>Data!B17</f>
        <v>MUHAMMED MUSA BUKAR</v>
      </c>
      <c r="AM19" s="114"/>
      <c r="AN19" s="114"/>
      <c r="AO19" s="114"/>
      <c r="AP19" s="114"/>
      <c r="AQ19" s="115">
        <f t="shared" si="16"/>
        <v>0</v>
      </c>
      <c r="AR19" s="114"/>
      <c r="AS19" s="115">
        <f t="shared" si="17"/>
        <v>0</v>
      </c>
      <c r="AT19" s="115" t="str">
        <f t="shared" si="18"/>
        <v/>
      </c>
      <c r="AU19" s="115" t="str">
        <f t="shared" si="19"/>
        <v/>
      </c>
      <c r="AV19" s="115" t="str">
        <f t="shared" si="20"/>
        <v/>
      </c>
      <c r="AW19" s="42">
        <v>16</v>
      </c>
      <c r="AX19" s="108" t="str">
        <f>Data!B17</f>
        <v>MUHAMMED MUSA BUKAR</v>
      </c>
      <c r="AY19" s="116"/>
      <c r="AZ19" s="116"/>
      <c r="BA19" s="116"/>
      <c r="BB19" s="116"/>
      <c r="BC19" s="117">
        <f t="shared" si="21"/>
        <v>0</v>
      </c>
      <c r="BD19" s="116"/>
      <c r="BE19" s="117">
        <f t="shared" si="22"/>
        <v>0</v>
      </c>
      <c r="BF19" s="117" t="str">
        <f t="shared" si="23"/>
        <v/>
      </c>
      <c r="BG19" s="117" t="str">
        <f t="shared" si="24"/>
        <v/>
      </c>
      <c r="BH19" s="117" t="str">
        <f t="shared" si="25"/>
        <v/>
      </c>
      <c r="BI19" s="67">
        <v>16</v>
      </c>
      <c r="BJ19" s="108" t="str">
        <f>Data!B17</f>
        <v>MUHAMMED MUSA BUKAR</v>
      </c>
      <c r="BK19" s="110">
        <v>2</v>
      </c>
      <c r="BL19" s="110">
        <v>1</v>
      </c>
      <c r="BM19" s="110">
        <v>1</v>
      </c>
      <c r="BN19" s="110">
        <v>1</v>
      </c>
      <c r="BO19" s="111">
        <f t="shared" si="26"/>
        <v>5</v>
      </c>
      <c r="BP19" s="113">
        <v>42</v>
      </c>
      <c r="BQ19" s="119">
        <f t="shared" si="27"/>
        <v>47</v>
      </c>
      <c r="BR19" s="119">
        <f t="shared" si="28"/>
        <v>26</v>
      </c>
      <c r="BS19" s="119" t="str">
        <f t="shared" si="29"/>
        <v>D7</v>
      </c>
      <c r="BT19" s="119" t="str">
        <f t="shared" si="30"/>
        <v>Pass</v>
      </c>
      <c r="BU19">
        <v>16</v>
      </c>
      <c r="BV19" s="108" t="str">
        <f>Data!B17</f>
        <v>MUHAMMED MUSA BUKAR</v>
      </c>
      <c r="BW19" s="120">
        <v>2</v>
      </c>
      <c r="BX19" s="120">
        <v>1</v>
      </c>
      <c r="BY19" s="120">
        <v>8</v>
      </c>
      <c r="BZ19" s="120"/>
      <c r="CA19" s="121">
        <f t="shared" si="31"/>
        <v>11</v>
      </c>
      <c r="CB19" s="120">
        <v>9</v>
      </c>
      <c r="CC19" s="121">
        <f t="shared" si="32"/>
        <v>20</v>
      </c>
      <c r="CD19" s="121">
        <f t="shared" si="33"/>
        <v>45</v>
      </c>
      <c r="CE19" s="121" t="str">
        <f t="shared" si="34"/>
        <v>F</v>
      </c>
      <c r="CF19" s="121" t="str">
        <f t="shared" si="35"/>
        <v>Fail</v>
      </c>
      <c r="CG19">
        <v>16</v>
      </c>
      <c r="CH19" s="108" t="str">
        <f>Data!B17</f>
        <v>MUHAMMED MUSA BUKAR</v>
      </c>
      <c r="CI19" s="109"/>
      <c r="CJ19" s="109"/>
      <c r="CK19" s="109"/>
      <c r="CL19" s="109"/>
      <c r="CM19" s="122">
        <f t="shared" si="36"/>
        <v>0</v>
      </c>
      <c r="CN19" s="122"/>
      <c r="CO19" s="122">
        <f t="shared" si="37"/>
        <v>0</v>
      </c>
      <c r="CP19" s="122" t="str">
        <f t="shared" si="38"/>
        <v/>
      </c>
      <c r="CQ19" s="122" t="str">
        <f t="shared" si="39"/>
        <v/>
      </c>
      <c r="CR19" s="122" t="str">
        <f t="shared" si="40"/>
        <v/>
      </c>
      <c r="CS19">
        <v>16</v>
      </c>
      <c r="CT19" s="108" t="str">
        <f>Data!B17</f>
        <v>MUHAMMED MUSA BUKAR</v>
      </c>
      <c r="CU19" s="43"/>
      <c r="CV19" s="43"/>
      <c r="CW19" s="43"/>
      <c r="CX19" s="43"/>
      <c r="CY19" s="123">
        <f t="shared" si="41"/>
        <v>0</v>
      </c>
      <c r="CZ19" s="43"/>
      <c r="DA19" s="123">
        <f t="shared" si="42"/>
        <v>0</v>
      </c>
      <c r="DB19" s="123" t="str">
        <f t="shared" si="43"/>
        <v/>
      </c>
      <c r="DC19" s="123" t="str">
        <f t="shared" si="44"/>
        <v/>
      </c>
      <c r="DD19" s="123" t="str">
        <f t="shared" si="45"/>
        <v/>
      </c>
      <c r="DE19">
        <v>16</v>
      </c>
      <c r="DF19" s="108" t="str">
        <f>Data!B17</f>
        <v>MUHAMMED MUSA BUKAR</v>
      </c>
      <c r="DG19" s="109">
        <v>1</v>
      </c>
      <c r="DH19" s="109">
        <v>1</v>
      </c>
      <c r="DI19" s="109"/>
      <c r="DJ19" s="109"/>
      <c r="DK19" s="117">
        <f t="shared" si="46"/>
        <v>2</v>
      </c>
      <c r="DL19" s="116">
        <v>21</v>
      </c>
      <c r="DM19" s="117">
        <f t="shared" si="47"/>
        <v>23</v>
      </c>
      <c r="DN19" s="117">
        <f t="shared" si="48"/>
        <v>14</v>
      </c>
      <c r="DO19" s="117" t="str">
        <f t="shared" si="49"/>
        <v>F</v>
      </c>
      <c r="DP19" s="117" t="str">
        <f t="shared" si="50"/>
        <v>Fail</v>
      </c>
      <c r="DQ19">
        <v>16</v>
      </c>
      <c r="DR19" s="108" t="str">
        <f>Data!B17</f>
        <v>MUHAMMED MUSA BUKAR</v>
      </c>
      <c r="DS19" s="124"/>
      <c r="DT19" s="124"/>
      <c r="DU19" s="124"/>
      <c r="DV19" s="124"/>
      <c r="DW19" s="125">
        <f t="shared" si="51"/>
        <v>0</v>
      </c>
      <c r="DX19" s="126"/>
      <c r="DY19" s="125">
        <f t="shared" si="52"/>
        <v>0</v>
      </c>
      <c r="DZ19" s="125" t="str">
        <f t="shared" si="53"/>
        <v/>
      </c>
      <c r="EA19" s="125" t="str">
        <f t="shared" si="54"/>
        <v/>
      </c>
      <c r="EB19" s="125" t="str">
        <f t="shared" si="55"/>
        <v/>
      </c>
      <c r="EC19">
        <v>16</v>
      </c>
      <c r="ED19" s="108" t="str">
        <f>Data!B17</f>
        <v>MUHAMMED MUSA BUKAR</v>
      </c>
      <c r="EE19" s="109"/>
      <c r="EF19" s="109"/>
      <c r="EG19" s="109"/>
      <c r="EH19" s="109"/>
      <c r="EI19" s="127">
        <f t="shared" si="56"/>
        <v>0</v>
      </c>
      <c r="EJ19" s="127"/>
      <c r="EK19" s="127">
        <f t="shared" si="57"/>
        <v>0</v>
      </c>
      <c r="EL19" s="127" t="str">
        <f t="shared" si="58"/>
        <v/>
      </c>
      <c r="EM19" s="127" t="str">
        <f t="shared" si="59"/>
        <v/>
      </c>
      <c r="EN19" s="127" t="str">
        <f t="shared" si="60"/>
        <v/>
      </c>
      <c r="EO19">
        <v>16</v>
      </c>
      <c r="EP19" s="128" t="str">
        <f>Data!B17</f>
        <v>MUHAMMED MUSA BUKAR</v>
      </c>
      <c r="EQ19" s="109"/>
      <c r="ER19" s="109"/>
      <c r="ES19" s="109"/>
      <c r="ET19" s="109"/>
      <c r="EU19" s="123">
        <f t="shared" si="61"/>
        <v>0</v>
      </c>
      <c r="EV19" s="123"/>
      <c r="EW19" s="123">
        <f t="shared" si="62"/>
        <v>0</v>
      </c>
      <c r="EX19" s="123" t="str">
        <f t="shared" si="63"/>
        <v/>
      </c>
      <c r="EY19" s="123" t="str">
        <f t="shared" si="64"/>
        <v/>
      </c>
      <c r="EZ19" s="123" t="str">
        <f t="shared" si="65"/>
        <v/>
      </c>
      <c r="FA19">
        <v>16</v>
      </c>
      <c r="FB19" s="108" t="str">
        <f>Data!B17</f>
        <v>MUHAMMED MUSA BUKAR</v>
      </c>
      <c r="FC19" s="109"/>
      <c r="FD19" s="109"/>
      <c r="FE19" s="109"/>
      <c r="FF19" s="109"/>
      <c r="FG19" s="129">
        <f t="shared" si="66"/>
        <v>0</v>
      </c>
      <c r="FH19" s="129"/>
      <c r="FI19" s="129">
        <f t="shared" si="67"/>
        <v>0</v>
      </c>
      <c r="FJ19" s="129" t="str">
        <f t="shared" si="68"/>
        <v/>
      </c>
      <c r="FK19" s="129" t="str">
        <f t="shared" si="69"/>
        <v/>
      </c>
      <c r="FL19" s="129" t="str">
        <f t="shared" si="70"/>
        <v/>
      </c>
      <c r="FM19">
        <v>16</v>
      </c>
      <c r="FN19" s="108" t="str">
        <f>Data!B17</f>
        <v>MUHAMMED MUSA BUKAR</v>
      </c>
      <c r="FO19" s="109"/>
      <c r="FP19" s="109"/>
      <c r="FQ19" s="109"/>
      <c r="FR19" s="109"/>
      <c r="FS19" s="130">
        <f t="shared" si="71"/>
        <v>0</v>
      </c>
      <c r="FT19" s="130"/>
      <c r="FU19" s="130">
        <f t="shared" si="72"/>
        <v>0</v>
      </c>
      <c r="FV19" s="130" t="str">
        <f t="shared" si="73"/>
        <v/>
      </c>
      <c r="FW19" s="130" t="str">
        <f t="shared" si="74"/>
        <v/>
      </c>
      <c r="FX19" s="130" t="str">
        <f t="shared" si="75"/>
        <v/>
      </c>
      <c r="FY19">
        <v>16</v>
      </c>
      <c r="FZ19" s="108" t="str">
        <f>Data!B17</f>
        <v>MUHAMMED MUSA BUKAR</v>
      </c>
      <c r="GA19" s="109">
        <v>4</v>
      </c>
      <c r="GB19" s="109">
        <v>5</v>
      </c>
      <c r="GC19" s="109">
        <v>6</v>
      </c>
      <c r="GD19" s="109">
        <v>6</v>
      </c>
      <c r="GE19" s="131">
        <f t="shared" si="76"/>
        <v>21</v>
      </c>
      <c r="GF19" s="131">
        <v>11</v>
      </c>
      <c r="GG19" s="131">
        <f t="shared" si="77"/>
        <v>32</v>
      </c>
      <c r="GH19" s="131">
        <f t="shared" si="78"/>
        <v>43</v>
      </c>
      <c r="GI19" s="131" t="str">
        <f t="shared" si="79"/>
        <v>F</v>
      </c>
      <c r="GJ19" s="131" t="str">
        <f t="shared" si="80"/>
        <v>Fail</v>
      </c>
      <c r="GK19">
        <v>16</v>
      </c>
      <c r="GL19" s="108" t="str">
        <f>Data!B17</f>
        <v>MUHAMMED MUSA BUKAR</v>
      </c>
      <c r="GM19" s="132"/>
      <c r="GN19" s="132"/>
      <c r="GO19" s="132"/>
      <c r="GP19" s="132"/>
      <c r="GQ19" s="133">
        <f t="shared" si="81"/>
        <v>0</v>
      </c>
      <c r="GR19" s="132"/>
      <c r="GS19" s="133">
        <f t="shared" si="82"/>
        <v>0</v>
      </c>
      <c r="GT19" s="133" t="str">
        <f t="shared" si="83"/>
        <v/>
      </c>
      <c r="GU19" s="133" t="str">
        <f t="shared" si="84"/>
        <v/>
      </c>
      <c r="GV19" s="133" t="str">
        <f t="shared" si="85"/>
        <v/>
      </c>
      <c r="GW19">
        <v>16</v>
      </c>
      <c r="GX19" s="108" t="str">
        <f>Data!B17</f>
        <v>MUHAMMED MUSA BUKAR</v>
      </c>
      <c r="GY19" s="109"/>
      <c r="GZ19" s="109"/>
      <c r="HA19" s="109"/>
      <c r="HB19" s="109"/>
      <c r="HC19" s="119">
        <f t="shared" si="86"/>
        <v>0</v>
      </c>
      <c r="HD19" s="119"/>
      <c r="HE19" s="119">
        <f t="shared" si="87"/>
        <v>0</v>
      </c>
      <c r="HF19" s="119" t="str">
        <f t="shared" si="88"/>
        <v/>
      </c>
      <c r="HG19" s="119" t="str">
        <f t="shared" si="89"/>
        <v/>
      </c>
      <c r="HH19" s="119" t="str">
        <f t="shared" si="90"/>
        <v/>
      </c>
      <c r="HI19">
        <v>16</v>
      </c>
      <c r="HJ19" s="108" t="str">
        <f>Data!B17</f>
        <v>MUHAMMED MUSA BUKAR</v>
      </c>
      <c r="HK19" s="144"/>
      <c r="HL19" s="145"/>
      <c r="HM19" s="145"/>
      <c r="HN19" s="145"/>
      <c r="HO19" s="136">
        <f t="shared" si="91"/>
        <v>0</v>
      </c>
      <c r="HP19" s="144"/>
      <c r="HQ19" s="136">
        <f t="shared" si="92"/>
        <v>0</v>
      </c>
      <c r="HR19" s="136" t="str">
        <f t="shared" si="93"/>
        <v/>
      </c>
      <c r="HS19" s="136" t="str">
        <f t="shared" si="94"/>
        <v/>
      </c>
      <c r="HT19" s="136" t="str">
        <f t="shared" si="95"/>
        <v/>
      </c>
      <c r="HU19">
        <v>16</v>
      </c>
      <c r="HV19" s="108" t="str">
        <f>Data!B17</f>
        <v>MUHAMMED MUSA BUKAR</v>
      </c>
      <c r="HW19" s="109"/>
      <c r="HX19" s="109"/>
      <c r="HY19" s="109"/>
      <c r="HZ19" s="109"/>
      <c r="IA19" s="117">
        <f t="shared" si="96"/>
        <v>0</v>
      </c>
      <c r="IB19" s="117"/>
      <c r="IC19" s="117">
        <f t="shared" si="97"/>
        <v>0</v>
      </c>
      <c r="ID19" s="117" t="str">
        <f t="shared" si="98"/>
        <v/>
      </c>
      <c r="IE19" s="117" t="str">
        <f t="shared" si="99"/>
        <v/>
      </c>
      <c r="IF19" s="117" t="str">
        <f t="shared" si="100"/>
        <v/>
      </c>
      <c r="IG19">
        <v>16</v>
      </c>
      <c r="IH19" s="108" t="str">
        <f>Data!B17</f>
        <v>MUHAMMED MUSA BUKAR</v>
      </c>
      <c r="II19" s="109"/>
      <c r="IJ19" s="109"/>
      <c r="IK19" s="109"/>
      <c r="IL19" s="109"/>
      <c r="IM19" s="137">
        <f t="shared" si="101"/>
        <v>0</v>
      </c>
      <c r="IN19" s="137"/>
      <c r="IO19" s="137">
        <f t="shared" si="102"/>
        <v>0</v>
      </c>
      <c r="IP19" s="137" t="str">
        <f t="shared" si="103"/>
        <v/>
      </c>
      <c r="IQ19" s="137" t="str">
        <f t="shared" si="104"/>
        <v/>
      </c>
      <c r="IR19" s="137" t="str">
        <f t="shared" si="105"/>
        <v/>
      </c>
      <c r="IS19">
        <v>16</v>
      </c>
      <c r="IT19" s="108" t="str">
        <f t="shared" si="106"/>
        <v>MUHAMMED MUSA BUKAR</v>
      </c>
      <c r="IU19" s="110">
        <v>2</v>
      </c>
      <c r="IV19" s="110">
        <v>1</v>
      </c>
      <c r="IW19" s="110">
        <v>1</v>
      </c>
      <c r="IX19" s="110">
        <v>1</v>
      </c>
      <c r="IY19" s="111">
        <f t="shared" si="107"/>
        <v>5</v>
      </c>
      <c r="IZ19" s="113">
        <v>42</v>
      </c>
      <c r="JA19" s="131">
        <f t="shared" si="108"/>
        <v>47</v>
      </c>
      <c r="JB19" s="131">
        <f t="shared" si="109"/>
        <v>26</v>
      </c>
      <c r="JC19" s="131" t="str">
        <f t="shared" si="110"/>
        <v>D</v>
      </c>
      <c r="JD19" s="131" t="str">
        <f t="shared" si="111"/>
        <v>Pass</v>
      </c>
      <c r="JE19">
        <v>16</v>
      </c>
      <c r="JF19" s="108" t="str">
        <f t="shared" si="112"/>
        <v>MUHAMMED MUSA BUKAR</v>
      </c>
      <c r="JG19" s="147"/>
      <c r="JH19" s="147"/>
      <c r="JI19" s="147"/>
      <c r="JJ19" s="147"/>
      <c r="JK19" s="113">
        <f t="shared" si="113"/>
        <v>0</v>
      </c>
      <c r="JL19" s="147"/>
      <c r="JM19" s="113">
        <f t="shared" si="114"/>
        <v>0</v>
      </c>
      <c r="JN19" s="113" t="str">
        <f t="shared" si="115"/>
        <v/>
      </c>
      <c r="JO19" s="113" t="str">
        <f t="shared" si="116"/>
        <v/>
      </c>
      <c r="JP19" s="113" t="str">
        <f t="shared" si="117"/>
        <v/>
      </c>
      <c r="JQ19">
        <v>16</v>
      </c>
      <c r="JR19" s="108" t="str">
        <f t="shared" si="118"/>
        <v>MUHAMMED MUSA BUKAR</v>
      </c>
      <c r="JS19" s="140"/>
      <c r="JT19" s="140"/>
      <c r="JU19" s="140"/>
      <c r="JV19" s="140"/>
      <c r="JW19" s="111">
        <f t="shared" si="119"/>
        <v>0</v>
      </c>
      <c r="JX19" s="141"/>
      <c r="JY19" s="111">
        <f t="shared" si="0"/>
        <v>0</v>
      </c>
      <c r="JZ19" s="111" t="str">
        <f t="shared" si="120"/>
        <v/>
      </c>
      <c r="KA19" s="111" t="str">
        <f t="shared" si="121"/>
        <v/>
      </c>
      <c r="KB19" s="111" t="str">
        <f t="shared" si="122"/>
        <v/>
      </c>
      <c r="KD19" s="47"/>
      <c r="KE19" s="47"/>
      <c r="KF19" s="47"/>
      <c r="KG19" s="47"/>
      <c r="KH19" s="47"/>
      <c r="KI19" s="47"/>
      <c r="KJ19" s="47"/>
      <c r="KK19" s="47"/>
      <c r="KM19" s="47"/>
      <c r="KN19" s="47"/>
      <c r="KO19" s="47"/>
      <c r="KP19" s="47"/>
      <c r="KQ19" s="47"/>
      <c r="KR19" s="47"/>
      <c r="KS19" s="47"/>
      <c r="KT19" s="47"/>
      <c r="KU19" s="47"/>
      <c r="KV19" s="47"/>
    </row>
    <row r="20" spans="1:308" ht="23.25">
      <c r="A20" s="211">
        <v>17</v>
      </c>
      <c r="B20" s="108" t="str">
        <f>Data!B18</f>
        <v>MOHAMMED KASHIM ADAM</v>
      </c>
      <c r="C20" s="109"/>
      <c r="D20" s="109"/>
      <c r="E20" s="109"/>
      <c r="F20" s="109"/>
      <c r="G20" s="111">
        <f t="shared" si="123"/>
        <v>0</v>
      </c>
      <c r="H20" s="111"/>
      <c r="I20" s="111">
        <f t="shared" si="2"/>
        <v>0</v>
      </c>
      <c r="J20" s="110" t="str">
        <f t="shared" si="3"/>
        <v/>
      </c>
      <c r="K20" s="110" t="str">
        <f t="shared" si="4"/>
        <v/>
      </c>
      <c r="L20" s="110" t="str">
        <f t="shared" si="5"/>
        <v/>
      </c>
      <c r="M20" s="48">
        <v>17</v>
      </c>
      <c r="N20" s="108" t="str">
        <f>Data!B18</f>
        <v>MOHAMMED KASHIM ADAM</v>
      </c>
      <c r="O20" s="109"/>
      <c r="P20" s="109"/>
      <c r="Q20" s="109"/>
      <c r="R20" s="109"/>
      <c r="S20" s="111">
        <f t="shared" si="6"/>
        <v>0</v>
      </c>
      <c r="T20" s="111"/>
      <c r="U20" s="111">
        <f t="shared" si="7"/>
        <v>0</v>
      </c>
      <c r="V20" s="111" t="str">
        <f t="shared" si="8"/>
        <v/>
      </c>
      <c r="W20" s="111" t="str">
        <f t="shared" si="9"/>
        <v/>
      </c>
      <c r="X20" s="111" t="str">
        <f t="shared" si="10"/>
        <v/>
      </c>
      <c r="Y20" s="42">
        <v>17</v>
      </c>
      <c r="Z20" s="108" t="str">
        <f>Data!B18</f>
        <v>MOHAMMED KASHIM ADAM</v>
      </c>
      <c r="AA20" s="109"/>
      <c r="AB20" s="109"/>
      <c r="AC20" s="109"/>
      <c r="AD20" s="109"/>
      <c r="AE20" s="111">
        <f t="shared" si="11"/>
        <v>0</v>
      </c>
      <c r="AF20" s="112">
        <v>42</v>
      </c>
      <c r="AG20" s="113">
        <f t="shared" si="12"/>
        <v>42</v>
      </c>
      <c r="AH20" s="113">
        <f t="shared" si="13"/>
        <v>40</v>
      </c>
      <c r="AI20" s="113" t="str">
        <f t="shared" si="14"/>
        <v>E8</v>
      </c>
      <c r="AJ20" s="113" t="str">
        <f t="shared" si="15"/>
        <v>Pass</v>
      </c>
      <c r="AK20" s="42">
        <v>17</v>
      </c>
      <c r="AL20" s="108" t="str">
        <f>Data!B18</f>
        <v>MOHAMMED KASHIM ADAM</v>
      </c>
      <c r="AM20" s="114"/>
      <c r="AN20" s="114"/>
      <c r="AO20" s="114"/>
      <c r="AP20" s="114"/>
      <c r="AQ20" s="115">
        <f t="shared" si="16"/>
        <v>0</v>
      </c>
      <c r="AR20" s="114"/>
      <c r="AS20" s="115">
        <f t="shared" si="17"/>
        <v>0</v>
      </c>
      <c r="AT20" s="115" t="str">
        <f t="shared" si="18"/>
        <v/>
      </c>
      <c r="AU20" s="115" t="str">
        <f t="shared" si="19"/>
        <v/>
      </c>
      <c r="AV20" s="115" t="str">
        <f t="shared" si="20"/>
        <v/>
      </c>
      <c r="AW20" s="42">
        <v>17</v>
      </c>
      <c r="AX20" s="108" t="str">
        <f>Data!B18</f>
        <v>MOHAMMED KASHIM ADAM</v>
      </c>
      <c r="AY20" s="116"/>
      <c r="AZ20" s="116"/>
      <c r="BA20" s="116"/>
      <c r="BB20" s="116"/>
      <c r="BC20" s="117">
        <f t="shared" si="21"/>
        <v>0</v>
      </c>
      <c r="BD20" s="116"/>
      <c r="BE20" s="117">
        <f t="shared" si="22"/>
        <v>0</v>
      </c>
      <c r="BF20" s="117" t="str">
        <f t="shared" si="23"/>
        <v/>
      </c>
      <c r="BG20" s="117" t="str">
        <f t="shared" si="24"/>
        <v/>
      </c>
      <c r="BH20" s="117" t="str">
        <f t="shared" si="25"/>
        <v/>
      </c>
      <c r="BI20" s="67">
        <v>17</v>
      </c>
      <c r="BJ20" s="108" t="str">
        <f>Data!B18</f>
        <v>MOHAMMED KASHIM ADAM</v>
      </c>
      <c r="BK20" s="110"/>
      <c r="BL20" s="110"/>
      <c r="BM20" s="110"/>
      <c r="BN20" s="110"/>
      <c r="BO20" s="111">
        <f t="shared" si="26"/>
        <v>0</v>
      </c>
      <c r="BP20" s="113">
        <v>42</v>
      </c>
      <c r="BQ20" s="119">
        <f t="shared" si="27"/>
        <v>42</v>
      </c>
      <c r="BR20" s="119">
        <f t="shared" si="28"/>
        <v>28</v>
      </c>
      <c r="BS20" s="119" t="str">
        <f t="shared" si="29"/>
        <v>E8</v>
      </c>
      <c r="BT20" s="119" t="str">
        <f t="shared" si="30"/>
        <v>Pass</v>
      </c>
      <c r="BU20">
        <v>17</v>
      </c>
      <c r="BV20" s="108" t="str">
        <f>Data!B18</f>
        <v>MOHAMMED KASHIM ADAM</v>
      </c>
      <c r="BW20" s="120">
        <v>6</v>
      </c>
      <c r="BX20" s="120">
        <v>7</v>
      </c>
      <c r="BY20" s="120">
        <v>8</v>
      </c>
      <c r="BZ20" s="120">
        <v>5</v>
      </c>
      <c r="CA20" s="121">
        <f t="shared" si="31"/>
        <v>26</v>
      </c>
      <c r="CB20" s="120">
        <v>23</v>
      </c>
      <c r="CC20" s="121">
        <f t="shared" si="32"/>
        <v>49</v>
      </c>
      <c r="CD20" s="121">
        <f t="shared" si="33"/>
        <v>26</v>
      </c>
      <c r="CE20" s="121" t="str">
        <f t="shared" si="34"/>
        <v>D7</v>
      </c>
      <c r="CF20" s="121" t="str">
        <f t="shared" si="35"/>
        <v>Pass</v>
      </c>
      <c r="CG20">
        <v>17</v>
      </c>
      <c r="CH20" s="108" t="str">
        <f>Data!B18</f>
        <v>MOHAMMED KASHIM ADAM</v>
      </c>
      <c r="CI20" s="109"/>
      <c r="CJ20" s="109"/>
      <c r="CK20" s="109"/>
      <c r="CL20" s="109"/>
      <c r="CM20" s="122">
        <f t="shared" si="36"/>
        <v>0</v>
      </c>
      <c r="CN20" s="122"/>
      <c r="CO20" s="122">
        <f t="shared" si="37"/>
        <v>0</v>
      </c>
      <c r="CP20" s="122" t="str">
        <f t="shared" si="38"/>
        <v/>
      </c>
      <c r="CQ20" s="122" t="str">
        <f t="shared" si="39"/>
        <v/>
      </c>
      <c r="CR20" s="122" t="str">
        <f t="shared" si="40"/>
        <v/>
      </c>
      <c r="CS20">
        <v>17</v>
      </c>
      <c r="CT20" s="108" t="str">
        <f>Data!B18</f>
        <v>MOHAMMED KASHIM ADAM</v>
      </c>
      <c r="CU20" s="43"/>
      <c r="CV20" s="43"/>
      <c r="CW20" s="43"/>
      <c r="CX20" s="43"/>
      <c r="CY20" s="123">
        <f t="shared" si="41"/>
        <v>0</v>
      </c>
      <c r="CZ20" s="43"/>
      <c r="DA20" s="123">
        <f t="shared" si="42"/>
        <v>0</v>
      </c>
      <c r="DB20" s="123" t="str">
        <f t="shared" si="43"/>
        <v/>
      </c>
      <c r="DC20" s="123" t="str">
        <f t="shared" si="44"/>
        <v/>
      </c>
      <c r="DD20" s="123" t="str">
        <f t="shared" si="45"/>
        <v/>
      </c>
      <c r="DE20">
        <v>17</v>
      </c>
      <c r="DF20" s="108" t="str">
        <f>Data!B18</f>
        <v>MOHAMMED KASHIM ADAM</v>
      </c>
      <c r="DG20" s="109"/>
      <c r="DH20" s="109"/>
      <c r="DI20" s="109"/>
      <c r="DJ20" s="109"/>
      <c r="DK20" s="117">
        <f t="shared" si="46"/>
        <v>0</v>
      </c>
      <c r="DL20" s="116"/>
      <c r="DM20" s="117">
        <f t="shared" si="47"/>
        <v>0</v>
      </c>
      <c r="DN20" s="117" t="str">
        <f t="shared" si="48"/>
        <v/>
      </c>
      <c r="DO20" s="117" t="str">
        <f t="shared" si="49"/>
        <v/>
      </c>
      <c r="DP20" s="117" t="str">
        <f t="shared" si="50"/>
        <v/>
      </c>
      <c r="DQ20">
        <v>17</v>
      </c>
      <c r="DR20" s="108" t="str">
        <f>Data!B18</f>
        <v>MOHAMMED KASHIM ADAM</v>
      </c>
      <c r="DS20" s="124"/>
      <c r="DT20" s="124"/>
      <c r="DU20" s="124"/>
      <c r="DV20" s="124"/>
      <c r="DW20" s="125">
        <f t="shared" si="51"/>
        <v>0</v>
      </c>
      <c r="DX20" s="126"/>
      <c r="DY20" s="125">
        <f t="shared" si="52"/>
        <v>0</v>
      </c>
      <c r="DZ20" s="125" t="str">
        <f t="shared" si="53"/>
        <v/>
      </c>
      <c r="EA20" s="125" t="str">
        <f t="shared" si="54"/>
        <v/>
      </c>
      <c r="EB20" s="125" t="str">
        <f t="shared" si="55"/>
        <v/>
      </c>
      <c r="EC20">
        <v>17</v>
      </c>
      <c r="ED20" s="108" t="str">
        <f>Data!B18</f>
        <v>MOHAMMED KASHIM ADAM</v>
      </c>
      <c r="EE20" s="109"/>
      <c r="EF20" s="109"/>
      <c r="EG20" s="109"/>
      <c r="EH20" s="109"/>
      <c r="EI20" s="127">
        <f t="shared" si="56"/>
        <v>0</v>
      </c>
      <c r="EJ20" s="127"/>
      <c r="EK20" s="127">
        <f t="shared" si="57"/>
        <v>0</v>
      </c>
      <c r="EL20" s="127" t="str">
        <f t="shared" si="58"/>
        <v/>
      </c>
      <c r="EM20" s="127" t="str">
        <f t="shared" si="59"/>
        <v/>
      </c>
      <c r="EN20" s="127" t="str">
        <f t="shared" si="60"/>
        <v/>
      </c>
      <c r="EO20">
        <v>17</v>
      </c>
      <c r="EP20" s="128" t="str">
        <f>Data!B18</f>
        <v>MOHAMMED KASHIM ADAM</v>
      </c>
      <c r="EQ20" s="109"/>
      <c r="ER20" s="109"/>
      <c r="ES20" s="109"/>
      <c r="ET20" s="109"/>
      <c r="EU20" s="123">
        <f t="shared" si="61"/>
        <v>0</v>
      </c>
      <c r="EV20" s="123"/>
      <c r="EW20" s="123">
        <f t="shared" si="62"/>
        <v>0</v>
      </c>
      <c r="EX20" s="123" t="str">
        <f t="shared" si="63"/>
        <v/>
      </c>
      <c r="EY20" s="123" t="str">
        <f t="shared" si="64"/>
        <v/>
      </c>
      <c r="EZ20" s="123" t="str">
        <f t="shared" si="65"/>
        <v/>
      </c>
      <c r="FA20">
        <v>17</v>
      </c>
      <c r="FB20" s="108" t="str">
        <f>Data!B18</f>
        <v>MOHAMMED KASHIM ADAM</v>
      </c>
      <c r="FC20" s="109"/>
      <c r="FD20" s="109"/>
      <c r="FE20" s="109"/>
      <c r="FF20" s="109"/>
      <c r="FG20" s="129">
        <f t="shared" si="66"/>
        <v>0</v>
      </c>
      <c r="FH20" s="129"/>
      <c r="FI20" s="129">
        <f t="shared" si="67"/>
        <v>0</v>
      </c>
      <c r="FJ20" s="129" t="str">
        <f t="shared" si="68"/>
        <v/>
      </c>
      <c r="FK20" s="129" t="str">
        <f t="shared" si="69"/>
        <v/>
      </c>
      <c r="FL20" s="129" t="str">
        <f t="shared" si="70"/>
        <v/>
      </c>
      <c r="FM20">
        <v>17</v>
      </c>
      <c r="FN20" s="108" t="str">
        <f>Data!B18</f>
        <v>MOHAMMED KASHIM ADAM</v>
      </c>
      <c r="FO20" s="109"/>
      <c r="FP20" s="109"/>
      <c r="FQ20" s="109"/>
      <c r="FR20" s="109"/>
      <c r="FS20" s="130">
        <f t="shared" si="71"/>
        <v>0</v>
      </c>
      <c r="FT20" s="130"/>
      <c r="FU20" s="130">
        <f t="shared" si="72"/>
        <v>0</v>
      </c>
      <c r="FV20" s="130" t="str">
        <f t="shared" si="73"/>
        <v/>
      </c>
      <c r="FW20" s="130" t="str">
        <f t="shared" si="74"/>
        <v/>
      </c>
      <c r="FX20" s="130" t="str">
        <f t="shared" si="75"/>
        <v/>
      </c>
      <c r="FY20">
        <v>17</v>
      </c>
      <c r="FZ20" s="108" t="str">
        <f>Data!B18</f>
        <v>MOHAMMED KASHIM ADAM</v>
      </c>
      <c r="GA20" s="109">
        <v>8</v>
      </c>
      <c r="GB20" s="109">
        <v>8</v>
      </c>
      <c r="GC20" s="109">
        <v>8</v>
      </c>
      <c r="GD20" s="109">
        <v>7</v>
      </c>
      <c r="GE20" s="131">
        <f t="shared" si="76"/>
        <v>31</v>
      </c>
      <c r="GF20" s="131">
        <v>23</v>
      </c>
      <c r="GG20" s="131">
        <f t="shared" si="77"/>
        <v>54</v>
      </c>
      <c r="GH20" s="131">
        <f t="shared" si="78"/>
        <v>25</v>
      </c>
      <c r="GI20" s="131" t="str">
        <f t="shared" si="79"/>
        <v>C</v>
      </c>
      <c r="GJ20" s="131" t="str">
        <f t="shared" si="80"/>
        <v>Credit</v>
      </c>
      <c r="GK20">
        <v>17</v>
      </c>
      <c r="GL20" s="108" t="str">
        <f>Data!B18</f>
        <v>MOHAMMED KASHIM ADAM</v>
      </c>
      <c r="GM20" s="132"/>
      <c r="GN20" s="132"/>
      <c r="GO20" s="132"/>
      <c r="GP20" s="132"/>
      <c r="GQ20" s="133">
        <f t="shared" si="81"/>
        <v>0</v>
      </c>
      <c r="GR20" s="132"/>
      <c r="GS20" s="133">
        <f t="shared" si="82"/>
        <v>0</v>
      </c>
      <c r="GT20" s="133" t="str">
        <f t="shared" si="83"/>
        <v/>
      </c>
      <c r="GU20" s="133" t="str">
        <f t="shared" si="84"/>
        <v/>
      </c>
      <c r="GV20" s="133" t="str">
        <f t="shared" si="85"/>
        <v/>
      </c>
      <c r="GW20">
        <v>17</v>
      </c>
      <c r="GX20" s="108" t="str">
        <f>Data!B18</f>
        <v>MOHAMMED KASHIM ADAM</v>
      </c>
      <c r="GY20" s="109"/>
      <c r="GZ20" s="109"/>
      <c r="HA20" s="109"/>
      <c r="HB20" s="109"/>
      <c r="HC20" s="119">
        <f t="shared" si="86"/>
        <v>0</v>
      </c>
      <c r="HD20" s="119"/>
      <c r="HE20" s="119">
        <f t="shared" si="87"/>
        <v>0</v>
      </c>
      <c r="HF20" s="119" t="str">
        <f t="shared" si="88"/>
        <v/>
      </c>
      <c r="HG20" s="119" t="str">
        <f t="shared" si="89"/>
        <v/>
      </c>
      <c r="HH20" s="119" t="str">
        <f t="shared" si="90"/>
        <v/>
      </c>
      <c r="HI20">
        <v>17</v>
      </c>
      <c r="HJ20" s="108" t="str">
        <f>Data!B18</f>
        <v>MOHAMMED KASHIM ADAM</v>
      </c>
      <c r="HK20" s="144"/>
      <c r="HL20" s="145"/>
      <c r="HM20" s="145"/>
      <c r="HN20" s="145"/>
      <c r="HO20" s="136">
        <f t="shared" si="91"/>
        <v>0</v>
      </c>
      <c r="HP20" s="144"/>
      <c r="HQ20" s="136">
        <f t="shared" si="92"/>
        <v>0</v>
      </c>
      <c r="HR20" s="136" t="str">
        <f t="shared" si="93"/>
        <v/>
      </c>
      <c r="HS20" s="136" t="str">
        <f t="shared" si="94"/>
        <v/>
      </c>
      <c r="HT20" s="136" t="str">
        <f t="shared" si="95"/>
        <v/>
      </c>
      <c r="HU20">
        <v>17</v>
      </c>
      <c r="HV20" s="108" t="str">
        <f>Data!B18</f>
        <v>MOHAMMED KASHIM ADAM</v>
      </c>
      <c r="HW20" s="109"/>
      <c r="HX20" s="109"/>
      <c r="HY20" s="109"/>
      <c r="HZ20" s="109"/>
      <c r="IA20" s="117">
        <f t="shared" si="96"/>
        <v>0</v>
      </c>
      <c r="IB20" s="117"/>
      <c r="IC20" s="117">
        <f t="shared" si="97"/>
        <v>0</v>
      </c>
      <c r="ID20" s="117" t="str">
        <f t="shared" si="98"/>
        <v/>
      </c>
      <c r="IE20" s="117" t="str">
        <f t="shared" si="99"/>
        <v/>
      </c>
      <c r="IF20" s="117" t="str">
        <f t="shared" si="100"/>
        <v/>
      </c>
      <c r="IG20">
        <v>17</v>
      </c>
      <c r="IH20" s="108" t="str">
        <f>Data!B18</f>
        <v>MOHAMMED KASHIM ADAM</v>
      </c>
      <c r="II20" s="109"/>
      <c r="IJ20" s="109"/>
      <c r="IK20" s="109"/>
      <c r="IL20" s="109"/>
      <c r="IM20" s="137">
        <f t="shared" si="101"/>
        <v>0</v>
      </c>
      <c r="IN20" s="137"/>
      <c r="IO20" s="137">
        <f t="shared" si="102"/>
        <v>0</v>
      </c>
      <c r="IP20" s="137" t="str">
        <f t="shared" si="103"/>
        <v/>
      </c>
      <c r="IQ20" s="137" t="str">
        <f t="shared" si="104"/>
        <v/>
      </c>
      <c r="IR20" s="137" t="str">
        <f t="shared" si="105"/>
        <v/>
      </c>
      <c r="IS20">
        <v>17</v>
      </c>
      <c r="IT20" s="108" t="str">
        <f t="shared" si="106"/>
        <v>MOHAMMED KASHIM ADAM</v>
      </c>
      <c r="IU20" s="110"/>
      <c r="IV20" s="110"/>
      <c r="IW20" s="110"/>
      <c r="IX20" s="110"/>
      <c r="IY20" s="111">
        <f t="shared" si="107"/>
        <v>0</v>
      </c>
      <c r="IZ20" s="113">
        <v>42</v>
      </c>
      <c r="JA20" s="131">
        <f t="shared" si="108"/>
        <v>42</v>
      </c>
      <c r="JB20" s="131">
        <f t="shared" si="109"/>
        <v>28</v>
      </c>
      <c r="JC20" s="131" t="str">
        <f t="shared" si="110"/>
        <v>E</v>
      </c>
      <c r="JD20" s="131" t="str">
        <f t="shared" si="111"/>
        <v>Pass</v>
      </c>
      <c r="JE20">
        <v>17</v>
      </c>
      <c r="JF20" s="108" t="str">
        <f t="shared" si="112"/>
        <v>MOHAMMED KASHIM ADAM</v>
      </c>
      <c r="JG20" s="147"/>
      <c r="JH20" s="147"/>
      <c r="JI20" s="147"/>
      <c r="JJ20" s="147"/>
      <c r="JK20" s="113">
        <f t="shared" si="113"/>
        <v>0</v>
      </c>
      <c r="JL20" s="147"/>
      <c r="JM20" s="113">
        <f t="shared" si="114"/>
        <v>0</v>
      </c>
      <c r="JN20" s="113" t="str">
        <f t="shared" si="115"/>
        <v/>
      </c>
      <c r="JO20" s="113" t="str">
        <f t="shared" si="116"/>
        <v/>
      </c>
      <c r="JP20" s="113" t="str">
        <f t="shared" si="117"/>
        <v/>
      </c>
      <c r="JQ20">
        <v>17</v>
      </c>
      <c r="JR20" s="108" t="str">
        <f t="shared" si="118"/>
        <v>MOHAMMED KASHIM ADAM</v>
      </c>
      <c r="JS20" s="140"/>
      <c r="JT20" s="140"/>
      <c r="JU20" s="140"/>
      <c r="JV20" s="140"/>
      <c r="JW20" s="111">
        <f t="shared" si="119"/>
        <v>0</v>
      </c>
      <c r="JX20" s="141"/>
      <c r="JY20" s="111">
        <f t="shared" si="0"/>
        <v>0</v>
      </c>
      <c r="JZ20" s="111" t="str">
        <f t="shared" si="120"/>
        <v/>
      </c>
      <c r="KA20" s="111" t="str">
        <f t="shared" si="121"/>
        <v/>
      </c>
      <c r="KB20" s="111" t="str">
        <f t="shared" si="122"/>
        <v/>
      </c>
      <c r="KD20" s="47"/>
      <c r="KE20" s="47"/>
      <c r="KF20" s="47"/>
      <c r="KG20" s="47"/>
      <c r="KH20" s="47"/>
      <c r="KI20" s="47"/>
      <c r="KJ20" s="47"/>
      <c r="KK20" s="47"/>
      <c r="KM20" s="47"/>
      <c r="KN20" s="47"/>
      <c r="KO20" s="47"/>
      <c r="KP20" s="47"/>
      <c r="KQ20" s="47"/>
      <c r="KR20" s="47"/>
      <c r="KS20" s="47"/>
      <c r="KT20" s="47"/>
      <c r="KU20" s="47"/>
      <c r="KV20" s="47"/>
    </row>
    <row r="21" spans="1:308" ht="23.25">
      <c r="A21" s="211">
        <v>18</v>
      </c>
      <c r="B21" s="108" t="str">
        <f>Data!B19</f>
        <v>MOHAMMED KALA JUNIOR</v>
      </c>
      <c r="C21" s="109">
        <v>10</v>
      </c>
      <c r="D21" s="109">
        <v>5</v>
      </c>
      <c r="E21" s="109">
        <v>10</v>
      </c>
      <c r="F21" s="109">
        <v>10</v>
      </c>
      <c r="G21" s="111">
        <f t="shared" si="123"/>
        <v>35</v>
      </c>
      <c r="H21" s="111">
        <v>27</v>
      </c>
      <c r="I21" s="111">
        <f t="shared" si="2"/>
        <v>62</v>
      </c>
      <c r="J21" s="110">
        <f t="shared" si="3"/>
        <v>3</v>
      </c>
      <c r="K21" s="110" t="str">
        <f t="shared" si="4"/>
        <v>C4</v>
      </c>
      <c r="L21" s="110" t="str">
        <f t="shared" si="5"/>
        <v>Credit</v>
      </c>
      <c r="M21" s="48">
        <v>18</v>
      </c>
      <c r="N21" s="108" t="str">
        <f>Data!B19</f>
        <v>MOHAMMED KALA JUNIOR</v>
      </c>
      <c r="O21" s="109">
        <v>10</v>
      </c>
      <c r="P21" s="109">
        <v>5</v>
      </c>
      <c r="Q21" s="109">
        <v>10</v>
      </c>
      <c r="R21" s="109">
        <v>10</v>
      </c>
      <c r="S21" s="111">
        <f t="shared" si="6"/>
        <v>35</v>
      </c>
      <c r="T21" s="111">
        <v>27</v>
      </c>
      <c r="U21" s="111">
        <f t="shared" si="7"/>
        <v>62</v>
      </c>
      <c r="V21" s="111">
        <f t="shared" si="8"/>
        <v>2</v>
      </c>
      <c r="W21" s="111" t="str">
        <f t="shared" si="9"/>
        <v>C4</v>
      </c>
      <c r="X21" s="111" t="str">
        <f t="shared" si="10"/>
        <v>Credit</v>
      </c>
      <c r="Y21" s="42">
        <v>18</v>
      </c>
      <c r="Z21" s="108" t="str">
        <f>Data!B19</f>
        <v>MOHAMMED KALA JUNIOR</v>
      </c>
      <c r="AA21" s="109">
        <v>10</v>
      </c>
      <c r="AB21" s="109">
        <v>5</v>
      </c>
      <c r="AC21" s="109">
        <v>10</v>
      </c>
      <c r="AD21" s="109">
        <v>10</v>
      </c>
      <c r="AE21" s="111">
        <f t="shared" si="11"/>
        <v>35</v>
      </c>
      <c r="AF21" s="112">
        <v>42</v>
      </c>
      <c r="AG21" s="113">
        <f t="shared" si="12"/>
        <v>77</v>
      </c>
      <c r="AH21" s="113">
        <f t="shared" si="13"/>
        <v>1</v>
      </c>
      <c r="AI21" s="113" t="str">
        <f t="shared" si="14"/>
        <v>A1</v>
      </c>
      <c r="AJ21" s="113" t="str">
        <f t="shared" si="15"/>
        <v>Excellent</v>
      </c>
      <c r="AK21" s="42">
        <v>18</v>
      </c>
      <c r="AL21" s="108" t="str">
        <f>Data!B19</f>
        <v>MOHAMMED KALA JUNIOR</v>
      </c>
      <c r="AM21" s="114"/>
      <c r="AN21" s="114"/>
      <c r="AO21" s="114"/>
      <c r="AP21" s="114"/>
      <c r="AQ21" s="115">
        <f t="shared" si="16"/>
        <v>0</v>
      </c>
      <c r="AR21" s="114"/>
      <c r="AS21" s="115">
        <f t="shared" si="17"/>
        <v>0</v>
      </c>
      <c r="AT21" s="115" t="str">
        <f t="shared" si="18"/>
        <v/>
      </c>
      <c r="AU21" s="115" t="str">
        <f t="shared" si="19"/>
        <v/>
      </c>
      <c r="AV21" s="115" t="str">
        <f t="shared" si="20"/>
        <v/>
      </c>
      <c r="AW21" s="42">
        <v>18</v>
      </c>
      <c r="AX21" s="108" t="str">
        <f>Data!B19</f>
        <v>MOHAMMED KALA JUNIOR</v>
      </c>
      <c r="AY21" s="116"/>
      <c r="AZ21" s="116"/>
      <c r="BA21" s="116"/>
      <c r="BB21" s="116"/>
      <c r="BC21" s="117">
        <f t="shared" si="21"/>
        <v>0</v>
      </c>
      <c r="BD21" s="116"/>
      <c r="BE21" s="117">
        <f t="shared" si="22"/>
        <v>0</v>
      </c>
      <c r="BF21" s="117" t="str">
        <f t="shared" si="23"/>
        <v/>
      </c>
      <c r="BG21" s="117" t="str">
        <f t="shared" si="24"/>
        <v/>
      </c>
      <c r="BH21" s="117" t="str">
        <f t="shared" si="25"/>
        <v/>
      </c>
      <c r="BI21" s="67">
        <v>18</v>
      </c>
      <c r="BJ21" s="108" t="str">
        <f>Data!B19</f>
        <v>MOHAMMED KALA JUNIOR</v>
      </c>
      <c r="BK21" s="110">
        <v>10</v>
      </c>
      <c r="BL21" s="110">
        <v>5</v>
      </c>
      <c r="BM21" s="110">
        <v>10</v>
      </c>
      <c r="BN21" s="110">
        <v>10</v>
      </c>
      <c r="BO21" s="111">
        <f t="shared" si="26"/>
        <v>35</v>
      </c>
      <c r="BP21" s="113">
        <v>42</v>
      </c>
      <c r="BQ21" s="119">
        <f t="shared" si="27"/>
        <v>77</v>
      </c>
      <c r="BR21" s="119">
        <f t="shared" si="28"/>
        <v>1</v>
      </c>
      <c r="BS21" s="119" t="str">
        <f t="shared" si="29"/>
        <v>A1</v>
      </c>
      <c r="BT21" s="119" t="str">
        <f t="shared" si="30"/>
        <v>Excellent</v>
      </c>
      <c r="BU21">
        <v>18</v>
      </c>
      <c r="BV21" s="108" t="str">
        <f>Data!B19</f>
        <v>MOHAMMED KALA JUNIOR</v>
      </c>
      <c r="BW21" s="120">
        <v>5</v>
      </c>
      <c r="BX21" s="120">
        <v>8</v>
      </c>
      <c r="BY21" s="120">
        <v>10</v>
      </c>
      <c r="BZ21" s="120">
        <v>10</v>
      </c>
      <c r="CA21" s="121">
        <f t="shared" si="31"/>
        <v>33</v>
      </c>
      <c r="CB21" s="120">
        <v>52</v>
      </c>
      <c r="CC21" s="121">
        <f t="shared" si="32"/>
        <v>85</v>
      </c>
      <c r="CD21" s="121">
        <f t="shared" si="33"/>
        <v>2</v>
      </c>
      <c r="CE21" s="121" t="str">
        <f t="shared" si="34"/>
        <v>A1</v>
      </c>
      <c r="CF21" s="121" t="str">
        <f t="shared" si="35"/>
        <v>Excellent</v>
      </c>
      <c r="CG21">
        <v>18</v>
      </c>
      <c r="CH21" s="108" t="str">
        <f>Data!B19</f>
        <v>MOHAMMED KALA JUNIOR</v>
      </c>
      <c r="CI21" s="109"/>
      <c r="CJ21" s="109"/>
      <c r="CK21" s="109"/>
      <c r="CL21" s="109"/>
      <c r="CM21" s="122">
        <f t="shared" si="36"/>
        <v>0</v>
      </c>
      <c r="CN21" s="122"/>
      <c r="CO21" s="122">
        <f t="shared" si="37"/>
        <v>0</v>
      </c>
      <c r="CP21" s="122" t="str">
        <f t="shared" si="38"/>
        <v/>
      </c>
      <c r="CQ21" s="122" t="str">
        <f t="shared" si="39"/>
        <v/>
      </c>
      <c r="CR21" s="122" t="str">
        <f t="shared" si="40"/>
        <v/>
      </c>
      <c r="CS21">
        <v>18</v>
      </c>
      <c r="CT21" s="108" t="str">
        <f>Data!B19</f>
        <v>MOHAMMED KALA JUNIOR</v>
      </c>
      <c r="CU21" s="43"/>
      <c r="CV21" s="43"/>
      <c r="CW21" s="43"/>
      <c r="CX21" s="43"/>
      <c r="CY21" s="123">
        <f t="shared" si="41"/>
        <v>0</v>
      </c>
      <c r="CZ21" s="43"/>
      <c r="DA21" s="123">
        <f t="shared" si="42"/>
        <v>0</v>
      </c>
      <c r="DB21" s="123" t="str">
        <f t="shared" si="43"/>
        <v/>
      </c>
      <c r="DC21" s="123" t="str">
        <f t="shared" si="44"/>
        <v/>
      </c>
      <c r="DD21" s="123" t="str">
        <f t="shared" si="45"/>
        <v/>
      </c>
      <c r="DE21">
        <v>18</v>
      </c>
      <c r="DF21" s="108" t="str">
        <f>Data!B19</f>
        <v>MOHAMMED KALA JUNIOR</v>
      </c>
      <c r="DG21" s="109"/>
      <c r="DH21" s="109"/>
      <c r="DI21" s="109"/>
      <c r="DJ21" s="109"/>
      <c r="DK21" s="117">
        <f t="shared" si="46"/>
        <v>0</v>
      </c>
      <c r="DL21" s="116"/>
      <c r="DM21" s="117">
        <f t="shared" si="47"/>
        <v>0</v>
      </c>
      <c r="DN21" s="117" t="str">
        <f t="shared" si="48"/>
        <v/>
      </c>
      <c r="DO21" s="117" t="str">
        <f t="shared" si="49"/>
        <v/>
      </c>
      <c r="DP21" s="117" t="str">
        <f t="shared" si="50"/>
        <v/>
      </c>
      <c r="DQ21">
        <v>18</v>
      </c>
      <c r="DR21" s="108" t="str">
        <f>Data!B19</f>
        <v>MOHAMMED KALA JUNIOR</v>
      </c>
      <c r="DS21" s="124"/>
      <c r="DT21" s="124"/>
      <c r="DU21" s="124"/>
      <c r="DV21" s="124"/>
      <c r="DW21" s="125">
        <f t="shared" si="51"/>
        <v>0</v>
      </c>
      <c r="DX21" s="126"/>
      <c r="DY21" s="125">
        <f t="shared" si="52"/>
        <v>0</v>
      </c>
      <c r="DZ21" s="125" t="str">
        <f t="shared" si="53"/>
        <v/>
      </c>
      <c r="EA21" s="125" t="str">
        <f t="shared" si="54"/>
        <v/>
      </c>
      <c r="EB21" s="125" t="str">
        <f t="shared" si="55"/>
        <v/>
      </c>
      <c r="EC21">
        <v>18</v>
      </c>
      <c r="ED21" s="108" t="str">
        <f>Data!B19</f>
        <v>MOHAMMED KALA JUNIOR</v>
      </c>
      <c r="EE21" s="109"/>
      <c r="EF21" s="109"/>
      <c r="EG21" s="109"/>
      <c r="EH21" s="109"/>
      <c r="EI21" s="127">
        <f t="shared" si="56"/>
        <v>0</v>
      </c>
      <c r="EJ21" s="127"/>
      <c r="EK21" s="127">
        <f t="shared" si="57"/>
        <v>0</v>
      </c>
      <c r="EL21" s="127" t="str">
        <f t="shared" si="58"/>
        <v/>
      </c>
      <c r="EM21" s="127" t="str">
        <f t="shared" si="59"/>
        <v/>
      </c>
      <c r="EN21" s="127" t="str">
        <f t="shared" si="60"/>
        <v/>
      </c>
      <c r="EO21">
        <v>18</v>
      </c>
      <c r="EP21" s="128" t="str">
        <f>Data!B19</f>
        <v>MOHAMMED KALA JUNIOR</v>
      </c>
      <c r="EQ21" s="109"/>
      <c r="ER21" s="109"/>
      <c r="ES21" s="109"/>
      <c r="ET21" s="109"/>
      <c r="EU21" s="123">
        <f t="shared" si="61"/>
        <v>0</v>
      </c>
      <c r="EV21" s="123"/>
      <c r="EW21" s="123">
        <f t="shared" si="62"/>
        <v>0</v>
      </c>
      <c r="EX21" s="123" t="str">
        <f t="shared" si="63"/>
        <v/>
      </c>
      <c r="EY21" s="123" t="str">
        <f t="shared" si="64"/>
        <v/>
      </c>
      <c r="EZ21" s="123" t="str">
        <f t="shared" si="65"/>
        <v/>
      </c>
      <c r="FA21">
        <v>18</v>
      </c>
      <c r="FB21" s="108" t="str">
        <f>Data!B19</f>
        <v>MOHAMMED KALA JUNIOR</v>
      </c>
      <c r="FC21" s="109"/>
      <c r="FD21" s="109"/>
      <c r="FE21" s="109"/>
      <c r="FF21" s="109"/>
      <c r="FG21" s="129">
        <f t="shared" si="66"/>
        <v>0</v>
      </c>
      <c r="FH21" s="129"/>
      <c r="FI21" s="129">
        <f t="shared" si="67"/>
        <v>0</v>
      </c>
      <c r="FJ21" s="129" t="str">
        <f t="shared" si="68"/>
        <v/>
      </c>
      <c r="FK21" s="129" t="str">
        <f t="shared" si="69"/>
        <v/>
      </c>
      <c r="FL21" s="129" t="str">
        <f t="shared" si="70"/>
        <v/>
      </c>
      <c r="FM21">
        <v>18</v>
      </c>
      <c r="FN21" s="108" t="str">
        <f>Data!B19</f>
        <v>MOHAMMED KALA JUNIOR</v>
      </c>
      <c r="FO21" s="109"/>
      <c r="FP21" s="109"/>
      <c r="FQ21" s="109"/>
      <c r="FR21" s="109"/>
      <c r="FS21" s="130">
        <f t="shared" si="71"/>
        <v>0</v>
      </c>
      <c r="FT21" s="130"/>
      <c r="FU21" s="130">
        <f t="shared" si="72"/>
        <v>0</v>
      </c>
      <c r="FV21" s="130" t="str">
        <f t="shared" si="73"/>
        <v/>
      </c>
      <c r="FW21" s="130" t="str">
        <f t="shared" si="74"/>
        <v/>
      </c>
      <c r="FX21" s="130" t="str">
        <f t="shared" si="75"/>
        <v/>
      </c>
      <c r="FY21">
        <v>18</v>
      </c>
      <c r="FZ21" s="108" t="str">
        <f>Data!B19</f>
        <v>MOHAMMED KALA JUNIOR</v>
      </c>
      <c r="GA21" s="109">
        <v>8</v>
      </c>
      <c r="GB21" s="109">
        <v>9</v>
      </c>
      <c r="GC21" s="109">
        <v>8</v>
      </c>
      <c r="GD21" s="109">
        <v>9</v>
      </c>
      <c r="GE21" s="131">
        <f t="shared" si="76"/>
        <v>34</v>
      </c>
      <c r="GF21" s="131">
        <v>42</v>
      </c>
      <c r="GG21" s="131">
        <f t="shared" si="77"/>
        <v>76</v>
      </c>
      <c r="GH21" s="131">
        <f t="shared" si="78"/>
        <v>2</v>
      </c>
      <c r="GI21" s="131" t="str">
        <f t="shared" si="79"/>
        <v>A</v>
      </c>
      <c r="GJ21" s="131" t="str">
        <f t="shared" si="80"/>
        <v>Excellent</v>
      </c>
      <c r="GK21">
        <v>18</v>
      </c>
      <c r="GL21" s="108" t="str">
        <f>Data!B19</f>
        <v>MOHAMMED KALA JUNIOR</v>
      </c>
      <c r="GM21" s="132"/>
      <c r="GN21" s="132"/>
      <c r="GO21" s="132"/>
      <c r="GP21" s="132"/>
      <c r="GQ21" s="133">
        <f t="shared" si="81"/>
        <v>0</v>
      </c>
      <c r="GR21" s="132"/>
      <c r="GS21" s="133">
        <f t="shared" si="82"/>
        <v>0</v>
      </c>
      <c r="GT21" s="133" t="str">
        <f t="shared" si="83"/>
        <v/>
      </c>
      <c r="GU21" s="133" t="str">
        <f t="shared" si="84"/>
        <v/>
      </c>
      <c r="GV21" s="133" t="str">
        <f t="shared" si="85"/>
        <v/>
      </c>
      <c r="GW21">
        <v>18</v>
      </c>
      <c r="GX21" s="108" t="str">
        <f>Data!B19</f>
        <v>MOHAMMED KALA JUNIOR</v>
      </c>
      <c r="GY21" s="109">
        <v>10</v>
      </c>
      <c r="GZ21" s="109">
        <v>10</v>
      </c>
      <c r="HA21" s="109">
        <v>10</v>
      </c>
      <c r="HB21" s="109">
        <v>9</v>
      </c>
      <c r="HC21" s="119">
        <f t="shared" si="86"/>
        <v>39</v>
      </c>
      <c r="HD21" s="119"/>
      <c r="HE21" s="119">
        <f t="shared" si="87"/>
        <v>39</v>
      </c>
      <c r="HF21" s="119">
        <f t="shared" si="88"/>
        <v>2</v>
      </c>
      <c r="HG21" s="119" t="str">
        <f t="shared" si="89"/>
        <v>F</v>
      </c>
      <c r="HH21" s="119" t="str">
        <f t="shared" si="90"/>
        <v>Fail</v>
      </c>
      <c r="HI21">
        <v>18</v>
      </c>
      <c r="HJ21" s="108" t="str">
        <f>Data!B19</f>
        <v>MOHAMMED KALA JUNIOR</v>
      </c>
      <c r="HK21" s="144"/>
      <c r="HL21" s="145"/>
      <c r="HM21" s="145"/>
      <c r="HN21" s="145"/>
      <c r="HO21" s="136">
        <f t="shared" si="91"/>
        <v>0</v>
      </c>
      <c r="HP21" s="144"/>
      <c r="HQ21" s="136">
        <f t="shared" si="92"/>
        <v>0</v>
      </c>
      <c r="HR21" s="136" t="str">
        <f t="shared" si="93"/>
        <v/>
      </c>
      <c r="HS21" s="136" t="str">
        <f t="shared" si="94"/>
        <v/>
      </c>
      <c r="HT21" s="136" t="str">
        <f t="shared" si="95"/>
        <v/>
      </c>
      <c r="HU21">
        <v>18</v>
      </c>
      <c r="HV21" s="108" t="str">
        <f>Data!B19</f>
        <v>MOHAMMED KALA JUNIOR</v>
      </c>
      <c r="HW21" s="109"/>
      <c r="HX21" s="109"/>
      <c r="HY21" s="109"/>
      <c r="HZ21" s="109"/>
      <c r="IA21" s="117">
        <f t="shared" si="96"/>
        <v>0</v>
      </c>
      <c r="IB21" s="117"/>
      <c r="IC21" s="117">
        <f t="shared" si="97"/>
        <v>0</v>
      </c>
      <c r="ID21" s="117" t="str">
        <f t="shared" si="98"/>
        <v/>
      </c>
      <c r="IE21" s="117" t="str">
        <f t="shared" si="99"/>
        <v/>
      </c>
      <c r="IF21" s="117" t="str">
        <f t="shared" si="100"/>
        <v/>
      </c>
      <c r="IG21">
        <v>18</v>
      </c>
      <c r="IH21" s="108" t="str">
        <f>Data!B19</f>
        <v>MOHAMMED KALA JUNIOR</v>
      </c>
      <c r="II21" s="109"/>
      <c r="IJ21" s="109"/>
      <c r="IK21" s="109"/>
      <c r="IL21" s="109"/>
      <c r="IM21" s="137">
        <f t="shared" si="101"/>
        <v>0</v>
      </c>
      <c r="IN21" s="137"/>
      <c r="IO21" s="137">
        <f t="shared" si="102"/>
        <v>0</v>
      </c>
      <c r="IP21" s="137" t="str">
        <f t="shared" si="103"/>
        <v/>
      </c>
      <c r="IQ21" s="137" t="str">
        <f t="shared" si="104"/>
        <v/>
      </c>
      <c r="IR21" s="137" t="str">
        <f t="shared" si="105"/>
        <v/>
      </c>
      <c r="IS21">
        <v>18</v>
      </c>
      <c r="IT21" s="108" t="str">
        <f t="shared" si="106"/>
        <v>MOHAMMED KALA JUNIOR</v>
      </c>
      <c r="IU21" s="110">
        <v>10</v>
      </c>
      <c r="IV21" s="110">
        <v>5</v>
      </c>
      <c r="IW21" s="110">
        <v>10</v>
      </c>
      <c r="IX21" s="110">
        <v>10</v>
      </c>
      <c r="IY21" s="111">
        <f t="shared" si="107"/>
        <v>35</v>
      </c>
      <c r="IZ21" s="113">
        <v>42</v>
      </c>
      <c r="JA21" s="131">
        <f t="shared" si="108"/>
        <v>77</v>
      </c>
      <c r="JB21" s="131">
        <f t="shared" si="109"/>
        <v>1</v>
      </c>
      <c r="JC21" s="131" t="str">
        <f t="shared" si="110"/>
        <v>A</v>
      </c>
      <c r="JD21" s="131" t="str">
        <f t="shared" si="111"/>
        <v>Excellent</v>
      </c>
      <c r="JE21">
        <v>18</v>
      </c>
      <c r="JF21" s="108" t="str">
        <f t="shared" si="112"/>
        <v>MOHAMMED KALA JUNIOR</v>
      </c>
      <c r="JG21" s="147"/>
      <c r="JH21" s="147"/>
      <c r="JI21" s="147"/>
      <c r="JJ21" s="147"/>
      <c r="JK21" s="113">
        <f t="shared" si="113"/>
        <v>0</v>
      </c>
      <c r="JL21" s="147"/>
      <c r="JM21" s="113">
        <f t="shared" si="114"/>
        <v>0</v>
      </c>
      <c r="JN21" s="113" t="str">
        <f t="shared" si="115"/>
        <v/>
      </c>
      <c r="JO21" s="113" t="str">
        <f t="shared" si="116"/>
        <v/>
      </c>
      <c r="JP21" s="113" t="str">
        <f t="shared" si="117"/>
        <v/>
      </c>
      <c r="JQ21">
        <v>18</v>
      </c>
      <c r="JR21" s="108" t="str">
        <f t="shared" si="118"/>
        <v>MOHAMMED KALA JUNIOR</v>
      </c>
      <c r="JS21" s="140"/>
      <c r="JT21" s="140"/>
      <c r="JU21" s="140"/>
      <c r="JV21" s="140"/>
      <c r="JW21" s="111">
        <f t="shared" si="119"/>
        <v>0</v>
      </c>
      <c r="JX21" s="141"/>
      <c r="JY21" s="111">
        <f t="shared" si="0"/>
        <v>0</v>
      </c>
      <c r="JZ21" s="111" t="str">
        <f t="shared" si="120"/>
        <v/>
      </c>
      <c r="KA21" s="111" t="str">
        <f t="shared" si="121"/>
        <v/>
      </c>
      <c r="KB21" s="111" t="str">
        <f t="shared" si="122"/>
        <v/>
      </c>
      <c r="KD21" s="47"/>
      <c r="KE21" s="47"/>
      <c r="KF21" s="47"/>
      <c r="KG21" s="47"/>
      <c r="KH21" s="47"/>
      <c r="KI21" s="47"/>
      <c r="KJ21" s="47"/>
      <c r="KK21" s="47"/>
      <c r="KM21" s="47"/>
      <c r="KN21" s="47"/>
      <c r="KO21" s="47"/>
      <c r="KP21" s="47"/>
      <c r="KQ21" s="47"/>
      <c r="KR21" s="47"/>
      <c r="KS21" s="47"/>
      <c r="KT21" s="47"/>
      <c r="KU21" s="47"/>
      <c r="KV21" s="47"/>
    </row>
    <row r="22" spans="1:308" ht="23.25">
      <c r="A22" s="211">
        <v>19</v>
      </c>
      <c r="B22" s="108" t="str">
        <f>Data!B20</f>
        <v>MUSTAPHA NGABURA LAMINU</v>
      </c>
      <c r="C22" s="109">
        <v>9</v>
      </c>
      <c r="D22" s="109">
        <v>1</v>
      </c>
      <c r="E22" s="109">
        <v>1</v>
      </c>
      <c r="F22" s="109">
        <v>2</v>
      </c>
      <c r="G22" s="111">
        <f t="shared" si="123"/>
        <v>13</v>
      </c>
      <c r="H22" s="111">
        <v>25</v>
      </c>
      <c r="I22" s="111">
        <f t="shared" si="2"/>
        <v>38</v>
      </c>
      <c r="J22" s="110">
        <f t="shared" si="3"/>
        <v>25</v>
      </c>
      <c r="K22" s="110" t="str">
        <f t="shared" si="4"/>
        <v>F</v>
      </c>
      <c r="L22" s="110" t="str">
        <f t="shared" si="5"/>
        <v>Fail</v>
      </c>
      <c r="M22" s="48">
        <v>19</v>
      </c>
      <c r="N22" s="108" t="str">
        <f>Data!B20</f>
        <v>MUSTAPHA NGABURA LAMINU</v>
      </c>
      <c r="O22" s="109">
        <v>9</v>
      </c>
      <c r="P22" s="109">
        <v>1</v>
      </c>
      <c r="Q22" s="109">
        <v>1</v>
      </c>
      <c r="R22" s="109">
        <v>2</v>
      </c>
      <c r="S22" s="111">
        <f t="shared" si="6"/>
        <v>13</v>
      </c>
      <c r="T22" s="111">
        <v>25</v>
      </c>
      <c r="U22" s="111">
        <f t="shared" si="7"/>
        <v>38</v>
      </c>
      <c r="V22" s="111">
        <f t="shared" si="8"/>
        <v>16</v>
      </c>
      <c r="W22" s="111" t="str">
        <f t="shared" si="9"/>
        <v>F</v>
      </c>
      <c r="X22" s="111" t="str">
        <f t="shared" si="10"/>
        <v>Fail</v>
      </c>
      <c r="Y22" s="42">
        <v>19</v>
      </c>
      <c r="Z22" s="108" t="str">
        <f>Data!B20</f>
        <v>MUSTAPHA NGABURA LAMINU</v>
      </c>
      <c r="AA22" s="109">
        <v>9</v>
      </c>
      <c r="AB22" s="109">
        <v>1</v>
      </c>
      <c r="AC22" s="109">
        <v>1</v>
      </c>
      <c r="AD22" s="109">
        <v>2</v>
      </c>
      <c r="AE22" s="111">
        <f t="shared" si="11"/>
        <v>13</v>
      </c>
      <c r="AF22" s="112">
        <v>42</v>
      </c>
      <c r="AG22" s="113">
        <f t="shared" si="12"/>
        <v>55</v>
      </c>
      <c r="AH22" s="113">
        <f t="shared" si="13"/>
        <v>25</v>
      </c>
      <c r="AI22" s="113" t="str">
        <f t="shared" si="14"/>
        <v>C5</v>
      </c>
      <c r="AJ22" s="113" t="str">
        <f t="shared" si="15"/>
        <v>Credit</v>
      </c>
      <c r="AK22" s="42">
        <v>19</v>
      </c>
      <c r="AL22" s="108" t="str">
        <f>Data!B20</f>
        <v>MUSTAPHA NGABURA LAMINU</v>
      </c>
      <c r="AM22" s="114"/>
      <c r="AN22" s="114"/>
      <c r="AO22" s="114"/>
      <c r="AP22" s="114"/>
      <c r="AQ22" s="115">
        <f t="shared" si="16"/>
        <v>0</v>
      </c>
      <c r="AR22" s="114"/>
      <c r="AS22" s="115">
        <f t="shared" si="17"/>
        <v>0</v>
      </c>
      <c r="AT22" s="115" t="str">
        <f t="shared" si="18"/>
        <v/>
      </c>
      <c r="AU22" s="115" t="str">
        <f t="shared" si="19"/>
        <v/>
      </c>
      <c r="AV22" s="115" t="str">
        <f t="shared" si="20"/>
        <v/>
      </c>
      <c r="AW22" s="42">
        <v>19</v>
      </c>
      <c r="AX22" s="108" t="str">
        <f>Data!B20</f>
        <v>MUSTAPHA NGABURA LAMINU</v>
      </c>
      <c r="AY22" s="116"/>
      <c r="AZ22" s="116"/>
      <c r="BA22" s="116"/>
      <c r="BB22" s="116"/>
      <c r="BC22" s="117">
        <f t="shared" si="21"/>
        <v>0</v>
      </c>
      <c r="BD22" s="116"/>
      <c r="BE22" s="117">
        <f t="shared" si="22"/>
        <v>0</v>
      </c>
      <c r="BF22" s="117" t="str">
        <f t="shared" si="23"/>
        <v/>
      </c>
      <c r="BG22" s="117" t="str">
        <f t="shared" si="24"/>
        <v/>
      </c>
      <c r="BH22" s="117" t="str">
        <f t="shared" si="25"/>
        <v/>
      </c>
      <c r="BI22" s="67">
        <v>19</v>
      </c>
      <c r="BJ22" s="108" t="str">
        <f>Data!B20</f>
        <v>MUSTAPHA NGABURA LAMINU</v>
      </c>
      <c r="BK22" s="110">
        <v>9</v>
      </c>
      <c r="BL22" s="110">
        <v>1</v>
      </c>
      <c r="BM22" s="110">
        <v>1</v>
      </c>
      <c r="BN22" s="110">
        <v>2</v>
      </c>
      <c r="BO22" s="111">
        <f t="shared" si="26"/>
        <v>13</v>
      </c>
      <c r="BP22" s="113">
        <v>42</v>
      </c>
      <c r="BQ22" s="119">
        <f t="shared" si="27"/>
        <v>55</v>
      </c>
      <c r="BR22" s="119">
        <f t="shared" si="28"/>
        <v>17</v>
      </c>
      <c r="BS22" s="119" t="str">
        <f t="shared" si="29"/>
        <v>C5</v>
      </c>
      <c r="BT22" s="119" t="str">
        <f t="shared" si="30"/>
        <v>Credit</v>
      </c>
      <c r="BU22">
        <v>19</v>
      </c>
      <c r="BV22" s="108" t="str">
        <f>Data!B20</f>
        <v>MUSTAPHA NGABURA LAMINU</v>
      </c>
      <c r="BW22" s="120">
        <v>8</v>
      </c>
      <c r="BX22" s="120">
        <v>3</v>
      </c>
      <c r="BY22" s="120">
        <v>9</v>
      </c>
      <c r="BZ22" s="120">
        <v>8</v>
      </c>
      <c r="CA22" s="121">
        <f t="shared" si="31"/>
        <v>28</v>
      </c>
      <c r="CB22" s="120">
        <v>23</v>
      </c>
      <c r="CC22" s="121">
        <f t="shared" si="32"/>
        <v>51</v>
      </c>
      <c r="CD22" s="121">
        <f t="shared" si="33"/>
        <v>19</v>
      </c>
      <c r="CE22" s="121" t="str">
        <f t="shared" si="34"/>
        <v>C6</v>
      </c>
      <c r="CF22" s="121" t="str">
        <f t="shared" si="35"/>
        <v>Credit</v>
      </c>
      <c r="CG22">
        <v>19</v>
      </c>
      <c r="CH22" s="108" t="str">
        <f>Data!B20</f>
        <v>MUSTAPHA NGABURA LAMINU</v>
      </c>
      <c r="CI22" s="109"/>
      <c r="CJ22" s="109"/>
      <c r="CK22" s="109"/>
      <c r="CL22" s="109"/>
      <c r="CM22" s="122">
        <f t="shared" si="36"/>
        <v>0</v>
      </c>
      <c r="CN22" s="122"/>
      <c r="CO22" s="122">
        <f t="shared" si="37"/>
        <v>0</v>
      </c>
      <c r="CP22" s="122" t="str">
        <f t="shared" si="38"/>
        <v/>
      </c>
      <c r="CQ22" s="122" t="str">
        <f t="shared" si="39"/>
        <v/>
      </c>
      <c r="CR22" s="122" t="str">
        <f t="shared" si="40"/>
        <v/>
      </c>
      <c r="CS22">
        <v>19</v>
      </c>
      <c r="CT22" s="108" t="str">
        <f>Data!B20</f>
        <v>MUSTAPHA NGABURA LAMINU</v>
      </c>
      <c r="CU22" s="43"/>
      <c r="CV22" s="43"/>
      <c r="CW22" s="43"/>
      <c r="CX22" s="43"/>
      <c r="CY22" s="123">
        <f t="shared" si="41"/>
        <v>0</v>
      </c>
      <c r="CZ22" s="43"/>
      <c r="DA22" s="123">
        <f t="shared" si="42"/>
        <v>0</v>
      </c>
      <c r="DB22" s="123" t="str">
        <f t="shared" si="43"/>
        <v/>
      </c>
      <c r="DC22" s="123" t="str">
        <f t="shared" si="44"/>
        <v/>
      </c>
      <c r="DD22" s="123" t="str">
        <f t="shared" si="45"/>
        <v/>
      </c>
      <c r="DE22">
        <v>19</v>
      </c>
      <c r="DF22" s="108" t="str">
        <f>Data!B20</f>
        <v>MUSTAPHA NGABURA LAMINU</v>
      </c>
      <c r="DG22" s="109">
        <v>5</v>
      </c>
      <c r="DH22" s="109">
        <v>1</v>
      </c>
      <c r="DI22" s="109">
        <v>2</v>
      </c>
      <c r="DJ22" s="109">
        <v>5</v>
      </c>
      <c r="DK22" s="117">
        <f t="shared" si="46"/>
        <v>13</v>
      </c>
      <c r="DL22" s="116">
        <v>22</v>
      </c>
      <c r="DM22" s="117">
        <f t="shared" si="47"/>
        <v>35</v>
      </c>
      <c r="DN22" s="117">
        <f t="shared" si="48"/>
        <v>9</v>
      </c>
      <c r="DO22" s="117" t="str">
        <f t="shared" si="49"/>
        <v>F</v>
      </c>
      <c r="DP22" s="117" t="str">
        <f t="shared" si="50"/>
        <v>Fail</v>
      </c>
      <c r="DQ22">
        <v>19</v>
      </c>
      <c r="DR22" s="108" t="str">
        <f>Data!B20</f>
        <v>MUSTAPHA NGABURA LAMINU</v>
      </c>
      <c r="DS22" s="124"/>
      <c r="DT22" s="124"/>
      <c r="DU22" s="124"/>
      <c r="DV22" s="124"/>
      <c r="DW22" s="125">
        <f t="shared" si="51"/>
        <v>0</v>
      </c>
      <c r="DX22" s="126"/>
      <c r="DY22" s="125">
        <f t="shared" si="52"/>
        <v>0</v>
      </c>
      <c r="DZ22" s="125" t="str">
        <f t="shared" si="53"/>
        <v/>
      </c>
      <c r="EA22" s="125" t="str">
        <f t="shared" si="54"/>
        <v/>
      </c>
      <c r="EB22" s="125" t="str">
        <f t="shared" si="55"/>
        <v/>
      </c>
      <c r="EC22">
        <v>19</v>
      </c>
      <c r="ED22" s="108" t="str">
        <f>Data!B20</f>
        <v>MUSTAPHA NGABURA LAMINU</v>
      </c>
      <c r="EE22" s="109"/>
      <c r="EF22" s="109"/>
      <c r="EG22" s="109"/>
      <c r="EH22" s="109"/>
      <c r="EI22" s="127">
        <f t="shared" si="56"/>
        <v>0</v>
      </c>
      <c r="EJ22" s="127"/>
      <c r="EK22" s="127">
        <f t="shared" si="57"/>
        <v>0</v>
      </c>
      <c r="EL22" s="127" t="str">
        <f t="shared" si="58"/>
        <v/>
      </c>
      <c r="EM22" s="127" t="str">
        <f t="shared" si="59"/>
        <v/>
      </c>
      <c r="EN22" s="127" t="str">
        <f t="shared" si="60"/>
        <v/>
      </c>
      <c r="EO22">
        <v>19</v>
      </c>
      <c r="EP22" s="128" t="str">
        <f>Data!B20</f>
        <v>MUSTAPHA NGABURA LAMINU</v>
      </c>
      <c r="EQ22" s="109"/>
      <c r="ER22" s="109"/>
      <c r="ES22" s="109"/>
      <c r="ET22" s="109"/>
      <c r="EU22" s="123">
        <f t="shared" si="61"/>
        <v>0</v>
      </c>
      <c r="EV22" s="123"/>
      <c r="EW22" s="123">
        <f t="shared" si="62"/>
        <v>0</v>
      </c>
      <c r="EX22" s="123" t="str">
        <f t="shared" si="63"/>
        <v/>
      </c>
      <c r="EY22" s="123" t="str">
        <f t="shared" si="64"/>
        <v/>
      </c>
      <c r="EZ22" s="123" t="str">
        <f t="shared" si="65"/>
        <v/>
      </c>
      <c r="FA22">
        <v>19</v>
      </c>
      <c r="FB22" s="108" t="str">
        <f>Data!B20</f>
        <v>MUSTAPHA NGABURA LAMINU</v>
      </c>
      <c r="FC22" s="109"/>
      <c r="FD22" s="109"/>
      <c r="FE22" s="109"/>
      <c r="FF22" s="109"/>
      <c r="FG22" s="129">
        <f t="shared" si="66"/>
        <v>0</v>
      </c>
      <c r="FH22" s="129"/>
      <c r="FI22" s="129">
        <f t="shared" si="67"/>
        <v>0</v>
      </c>
      <c r="FJ22" s="129" t="str">
        <f t="shared" si="68"/>
        <v/>
      </c>
      <c r="FK22" s="129" t="str">
        <f t="shared" si="69"/>
        <v/>
      </c>
      <c r="FL22" s="129" t="str">
        <f t="shared" si="70"/>
        <v/>
      </c>
      <c r="FM22">
        <v>19</v>
      </c>
      <c r="FN22" s="108" t="str">
        <f>Data!B20</f>
        <v>MUSTAPHA NGABURA LAMINU</v>
      </c>
      <c r="FO22" s="109"/>
      <c r="FP22" s="109"/>
      <c r="FQ22" s="109"/>
      <c r="FR22" s="109"/>
      <c r="FS22" s="130">
        <f t="shared" si="71"/>
        <v>0</v>
      </c>
      <c r="FT22" s="130"/>
      <c r="FU22" s="130">
        <f t="shared" si="72"/>
        <v>0</v>
      </c>
      <c r="FV22" s="130" t="str">
        <f t="shared" si="73"/>
        <v/>
      </c>
      <c r="FW22" s="130" t="str">
        <f t="shared" si="74"/>
        <v/>
      </c>
      <c r="FX22" s="130" t="str">
        <f t="shared" si="75"/>
        <v/>
      </c>
      <c r="FY22">
        <v>19</v>
      </c>
      <c r="FZ22" s="108" t="str">
        <f>Data!B20</f>
        <v>MUSTAPHA NGABURA LAMINU</v>
      </c>
      <c r="GA22" s="109">
        <v>3</v>
      </c>
      <c r="GB22" s="109">
        <v>7</v>
      </c>
      <c r="GC22" s="109">
        <v>8</v>
      </c>
      <c r="GD22" s="109">
        <v>7</v>
      </c>
      <c r="GE22" s="131">
        <f t="shared" si="76"/>
        <v>25</v>
      </c>
      <c r="GF22" s="131">
        <v>24</v>
      </c>
      <c r="GG22" s="131">
        <f t="shared" si="77"/>
        <v>49</v>
      </c>
      <c r="GH22" s="131">
        <f t="shared" si="78"/>
        <v>32</v>
      </c>
      <c r="GI22" s="131" t="str">
        <f t="shared" si="79"/>
        <v>D</v>
      </c>
      <c r="GJ22" s="131" t="str">
        <f t="shared" si="80"/>
        <v>Pass</v>
      </c>
      <c r="GK22">
        <v>19</v>
      </c>
      <c r="GL22" s="108" t="str">
        <f>Data!B20</f>
        <v>MUSTAPHA NGABURA LAMINU</v>
      </c>
      <c r="GM22" s="132"/>
      <c r="GN22" s="132"/>
      <c r="GO22" s="132"/>
      <c r="GP22" s="132"/>
      <c r="GQ22" s="133">
        <f t="shared" si="81"/>
        <v>0</v>
      </c>
      <c r="GR22" s="132"/>
      <c r="GS22" s="133">
        <f t="shared" si="82"/>
        <v>0</v>
      </c>
      <c r="GT22" s="133" t="str">
        <f t="shared" si="83"/>
        <v/>
      </c>
      <c r="GU22" s="133" t="str">
        <f t="shared" si="84"/>
        <v/>
      </c>
      <c r="GV22" s="133" t="str">
        <f t="shared" si="85"/>
        <v/>
      </c>
      <c r="GW22">
        <v>19</v>
      </c>
      <c r="GX22" s="108" t="str">
        <f>Data!B20</f>
        <v>MUSTAPHA NGABURA LAMINU</v>
      </c>
      <c r="GY22" s="109"/>
      <c r="GZ22" s="109"/>
      <c r="HA22" s="109"/>
      <c r="HB22" s="109"/>
      <c r="HC22" s="119">
        <f t="shared" si="86"/>
        <v>0</v>
      </c>
      <c r="HD22" s="119"/>
      <c r="HE22" s="119">
        <f t="shared" si="87"/>
        <v>0</v>
      </c>
      <c r="HF22" s="119" t="str">
        <f t="shared" si="88"/>
        <v/>
      </c>
      <c r="HG22" s="119" t="str">
        <f t="shared" si="89"/>
        <v/>
      </c>
      <c r="HH22" s="119" t="str">
        <f t="shared" si="90"/>
        <v/>
      </c>
      <c r="HI22">
        <v>19</v>
      </c>
      <c r="HJ22" s="108" t="str">
        <f>Data!B20</f>
        <v>MUSTAPHA NGABURA LAMINU</v>
      </c>
      <c r="HK22" s="144"/>
      <c r="HL22" s="145"/>
      <c r="HM22" s="145"/>
      <c r="HN22" s="145"/>
      <c r="HO22" s="136">
        <f t="shared" si="91"/>
        <v>0</v>
      </c>
      <c r="HP22" s="144"/>
      <c r="HQ22" s="136">
        <f t="shared" si="92"/>
        <v>0</v>
      </c>
      <c r="HR22" s="136" t="str">
        <f t="shared" si="93"/>
        <v/>
      </c>
      <c r="HS22" s="136" t="str">
        <f t="shared" si="94"/>
        <v/>
      </c>
      <c r="HT22" s="136" t="str">
        <f t="shared" si="95"/>
        <v/>
      </c>
      <c r="HU22">
        <v>19</v>
      </c>
      <c r="HV22" s="108" t="str">
        <f>Data!B20</f>
        <v>MUSTAPHA NGABURA LAMINU</v>
      </c>
      <c r="HW22" s="109"/>
      <c r="HX22" s="109"/>
      <c r="HY22" s="109"/>
      <c r="HZ22" s="109"/>
      <c r="IA22" s="117">
        <f t="shared" si="96"/>
        <v>0</v>
      </c>
      <c r="IB22" s="117"/>
      <c r="IC22" s="117">
        <f t="shared" si="97"/>
        <v>0</v>
      </c>
      <c r="ID22" s="117" t="str">
        <f t="shared" si="98"/>
        <v/>
      </c>
      <c r="IE22" s="117" t="str">
        <f t="shared" si="99"/>
        <v/>
      </c>
      <c r="IF22" s="117" t="str">
        <f t="shared" si="100"/>
        <v/>
      </c>
      <c r="IG22">
        <v>19</v>
      </c>
      <c r="IH22" s="108" t="str">
        <f>Data!B20</f>
        <v>MUSTAPHA NGABURA LAMINU</v>
      </c>
      <c r="II22" s="109"/>
      <c r="IJ22" s="109"/>
      <c r="IK22" s="109"/>
      <c r="IL22" s="109"/>
      <c r="IM22" s="137">
        <f t="shared" si="101"/>
        <v>0</v>
      </c>
      <c r="IN22" s="137"/>
      <c r="IO22" s="137">
        <f t="shared" si="102"/>
        <v>0</v>
      </c>
      <c r="IP22" s="137" t="str">
        <f t="shared" si="103"/>
        <v/>
      </c>
      <c r="IQ22" s="137" t="str">
        <f t="shared" si="104"/>
        <v/>
      </c>
      <c r="IR22" s="137" t="str">
        <f t="shared" si="105"/>
        <v/>
      </c>
      <c r="IS22">
        <v>19</v>
      </c>
      <c r="IT22" s="108" t="str">
        <f t="shared" si="106"/>
        <v>MUSTAPHA NGABURA LAMINU</v>
      </c>
      <c r="IU22" s="110">
        <v>9</v>
      </c>
      <c r="IV22" s="110">
        <v>1</v>
      </c>
      <c r="IW22" s="110">
        <v>1</v>
      </c>
      <c r="IX22" s="110">
        <v>2</v>
      </c>
      <c r="IY22" s="111">
        <f t="shared" si="107"/>
        <v>13</v>
      </c>
      <c r="IZ22" s="113">
        <v>42</v>
      </c>
      <c r="JA22" s="131">
        <f t="shared" si="108"/>
        <v>55</v>
      </c>
      <c r="JB22" s="131">
        <f t="shared" si="109"/>
        <v>17</v>
      </c>
      <c r="JC22" s="131" t="str">
        <f t="shared" si="110"/>
        <v>C</v>
      </c>
      <c r="JD22" s="131" t="str">
        <f t="shared" si="111"/>
        <v>Credit</v>
      </c>
      <c r="JE22">
        <v>19</v>
      </c>
      <c r="JF22" s="108" t="str">
        <f t="shared" si="112"/>
        <v>MUSTAPHA NGABURA LAMINU</v>
      </c>
      <c r="JG22" s="147"/>
      <c r="JH22" s="147"/>
      <c r="JI22" s="147"/>
      <c r="JJ22" s="147"/>
      <c r="JK22" s="113">
        <f t="shared" si="113"/>
        <v>0</v>
      </c>
      <c r="JL22" s="147"/>
      <c r="JM22" s="113">
        <f t="shared" si="114"/>
        <v>0</v>
      </c>
      <c r="JN22" s="113" t="str">
        <f t="shared" si="115"/>
        <v/>
      </c>
      <c r="JO22" s="113" t="str">
        <f t="shared" si="116"/>
        <v/>
      </c>
      <c r="JP22" s="113" t="str">
        <f t="shared" si="117"/>
        <v/>
      </c>
      <c r="JQ22">
        <v>19</v>
      </c>
      <c r="JR22" s="108" t="str">
        <f t="shared" si="118"/>
        <v>MUSTAPHA NGABURA LAMINU</v>
      </c>
      <c r="JS22" s="140"/>
      <c r="JT22" s="140"/>
      <c r="JU22" s="140"/>
      <c r="JV22" s="140"/>
      <c r="JW22" s="111">
        <f t="shared" si="119"/>
        <v>0</v>
      </c>
      <c r="JX22" s="141"/>
      <c r="JY22" s="111">
        <f t="shared" si="0"/>
        <v>0</v>
      </c>
      <c r="JZ22" s="111" t="str">
        <f t="shared" si="120"/>
        <v/>
      </c>
      <c r="KA22" s="111" t="str">
        <f t="shared" si="121"/>
        <v/>
      </c>
      <c r="KB22" s="111" t="str">
        <f t="shared" si="122"/>
        <v/>
      </c>
      <c r="KD22" s="47"/>
      <c r="KE22" s="47"/>
      <c r="KF22" s="47"/>
      <c r="KG22" s="47"/>
      <c r="KH22" s="47"/>
      <c r="KI22" s="47"/>
      <c r="KJ22" s="47"/>
      <c r="KK22" s="47"/>
      <c r="KM22" s="47"/>
      <c r="KN22" s="47"/>
      <c r="KO22" s="47"/>
      <c r="KP22" s="47"/>
      <c r="KQ22" s="47"/>
      <c r="KR22" s="47"/>
      <c r="KS22" s="47"/>
      <c r="KT22" s="47"/>
      <c r="KU22" s="47"/>
      <c r="KV22" s="47"/>
    </row>
    <row r="23" spans="1:308" ht="23.25">
      <c r="A23" s="211">
        <v>20</v>
      </c>
      <c r="B23" s="108" t="str">
        <f>Data!B21</f>
        <v>MOHAMMED ALKALI</v>
      </c>
      <c r="C23" s="109">
        <v>7</v>
      </c>
      <c r="D23" s="109">
        <v>3</v>
      </c>
      <c r="E23" s="109">
        <v>1</v>
      </c>
      <c r="F23" s="109">
        <v>1</v>
      </c>
      <c r="G23" s="111">
        <f t="shared" si="123"/>
        <v>12</v>
      </c>
      <c r="H23" s="111">
        <v>14</v>
      </c>
      <c r="I23" s="111">
        <f t="shared" si="2"/>
        <v>26</v>
      </c>
      <c r="J23" s="110">
        <f t="shared" si="3"/>
        <v>36</v>
      </c>
      <c r="K23" s="110" t="str">
        <f t="shared" si="4"/>
        <v>F</v>
      </c>
      <c r="L23" s="110" t="str">
        <f t="shared" si="5"/>
        <v>Fail</v>
      </c>
      <c r="M23" s="48">
        <v>20</v>
      </c>
      <c r="N23" s="108" t="str">
        <f>Data!B21</f>
        <v>MOHAMMED ALKALI</v>
      </c>
      <c r="O23" s="109">
        <v>7</v>
      </c>
      <c r="P23" s="109">
        <v>3</v>
      </c>
      <c r="Q23" s="109">
        <v>1</v>
      </c>
      <c r="R23" s="109">
        <v>1</v>
      </c>
      <c r="S23" s="111">
        <f t="shared" si="6"/>
        <v>12</v>
      </c>
      <c r="T23" s="111">
        <v>14</v>
      </c>
      <c r="U23" s="111">
        <f t="shared" si="7"/>
        <v>26</v>
      </c>
      <c r="V23" s="111">
        <f t="shared" si="8"/>
        <v>24</v>
      </c>
      <c r="W23" s="111" t="str">
        <f t="shared" si="9"/>
        <v>F</v>
      </c>
      <c r="X23" s="111" t="str">
        <f t="shared" si="10"/>
        <v>Fail</v>
      </c>
      <c r="Y23" s="42">
        <v>20</v>
      </c>
      <c r="Z23" s="108" t="str">
        <f>Data!B21</f>
        <v>MOHAMMED ALKALI</v>
      </c>
      <c r="AA23" s="109">
        <v>7</v>
      </c>
      <c r="AB23" s="109">
        <v>3</v>
      </c>
      <c r="AC23" s="109">
        <v>1</v>
      </c>
      <c r="AD23" s="109">
        <v>1</v>
      </c>
      <c r="AE23" s="111">
        <f t="shared" si="11"/>
        <v>12</v>
      </c>
      <c r="AF23" s="112">
        <v>42</v>
      </c>
      <c r="AG23" s="113">
        <f t="shared" si="12"/>
        <v>54</v>
      </c>
      <c r="AH23" s="113">
        <f t="shared" si="13"/>
        <v>29</v>
      </c>
      <c r="AI23" s="113" t="str">
        <f t="shared" si="14"/>
        <v>C6</v>
      </c>
      <c r="AJ23" s="113" t="str">
        <f t="shared" si="15"/>
        <v>Credit</v>
      </c>
      <c r="AK23" s="42">
        <v>20</v>
      </c>
      <c r="AL23" s="108" t="str">
        <f>Data!B21</f>
        <v>MOHAMMED ALKALI</v>
      </c>
      <c r="AM23" s="114"/>
      <c r="AN23" s="114"/>
      <c r="AO23" s="114"/>
      <c r="AP23" s="114"/>
      <c r="AQ23" s="115">
        <f t="shared" si="16"/>
        <v>0</v>
      </c>
      <c r="AR23" s="114"/>
      <c r="AS23" s="115">
        <f t="shared" si="17"/>
        <v>0</v>
      </c>
      <c r="AT23" s="115" t="str">
        <f t="shared" si="18"/>
        <v/>
      </c>
      <c r="AU23" s="115" t="str">
        <f t="shared" si="19"/>
        <v/>
      </c>
      <c r="AV23" s="115" t="str">
        <f t="shared" si="20"/>
        <v/>
      </c>
      <c r="AW23" s="42">
        <v>20</v>
      </c>
      <c r="AX23" s="108" t="str">
        <f>Data!B21</f>
        <v>MOHAMMED ALKALI</v>
      </c>
      <c r="AY23" s="116"/>
      <c r="AZ23" s="116"/>
      <c r="BA23" s="116"/>
      <c r="BB23" s="116"/>
      <c r="BC23" s="117">
        <f t="shared" si="21"/>
        <v>0</v>
      </c>
      <c r="BD23" s="116"/>
      <c r="BE23" s="117">
        <f t="shared" si="22"/>
        <v>0</v>
      </c>
      <c r="BF23" s="117" t="str">
        <f t="shared" si="23"/>
        <v/>
      </c>
      <c r="BG23" s="117" t="str">
        <f t="shared" si="24"/>
        <v/>
      </c>
      <c r="BH23" s="117" t="str">
        <f t="shared" si="25"/>
        <v/>
      </c>
      <c r="BI23" s="67">
        <v>20</v>
      </c>
      <c r="BJ23" s="108" t="str">
        <f>Data!B21</f>
        <v>MOHAMMED ALKALI</v>
      </c>
      <c r="BK23" s="110">
        <v>7</v>
      </c>
      <c r="BL23" s="110">
        <v>3</v>
      </c>
      <c r="BM23" s="110">
        <v>1</v>
      </c>
      <c r="BN23" s="110">
        <v>1</v>
      </c>
      <c r="BO23" s="111">
        <f t="shared" si="26"/>
        <v>12</v>
      </c>
      <c r="BP23" s="113">
        <v>42</v>
      </c>
      <c r="BQ23" s="119">
        <f t="shared" si="27"/>
        <v>54</v>
      </c>
      <c r="BR23" s="119">
        <f t="shared" si="28"/>
        <v>20</v>
      </c>
      <c r="BS23" s="119" t="str">
        <f t="shared" si="29"/>
        <v>C6</v>
      </c>
      <c r="BT23" s="119" t="str">
        <f t="shared" si="30"/>
        <v>Credit</v>
      </c>
      <c r="BU23">
        <v>20</v>
      </c>
      <c r="BV23" s="108" t="str">
        <f>Data!B21</f>
        <v>MOHAMMED ALKALI</v>
      </c>
      <c r="BW23" s="120">
        <v>4</v>
      </c>
      <c r="BX23" s="120">
        <v>4</v>
      </c>
      <c r="BY23" s="120">
        <v>8</v>
      </c>
      <c r="BZ23" s="120">
        <v>7</v>
      </c>
      <c r="CA23" s="121">
        <f t="shared" si="31"/>
        <v>23</v>
      </c>
      <c r="CB23" s="120">
        <v>14</v>
      </c>
      <c r="CC23" s="121">
        <f t="shared" si="32"/>
        <v>37</v>
      </c>
      <c r="CD23" s="121">
        <f t="shared" si="33"/>
        <v>42</v>
      </c>
      <c r="CE23" s="121" t="str">
        <f t="shared" si="34"/>
        <v>F</v>
      </c>
      <c r="CF23" s="121" t="str">
        <f t="shared" si="35"/>
        <v>Fail</v>
      </c>
      <c r="CG23">
        <v>20</v>
      </c>
      <c r="CH23" s="108" t="str">
        <f>Data!B21</f>
        <v>MOHAMMED ALKALI</v>
      </c>
      <c r="CI23" s="109"/>
      <c r="CJ23" s="109"/>
      <c r="CK23" s="109"/>
      <c r="CL23" s="109"/>
      <c r="CM23" s="122">
        <f t="shared" si="36"/>
        <v>0</v>
      </c>
      <c r="CN23" s="122"/>
      <c r="CO23" s="122">
        <f t="shared" si="37"/>
        <v>0</v>
      </c>
      <c r="CP23" s="122" t="str">
        <f t="shared" si="38"/>
        <v/>
      </c>
      <c r="CQ23" s="122" t="str">
        <f t="shared" si="39"/>
        <v/>
      </c>
      <c r="CR23" s="122" t="str">
        <f t="shared" si="40"/>
        <v/>
      </c>
      <c r="CS23">
        <v>20</v>
      </c>
      <c r="CT23" s="108" t="str">
        <f>Data!B21</f>
        <v>MOHAMMED ALKALI</v>
      </c>
      <c r="CU23" s="43"/>
      <c r="CV23" s="43"/>
      <c r="CW23" s="43"/>
      <c r="CX23" s="43"/>
      <c r="CY23" s="123">
        <f t="shared" si="41"/>
        <v>0</v>
      </c>
      <c r="CZ23" s="43"/>
      <c r="DA23" s="123">
        <f t="shared" si="42"/>
        <v>0</v>
      </c>
      <c r="DB23" s="123" t="str">
        <f t="shared" si="43"/>
        <v/>
      </c>
      <c r="DC23" s="123" t="str">
        <f t="shared" si="44"/>
        <v/>
      </c>
      <c r="DD23" s="123" t="str">
        <f t="shared" si="45"/>
        <v/>
      </c>
      <c r="DE23">
        <v>20</v>
      </c>
      <c r="DF23" s="108" t="str">
        <f>Data!B21</f>
        <v>MOHAMMED ALKALI</v>
      </c>
      <c r="DG23" s="109">
        <v>2</v>
      </c>
      <c r="DH23" s="109">
        <v>2</v>
      </c>
      <c r="DI23" s="109">
        <v>2</v>
      </c>
      <c r="DJ23" s="109">
        <v>5</v>
      </c>
      <c r="DK23" s="117">
        <f t="shared" si="46"/>
        <v>11</v>
      </c>
      <c r="DL23" s="116">
        <v>22</v>
      </c>
      <c r="DM23" s="117">
        <f t="shared" si="47"/>
        <v>33</v>
      </c>
      <c r="DN23" s="117">
        <f t="shared" si="48"/>
        <v>10</v>
      </c>
      <c r="DO23" s="117" t="str">
        <f t="shared" si="49"/>
        <v>F</v>
      </c>
      <c r="DP23" s="117" t="str">
        <f t="shared" si="50"/>
        <v>Fail</v>
      </c>
      <c r="DQ23">
        <v>20</v>
      </c>
      <c r="DR23" s="108" t="str">
        <f>Data!B21</f>
        <v>MOHAMMED ALKALI</v>
      </c>
      <c r="DS23" s="124"/>
      <c r="DT23" s="124"/>
      <c r="DU23" s="124"/>
      <c r="DV23" s="124"/>
      <c r="DW23" s="125">
        <f t="shared" si="51"/>
        <v>0</v>
      </c>
      <c r="DX23" s="126"/>
      <c r="DY23" s="125">
        <f t="shared" si="52"/>
        <v>0</v>
      </c>
      <c r="DZ23" s="125" t="str">
        <f t="shared" si="53"/>
        <v/>
      </c>
      <c r="EA23" s="125" t="str">
        <f t="shared" si="54"/>
        <v/>
      </c>
      <c r="EB23" s="125" t="str">
        <f t="shared" si="55"/>
        <v/>
      </c>
      <c r="EC23">
        <v>20</v>
      </c>
      <c r="ED23" s="108" t="str">
        <f>Data!B21</f>
        <v>MOHAMMED ALKALI</v>
      </c>
      <c r="EE23" s="109"/>
      <c r="EF23" s="109"/>
      <c r="EG23" s="109"/>
      <c r="EH23" s="109"/>
      <c r="EI23" s="127">
        <f t="shared" si="56"/>
        <v>0</v>
      </c>
      <c r="EJ23" s="127"/>
      <c r="EK23" s="127">
        <f t="shared" si="57"/>
        <v>0</v>
      </c>
      <c r="EL23" s="127" t="str">
        <f t="shared" si="58"/>
        <v/>
      </c>
      <c r="EM23" s="127" t="str">
        <f t="shared" si="59"/>
        <v/>
      </c>
      <c r="EN23" s="127" t="str">
        <f t="shared" si="60"/>
        <v/>
      </c>
      <c r="EO23">
        <v>20</v>
      </c>
      <c r="EP23" s="128" t="str">
        <f>Data!B21</f>
        <v>MOHAMMED ALKALI</v>
      </c>
      <c r="EQ23" s="109"/>
      <c r="ER23" s="109"/>
      <c r="ES23" s="109"/>
      <c r="ET23" s="109"/>
      <c r="EU23" s="123">
        <f t="shared" si="61"/>
        <v>0</v>
      </c>
      <c r="EV23" s="123"/>
      <c r="EW23" s="123">
        <f t="shared" si="62"/>
        <v>0</v>
      </c>
      <c r="EX23" s="123" t="str">
        <f t="shared" si="63"/>
        <v/>
      </c>
      <c r="EY23" s="123" t="str">
        <f t="shared" si="64"/>
        <v/>
      </c>
      <c r="EZ23" s="123" t="str">
        <f t="shared" si="65"/>
        <v/>
      </c>
      <c r="FA23">
        <v>20</v>
      </c>
      <c r="FB23" s="108" t="str">
        <f>Data!B21</f>
        <v>MOHAMMED ALKALI</v>
      </c>
      <c r="FC23" s="109"/>
      <c r="FD23" s="109"/>
      <c r="FE23" s="109"/>
      <c r="FF23" s="109"/>
      <c r="FG23" s="129">
        <f t="shared" si="66"/>
        <v>0</v>
      </c>
      <c r="FH23" s="129"/>
      <c r="FI23" s="129">
        <f t="shared" si="67"/>
        <v>0</v>
      </c>
      <c r="FJ23" s="129" t="str">
        <f t="shared" si="68"/>
        <v/>
      </c>
      <c r="FK23" s="129" t="str">
        <f t="shared" si="69"/>
        <v/>
      </c>
      <c r="FL23" s="129" t="str">
        <f t="shared" si="70"/>
        <v/>
      </c>
      <c r="FM23">
        <v>20</v>
      </c>
      <c r="FN23" s="108" t="str">
        <f>Data!B21</f>
        <v>MOHAMMED ALKALI</v>
      </c>
      <c r="FO23" s="109"/>
      <c r="FP23" s="109"/>
      <c r="FQ23" s="109"/>
      <c r="FR23" s="109"/>
      <c r="FS23" s="130">
        <f t="shared" si="71"/>
        <v>0</v>
      </c>
      <c r="FT23" s="130"/>
      <c r="FU23" s="130">
        <f t="shared" si="72"/>
        <v>0</v>
      </c>
      <c r="FV23" s="130" t="str">
        <f t="shared" si="73"/>
        <v/>
      </c>
      <c r="FW23" s="130" t="str">
        <f t="shared" si="74"/>
        <v/>
      </c>
      <c r="FX23" s="130" t="str">
        <f t="shared" si="75"/>
        <v/>
      </c>
      <c r="FY23">
        <v>20</v>
      </c>
      <c r="FZ23" s="108" t="str">
        <f>Data!B21</f>
        <v>MOHAMMED ALKALI</v>
      </c>
      <c r="GA23" s="109">
        <v>5</v>
      </c>
      <c r="GB23" s="109">
        <v>4</v>
      </c>
      <c r="GC23" s="109">
        <v>6</v>
      </c>
      <c r="GD23" s="109">
        <v>6</v>
      </c>
      <c r="GE23" s="131">
        <f t="shared" si="76"/>
        <v>21</v>
      </c>
      <c r="GF23" s="131">
        <v>14</v>
      </c>
      <c r="GG23" s="131">
        <f t="shared" si="77"/>
        <v>35</v>
      </c>
      <c r="GH23" s="131">
        <f t="shared" si="78"/>
        <v>39</v>
      </c>
      <c r="GI23" s="131" t="str">
        <f t="shared" si="79"/>
        <v>F</v>
      </c>
      <c r="GJ23" s="131" t="str">
        <f t="shared" si="80"/>
        <v>Fail</v>
      </c>
      <c r="GK23">
        <v>20</v>
      </c>
      <c r="GL23" s="108" t="str">
        <f>Data!B21</f>
        <v>MOHAMMED ALKALI</v>
      </c>
      <c r="GM23" s="132"/>
      <c r="GN23" s="132"/>
      <c r="GO23" s="132"/>
      <c r="GP23" s="132"/>
      <c r="GQ23" s="133">
        <f t="shared" si="81"/>
        <v>0</v>
      </c>
      <c r="GR23" s="132"/>
      <c r="GS23" s="133">
        <f t="shared" si="82"/>
        <v>0</v>
      </c>
      <c r="GT23" s="133" t="str">
        <f t="shared" si="83"/>
        <v/>
      </c>
      <c r="GU23" s="133" t="str">
        <f t="shared" si="84"/>
        <v/>
      </c>
      <c r="GV23" s="133" t="str">
        <f t="shared" si="85"/>
        <v/>
      </c>
      <c r="GW23">
        <v>20</v>
      </c>
      <c r="GX23" s="108" t="str">
        <f>Data!B21</f>
        <v>MOHAMMED ALKALI</v>
      </c>
      <c r="GY23" s="109"/>
      <c r="GZ23" s="109"/>
      <c r="HA23" s="109"/>
      <c r="HB23" s="109"/>
      <c r="HC23" s="119">
        <f t="shared" si="86"/>
        <v>0</v>
      </c>
      <c r="HD23" s="119"/>
      <c r="HE23" s="119">
        <f t="shared" si="87"/>
        <v>0</v>
      </c>
      <c r="HF23" s="119" t="str">
        <f t="shared" si="88"/>
        <v/>
      </c>
      <c r="HG23" s="119" t="str">
        <f t="shared" si="89"/>
        <v/>
      </c>
      <c r="HH23" s="119" t="str">
        <f t="shared" si="90"/>
        <v/>
      </c>
      <c r="HI23">
        <v>20</v>
      </c>
      <c r="HJ23" s="108" t="str">
        <f>Data!B21</f>
        <v>MOHAMMED ALKALI</v>
      </c>
      <c r="HK23" s="144"/>
      <c r="HL23" s="145"/>
      <c r="HM23" s="145"/>
      <c r="HN23" s="145"/>
      <c r="HO23" s="136">
        <f t="shared" si="91"/>
        <v>0</v>
      </c>
      <c r="HP23" s="144"/>
      <c r="HQ23" s="136">
        <f t="shared" si="92"/>
        <v>0</v>
      </c>
      <c r="HR23" s="136" t="str">
        <f t="shared" si="93"/>
        <v/>
      </c>
      <c r="HS23" s="136" t="str">
        <f t="shared" si="94"/>
        <v/>
      </c>
      <c r="HT23" s="136" t="str">
        <f t="shared" si="95"/>
        <v/>
      </c>
      <c r="HU23">
        <v>20</v>
      </c>
      <c r="HV23" s="108" t="str">
        <f>Data!B21</f>
        <v>MOHAMMED ALKALI</v>
      </c>
      <c r="HW23" s="109"/>
      <c r="HX23" s="109"/>
      <c r="HY23" s="109"/>
      <c r="HZ23" s="109"/>
      <c r="IA23" s="117">
        <f t="shared" si="96"/>
        <v>0</v>
      </c>
      <c r="IB23" s="117"/>
      <c r="IC23" s="117">
        <f t="shared" si="97"/>
        <v>0</v>
      </c>
      <c r="ID23" s="117" t="str">
        <f t="shared" si="98"/>
        <v/>
      </c>
      <c r="IE23" s="117" t="str">
        <f t="shared" si="99"/>
        <v/>
      </c>
      <c r="IF23" s="117" t="str">
        <f t="shared" si="100"/>
        <v/>
      </c>
      <c r="IG23">
        <v>20</v>
      </c>
      <c r="IH23" s="108" t="str">
        <f>Data!B21</f>
        <v>MOHAMMED ALKALI</v>
      </c>
      <c r="II23" s="109"/>
      <c r="IJ23" s="109"/>
      <c r="IK23" s="109"/>
      <c r="IL23" s="109"/>
      <c r="IM23" s="137">
        <f t="shared" si="101"/>
        <v>0</v>
      </c>
      <c r="IN23" s="137"/>
      <c r="IO23" s="137">
        <f t="shared" si="102"/>
        <v>0</v>
      </c>
      <c r="IP23" s="137" t="str">
        <f t="shared" si="103"/>
        <v/>
      </c>
      <c r="IQ23" s="137" t="str">
        <f t="shared" si="104"/>
        <v/>
      </c>
      <c r="IR23" s="137" t="str">
        <f t="shared" si="105"/>
        <v/>
      </c>
      <c r="IS23">
        <v>20</v>
      </c>
      <c r="IT23" s="108" t="str">
        <f t="shared" si="106"/>
        <v>MOHAMMED ALKALI</v>
      </c>
      <c r="IU23" s="110">
        <v>7</v>
      </c>
      <c r="IV23" s="110">
        <v>3</v>
      </c>
      <c r="IW23" s="110">
        <v>1</v>
      </c>
      <c r="IX23" s="110">
        <v>1</v>
      </c>
      <c r="IY23" s="111">
        <f t="shared" si="107"/>
        <v>12</v>
      </c>
      <c r="IZ23" s="113">
        <v>42</v>
      </c>
      <c r="JA23" s="131">
        <f t="shared" si="108"/>
        <v>54</v>
      </c>
      <c r="JB23" s="131">
        <f t="shared" si="109"/>
        <v>20</v>
      </c>
      <c r="JC23" s="131" t="str">
        <f t="shared" si="110"/>
        <v>C</v>
      </c>
      <c r="JD23" s="131" t="str">
        <f t="shared" si="111"/>
        <v>Credit</v>
      </c>
      <c r="JE23">
        <v>20</v>
      </c>
      <c r="JF23" s="108" t="str">
        <f t="shared" si="112"/>
        <v>MOHAMMED ALKALI</v>
      </c>
      <c r="JG23" s="147"/>
      <c r="JH23" s="147"/>
      <c r="JI23" s="147"/>
      <c r="JJ23" s="147"/>
      <c r="JK23" s="113">
        <f t="shared" si="113"/>
        <v>0</v>
      </c>
      <c r="JL23" s="147"/>
      <c r="JM23" s="113">
        <f t="shared" si="114"/>
        <v>0</v>
      </c>
      <c r="JN23" s="113" t="str">
        <f t="shared" si="115"/>
        <v/>
      </c>
      <c r="JO23" s="113" t="str">
        <f t="shared" si="116"/>
        <v/>
      </c>
      <c r="JP23" s="113" t="str">
        <f t="shared" si="117"/>
        <v/>
      </c>
      <c r="JQ23">
        <v>20</v>
      </c>
      <c r="JR23" s="108" t="str">
        <f t="shared" si="118"/>
        <v>MOHAMMED ALKALI</v>
      </c>
      <c r="JS23" s="140"/>
      <c r="JT23" s="140"/>
      <c r="JU23" s="140"/>
      <c r="JV23" s="140"/>
      <c r="JW23" s="111">
        <f t="shared" si="119"/>
        <v>0</v>
      </c>
      <c r="JX23" s="141"/>
      <c r="JY23" s="111">
        <f t="shared" si="0"/>
        <v>0</v>
      </c>
      <c r="JZ23" s="111" t="str">
        <f t="shared" si="120"/>
        <v/>
      </c>
      <c r="KA23" s="111" t="str">
        <f t="shared" si="121"/>
        <v/>
      </c>
      <c r="KB23" s="111" t="str">
        <f t="shared" si="122"/>
        <v/>
      </c>
      <c r="KD23" s="47"/>
      <c r="KE23" s="47"/>
      <c r="KF23" s="47"/>
      <c r="KG23" s="47"/>
      <c r="KH23" s="47"/>
      <c r="KI23" s="47"/>
      <c r="KJ23" s="47"/>
      <c r="KK23" s="47"/>
      <c r="KM23" s="47"/>
      <c r="KN23" s="47"/>
      <c r="KO23" s="47"/>
      <c r="KP23" s="47"/>
      <c r="KQ23" s="47"/>
      <c r="KR23" s="47"/>
      <c r="KS23" s="47"/>
      <c r="KT23" s="47"/>
      <c r="KU23" s="47"/>
      <c r="KV23" s="47"/>
    </row>
    <row r="24" spans="1:308" ht="23.25">
      <c r="A24" s="211">
        <v>21</v>
      </c>
      <c r="B24" s="108" t="str">
        <f>Data!B22</f>
        <v>MOHAMMED TAHIR KOTOKO</v>
      </c>
      <c r="C24" s="109">
        <v>6</v>
      </c>
      <c r="D24" s="109">
        <v>2</v>
      </c>
      <c r="E24" s="109">
        <v>10</v>
      </c>
      <c r="F24" s="109">
        <v>5</v>
      </c>
      <c r="G24" s="111">
        <f t="shared" si="123"/>
        <v>23</v>
      </c>
      <c r="H24" s="111">
        <v>24</v>
      </c>
      <c r="I24" s="111">
        <f t="shared" si="2"/>
        <v>47</v>
      </c>
      <c r="J24" s="110">
        <f t="shared" si="3"/>
        <v>14</v>
      </c>
      <c r="K24" s="110" t="str">
        <f t="shared" si="4"/>
        <v>D7</v>
      </c>
      <c r="L24" s="110" t="str">
        <f t="shared" si="5"/>
        <v>Pass</v>
      </c>
      <c r="M24" s="48">
        <v>21</v>
      </c>
      <c r="N24" s="108" t="str">
        <f>Data!B22</f>
        <v>MOHAMMED TAHIR KOTOKO</v>
      </c>
      <c r="O24" s="109">
        <v>6</v>
      </c>
      <c r="P24" s="109">
        <v>2</v>
      </c>
      <c r="Q24" s="109">
        <v>10</v>
      </c>
      <c r="R24" s="109">
        <v>5</v>
      </c>
      <c r="S24" s="111">
        <f t="shared" si="6"/>
        <v>23</v>
      </c>
      <c r="T24" s="111">
        <v>24</v>
      </c>
      <c r="U24" s="111">
        <f t="shared" si="7"/>
        <v>47</v>
      </c>
      <c r="V24" s="111">
        <f t="shared" si="8"/>
        <v>10</v>
      </c>
      <c r="W24" s="111" t="str">
        <f t="shared" si="9"/>
        <v>D7</v>
      </c>
      <c r="X24" s="111" t="str">
        <f t="shared" si="10"/>
        <v>Pass</v>
      </c>
      <c r="Y24" s="42">
        <v>21</v>
      </c>
      <c r="Z24" s="108" t="str">
        <f>Data!B22</f>
        <v>MOHAMMED TAHIR KOTOKO</v>
      </c>
      <c r="AA24" s="109">
        <v>6</v>
      </c>
      <c r="AB24" s="109">
        <v>2</v>
      </c>
      <c r="AC24" s="109">
        <v>10</v>
      </c>
      <c r="AD24" s="109">
        <v>5</v>
      </c>
      <c r="AE24" s="111">
        <f t="shared" si="11"/>
        <v>23</v>
      </c>
      <c r="AF24" s="112">
        <v>42</v>
      </c>
      <c r="AG24" s="113">
        <f t="shared" si="12"/>
        <v>65</v>
      </c>
      <c r="AH24" s="113">
        <f t="shared" si="13"/>
        <v>13</v>
      </c>
      <c r="AI24" s="113" t="str">
        <f t="shared" si="14"/>
        <v>B3</v>
      </c>
      <c r="AJ24" s="113" t="str">
        <f t="shared" si="15"/>
        <v>Good</v>
      </c>
      <c r="AK24" s="42">
        <v>21</v>
      </c>
      <c r="AL24" s="108" t="str">
        <f>Data!B22</f>
        <v>MOHAMMED TAHIR KOTOKO</v>
      </c>
      <c r="AM24" s="114"/>
      <c r="AN24" s="114"/>
      <c r="AO24" s="114"/>
      <c r="AP24" s="114"/>
      <c r="AQ24" s="115">
        <f t="shared" si="16"/>
        <v>0</v>
      </c>
      <c r="AR24" s="114"/>
      <c r="AS24" s="115">
        <f t="shared" si="17"/>
        <v>0</v>
      </c>
      <c r="AT24" s="115" t="str">
        <f t="shared" si="18"/>
        <v/>
      </c>
      <c r="AU24" s="115" t="str">
        <f t="shared" si="19"/>
        <v/>
      </c>
      <c r="AV24" s="115" t="str">
        <f t="shared" si="20"/>
        <v/>
      </c>
      <c r="AW24" s="42">
        <v>21</v>
      </c>
      <c r="AX24" s="108" t="str">
        <f>Data!B22</f>
        <v>MOHAMMED TAHIR KOTOKO</v>
      </c>
      <c r="AY24" s="116"/>
      <c r="AZ24" s="116"/>
      <c r="BA24" s="116"/>
      <c r="BB24" s="116"/>
      <c r="BC24" s="117">
        <f t="shared" si="21"/>
        <v>0</v>
      </c>
      <c r="BD24" s="116"/>
      <c r="BE24" s="117">
        <f t="shared" si="22"/>
        <v>0</v>
      </c>
      <c r="BF24" s="117" t="str">
        <f t="shared" si="23"/>
        <v/>
      </c>
      <c r="BG24" s="117" t="str">
        <f t="shared" si="24"/>
        <v/>
      </c>
      <c r="BH24" s="117" t="str">
        <f t="shared" si="25"/>
        <v/>
      </c>
      <c r="BI24" s="67">
        <v>21</v>
      </c>
      <c r="BJ24" s="108" t="str">
        <f>Data!B22</f>
        <v>MOHAMMED TAHIR KOTOKO</v>
      </c>
      <c r="BK24" s="110">
        <v>6</v>
      </c>
      <c r="BL24" s="110">
        <v>2</v>
      </c>
      <c r="BM24" s="110">
        <v>10</v>
      </c>
      <c r="BN24" s="110">
        <v>5</v>
      </c>
      <c r="BO24" s="111">
        <f t="shared" si="26"/>
        <v>23</v>
      </c>
      <c r="BP24" s="113">
        <v>42</v>
      </c>
      <c r="BQ24" s="119">
        <f t="shared" si="27"/>
        <v>65</v>
      </c>
      <c r="BR24" s="119">
        <f t="shared" si="28"/>
        <v>10</v>
      </c>
      <c r="BS24" s="119" t="str">
        <f t="shared" si="29"/>
        <v>B3</v>
      </c>
      <c r="BT24" s="119" t="str">
        <f t="shared" si="30"/>
        <v>Good</v>
      </c>
      <c r="BU24">
        <v>21</v>
      </c>
      <c r="BV24" s="108" t="str">
        <f>Data!B22</f>
        <v>MOHAMMED TAHIR KOTOKO</v>
      </c>
      <c r="BW24" s="120">
        <v>5</v>
      </c>
      <c r="BX24" s="120">
        <v>3</v>
      </c>
      <c r="BY24" s="120">
        <v>10</v>
      </c>
      <c r="BZ24" s="120">
        <v>9</v>
      </c>
      <c r="CA24" s="121">
        <f t="shared" si="31"/>
        <v>27</v>
      </c>
      <c r="CB24" s="120">
        <v>15</v>
      </c>
      <c r="CC24" s="121">
        <f t="shared" si="32"/>
        <v>42</v>
      </c>
      <c r="CD24" s="121">
        <f t="shared" si="33"/>
        <v>34</v>
      </c>
      <c r="CE24" s="121" t="str">
        <f t="shared" si="34"/>
        <v>E8</v>
      </c>
      <c r="CF24" s="121" t="str">
        <f t="shared" si="35"/>
        <v>Pass</v>
      </c>
      <c r="CG24">
        <v>21</v>
      </c>
      <c r="CH24" s="108" t="str">
        <f>Data!B22</f>
        <v>MOHAMMED TAHIR KOTOKO</v>
      </c>
      <c r="CI24" s="109"/>
      <c r="CJ24" s="109"/>
      <c r="CK24" s="109"/>
      <c r="CL24" s="109"/>
      <c r="CM24" s="122">
        <f t="shared" si="36"/>
        <v>0</v>
      </c>
      <c r="CN24" s="122"/>
      <c r="CO24" s="122">
        <f t="shared" si="37"/>
        <v>0</v>
      </c>
      <c r="CP24" s="122" t="str">
        <f t="shared" si="38"/>
        <v/>
      </c>
      <c r="CQ24" s="122" t="str">
        <f t="shared" si="39"/>
        <v/>
      </c>
      <c r="CR24" s="122" t="str">
        <f t="shared" si="40"/>
        <v/>
      </c>
      <c r="CS24">
        <v>21</v>
      </c>
      <c r="CT24" s="108" t="str">
        <f>Data!B22</f>
        <v>MOHAMMED TAHIR KOTOKO</v>
      </c>
      <c r="CU24" s="43"/>
      <c r="CV24" s="43"/>
      <c r="CW24" s="43"/>
      <c r="CX24" s="43"/>
      <c r="CY24" s="123">
        <f t="shared" si="41"/>
        <v>0</v>
      </c>
      <c r="CZ24" s="43"/>
      <c r="DA24" s="123">
        <f t="shared" si="42"/>
        <v>0</v>
      </c>
      <c r="DB24" s="123" t="str">
        <f t="shared" si="43"/>
        <v/>
      </c>
      <c r="DC24" s="123" t="str">
        <f t="shared" si="44"/>
        <v/>
      </c>
      <c r="DD24" s="123" t="str">
        <f t="shared" si="45"/>
        <v/>
      </c>
      <c r="DE24">
        <v>21</v>
      </c>
      <c r="DF24" s="108" t="str">
        <f>Data!B22</f>
        <v>MOHAMMED TAHIR KOTOKO</v>
      </c>
      <c r="DG24" s="109">
        <v>5</v>
      </c>
      <c r="DH24" s="109">
        <v>1</v>
      </c>
      <c r="DI24" s="109">
        <v>2</v>
      </c>
      <c r="DJ24" s="109">
        <v>5</v>
      </c>
      <c r="DK24" s="117">
        <f t="shared" si="46"/>
        <v>13</v>
      </c>
      <c r="DL24" s="116">
        <v>25</v>
      </c>
      <c r="DM24" s="117">
        <f t="shared" si="47"/>
        <v>38</v>
      </c>
      <c r="DN24" s="117">
        <f t="shared" si="48"/>
        <v>7</v>
      </c>
      <c r="DO24" s="117" t="str">
        <f t="shared" si="49"/>
        <v>F</v>
      </c>
      <c r="DP24" s="117" t="str">
        <f t="shared" si="50"/>
        <v>Fail</v>
      </c>
      <c r="DQ24">
        <v>21</v>
      </c>
      <c r="DR24" s="108" t="str">
        <f>Data!B22</f>
        <v>MOHAMMED TAHIR KOTOKO</v>
      </c>
      <c r="DS24" s="124"/>
      <c r="DT24" s="124"/>
      <c r="DU24" s="124"/>
      <c r="DV24" s="124"/>
      <c r="DW24" s="125">
        <f t="shared" si="51"/>
        <v>0</v>
      </c>
      <c r="DX24" s="126"/>
      <c r="DY24" s="125">
        <f t="shared" si="52"/>
        <v>0</v>
      </c>
      <c r="DZ24" s="125" t="str">
        <f t="shared" si="53"/>
        <v/>
      </c>
      <c r="EA24" s="125" t="str">
        <f t="shared" si="54"/>
        <v/>
      </c>
      <c r="EB24" s="125" t="str">
        <f t="shared" si="55"/>
        <v/>
      </c>
      <c r="EC24">
        <v>21</v>
      </c>
      <c r="ED24" s="108" t="str">
        <f>Data!B22</f>
        <v>MOHAMMED TAHIR KOTOKO</v>
      </c>
      <c r="EE24" s="109"/>
      <c r="EF24" s="109"/>
      <c r="EG24" s="109"/>
      <c r="EH24" s="109"/>
      <c r="EI24" s="127">
        <f t="shared" si="56"/>
        <v>0</v>
      </c>
      <c r="EJ24" s="127"/>
      <c r="EK24" s="127">
        <f t="shared" si="57"/>
        <v>0</v>
      </c>
      <c r="EL24" s="127" t="str">
        <f t="shared" si="58"/>
        <v/>
      </c>
      <c r="EM24" s="127" t="str">
        <f t="shared" si="59"/>
        <v/>
      </c>
      <c r="EN24" s="127" t="str">
        <f t="shared" si="60"/>
        <v/>
      </c>
      <c r="EO24">
        <v>21</v>
      </c>
      <c r="EP24" s="128" t="str">
        <f>Data!B22</f>
        <v>MOHAMMED TAHIR KOTOKO</v>
      </c>
      <c r="EQ24" s="109"/>
      <c r="ER24" s="109"/>
      <c r="ES24" s="109"/>
      <c r="ET24" s="109"/>
      <c r="EU24" s="123">
        <f t="shared" si="61"/>
        <v>0</v>
      </c>
      <c r="EV24" s="123"/>
      <c r="EW24" s="123">
        <f t="shared" si="62"/>
        <v>0</v>
      </c>
      <c r="EX24" s="123" t="str">
        <f t="shared" si="63"/>
        <v/>
      </c>
      <c r="EY24" s="123" t="str">
        <f t="shared" si="64"/>
        <v/>
      </c>
      <c r="EZ24" s="123" t="str">
        <f t="shared" si="65"/>
        <v/>
      </c>
      <c r="FA24">
        <v>21</v>
      </c>
      <c r="FB24" s="108" t="str">
        <f>Data!B22</f>
        <v>MOHAMMED TAHIR KOTOKO</v>
      </c>
      <c r="FC24" s="109"/>
      <c r="FD24" s="109"/>
      <c r="FE24" s="109"/>
      <c r="FF24" s="109"/>
      <c r="FG24" s="129">
        <f t="shared" si="66"/>
        <v>0</v>
      </c>
      <c r="FH24" s="129"/>
      <c r="FI24" s="129">
        <f t="shared" si="67"/>
        <v>0</v>
      </c>
      <c r="FJ24" s="129" t="str">
        <f t="shared" si="68"/>
        <v/>
      </c>
      <c r="FK24" s="129" t="str">
        <f t="shared" si="69"/>
        <v/>
      </c>
      <c r="FL24" s="129" t="str">
        <f t="shared" si="70"/>
        <v/>
      </c>
      <c r="FM24">
        <v>21</v>
      </c>
      <c r="FN24" s="108" t="str">
        <f>Data!B22</f>
        <v>MOHAMMED TAHIR KOTOKO</v>
      </c>
      <c r="FO24" s="109"/>
      <c r="FP24" s="109"/>
      <c r="FQ24" s="109"/>
      <c r="FR24" s="109"/>
      <c r="FS24" s="130">
        <f t="shared" si="71"/>
        <v>0</v>
      </c>
      <c r="FT24" s="130"/>
      <c r="FU24" s="130">
        <f t="shared" si="72"/>
        <v>0</v>
      </c>
      <c r="FV24" s="130" t="str">
        <f t="shared" si="73"/>
        <v/>
      </c>
      <c r="FW24" s="130" t="str">
        <f t="shared" si="74"/>
        <v/>
      </c>
      <c r="FX24" s="130" t="str">
        <f t="shared" si="75"/>
        <v/>
      </c>
      <c r="FY24">
        <v>21</v>
      </c>
      <c r="FZ24" s="108" t="str">
        <f>Data!B22</f>
        <v>MOHAMMED TAHIR KOTOKO</v>
      </c>
      <c r="GA24" s="109">
        <v>6</v>
      </c>
      <c r="GB24" s="109">
        <v>8</v>
      </c>
      <c r="GC24" s="109">
        <v>7</v>
      </c>
      <c r="GD24" s="109">
        <v>8</v>
      </c>
      <c r="GE24" s="131">
        <f t="shared" si="76"/>
        <v>29</v>
      </c>
      <c r="GF24" s="131">
        <v>29</v>
      </c>
      <c r="GG24" s="131">
        <f t="shared" si="77"/>
        <v>58</v>
      </c>
      <c r="GH24" s="131">
        <f t="shared" si="78"/>
        <v>15</v>
      </c>
      <c r="GI24" s="131" t="str">
        <f t="shared" si="79"/>
        <v>C</v>
      </c>
      <c r="GJ24" s="131" t="str">
        <f t="shared" si="80"/>
        <v>Credit</v>
      </c>
      <c r="GK24">
        <v>21</v>
      </c>
      <c r="GL24" s="108" t="str">
        <f>Data!B22</f>
        <v>MOHAMMED TAHIR KOTOKO</v>
      </c>
      <c r="GM24" s="132"/>
      <c r="GN24" s="132"/>
      <c r="GO24" s="132"/>
      <c r="GP24" s="132"/>
      <c r="GQ24" s="133">
        <f t="shared" si="81"/>
        <v>0</v>
      </c>
      <c r="GR24" s="132"/>
      <c r="GS24" s="133">
        <f t="shared" si="82"/>
        <v>0</v>
      </c>
      <c r="GT24" s="133" t="str">
        <f t="shared" si="83"/>
        <v/>
      </c>
      <c r="GU24" s="133" t="str">
        <f t="shared" si="84"/>
        <v/>
      </c>
      <c r="GV24" s="133" t="str">
        <f t="shared" si="85"/>
        <v/>
      </c>
      <c r="GW24">
        <v>21</v>
      </c>
      <c r="GX24" s="108" t="str">
        <f>Data!B22</f>
        <v>MOHAMMED TAHIR KOTOKO</v>
      </c>
      <c r="GY24" s="109"/>
      <c r="GZ24" s="109"/>
      <c r="HA24" s="109"/>
      <c r="HB24" s="109"/>
      <c r="HC24" s="119">
        <f t="shared" si="86"/>
        <v>0</v>
      </c>
      <c r="HD24" s="119"/>
      <c r="HE24" s="119">
        <f t="shared" si="87"/>
        <v>0</v>
      </c>
      <c r="HF24" s="119" t="str">
        <f t="shared" si="88"/>
        <v/>
      </c>
      <c r="HG24" s="119" t="str">
        <f t="shared" si="89"/>
        <v/>
      </c>
      <c r="HH24" s="119" t="str">
        <f t="shared" si="90"/>
        <v/>
      </c>
      <c r="HI24">
        <v>21</v>
      </c>
      <c r="HJ24" s="108" t="str">
        <f>Data!B22</f>
        <v>MOHAMMED TAHIR KOTOKO</v>
      </c>
      <c r="HK24" s="144"/>
      <c r="HL24" s="145"/>
      <c r="HM24" s="145"/>
      <c r="HN24" s="145"/>
      <c r="HO24" s="136">
        <f t="shared" si="91"/>
        <v>0</v>
      </c>
      <c r="HP24" s="144"/>
      <c r="HQ24" s="136">
        <f t="shared" si="92"/>
        <v>0</v>
      </c>
      <c r="HR24" s="136" t="str">
        <f t="shared" si="93"/>
        <v/>
      </c>
      <c r="HS24" s="136" t="str">
        <f t="shared" si="94"/>
        <v/>
      </c>
      <c r="HT24" s="136" t="str">
        <f t="shared" si="95"/>
        <v/>
      </c>
      <c r="HU24">
        <v>21</v>
      </c>
      <c r="HV24" s="108" t="str">
        <f>Data!B22</f>
        <v>MOHAMMED TAHIR KOTOKO</v>
      </c>
      <c r="HW24" s="109"/>
      <c r="HX24" s="109"/>
      <c r="HY24" s="109"/>
      <c r="HZ24" s="109"/>
      <c r="IA24" s="117">
        <f t="shared" si="96"/>
        <v>0</v>
      </c>
      <c r="IB24" s="117"/>
      <c r="IC24" s="117">
        <f t="shared" si="97"/>
        <v>0</v>
      </c>
      <c r="ID24" s="117" t="str">
        <f t="shared" si="98"/>
        <v/>
      </c>
      <c r="IE24" s="117" t="str">
        <f t="shared" si="99"/>
        <v/>
      </c>
      <c r="IF24" s="117" t="str">
        <f t="shared" si="100"/>
        <v/>
      </c>
      <c r="IG24">
        <v>21</v>
      </c>
      <c r="IH24" s="108" t="str">
        <f>Data!B22</f>
        <v>MOHAMMED TAHIR KOTOKO</v>
      </c>
      <c r="II24" s="109"/>
      <c r="IJ24" s="109"/>
      <c r="IK24" s="109"/>
      <c r="IL24" s="109"/>
      <c r="IM24" s="137">
        <f t="shared" si="101"/>
        <v>0</v>
      </c>
      <c r="IN24" s="137"/>
      <c r="IO24" s="137">
        <f t="shared" si="102"/>
        <v>0</v>
      </c>
      <c r="IP24" s="137" t="str">
        <f t="shared" si="103"/>
        <v/>
      </c>
      <c r="IQ24" s="137" t="str">
        <f t="shared" si="104"/>
        <v/>
      </c>
      <c r="IR24" s="137" t="str">
        <f t="shared" si="105"/>
        <v/>
      </c>
      <c r="IS24">
        <v>21</v>
      </c>
      <c r="IT24" s="108" t="str">
        <f t="shared" si="106"/>
        <v>MOHAMMED TAHIR KOTOKO</v>
      </c>
      <c r="IU24" s="110">
        <v>6</v>
      </c>
      <c r="IV24" s="110">
        <v>2</v>
      </c>
      <c r="IW24" s="110">
        <v>10</v>
      </c>
      <c r="IX24" s="110">
        <v>5</v>
      </c>
      <c r="IY24" s="111">
        <f t="shared" si="107"/>
        <v>23</v>
      </c>
      <c r="IZ24" s="113">
        <v>42</v>
      </c>
      <c r="JA24" s="131">
        <f t="shared" si="108"/>
        <v>65</v>
      </c>
      <c r="JB24" s="131">
        <f t="shared" si="109"/>
        <v>10</v>
      </c>
      <c r="JC24" s="131" t="str">
        <f t="shared" si="110"/>
        <v>C</v>
      </c>
      <c r="JD24" s="131" t="str">
        <f t="shared" si="111"/>
        <v>Good</v>
      </c>
      <c r="JE24">
        <v>21</v>
      </c>
      <c r="JF24" s="108" t="str">
        <f t="shared" si="112"/>
        <v>MOHAMMED TAHIR KOTOKO</v>
      </c>
      <c r="JG24" s="147"/>
      <c r="JH24" s="147"/>
      <c r="JI24" s="147"/>
      <c r="JJ24" s="147"/>
      <c r="JK24" s="113">
        <f t="shared" si="113"/>
        <v>0</v>
      </c>
      <c r="JL24" s="147"/>
      <c r="JM24" s="113">
        <f t="shared" si="114"/>
        <v>0</v>
      </c>
      <c r="JN24" s="113" t="str">
        <f t="shared" si="115"/>
        <v/>
      </c>
      <c r="JO24" s="113" t="str">
        <f t="shared" si="116"/>
        <v/>
      </c>
      <c r="JP24" s="113" t="str">
        <f t="shared" si="117"/>
        <v/>
      </c>
      <c r="JQ24">
        <v>21</v>
      </c>
      <c r="JR24" s="108" t="str">
        <f t="shared" si="118"/>
        <v>MOHAMMED TAHIR KOTOKO</v>
      </c>
      <c r="JS24" s="140"/>
      <c r="JT24" s="140"/>
      <c r="JU24" s="140"/>
      <c r="JV24" s="140"/>
      <c r="JW24" s="111">
        <f t="shared" si="119"/>
        <v>0</v>
      </c>
      <c r="JX24" s="141"/>
      <c r="JY24" s="111">
        <f t="shared" si="0"/>
        <v>0</v>
      </c>
      <c r="JZ24" s="111" t="str">
        <f t="shared" si="120"/>
        <v/>
      </c>
      <c r="KA24" s="111" t="str">
        <f t="shared" si="121"/>
        <v/>
      </c>
      <c r="KB24" s="111" t="str">
        <f t="shared" si="122"/>
        <v/>
      </c>
      <c r="KD24" s="47"/>
      <c r="KE24" s="47"/>
      <c r="KF24" s="47"/>
      <c r="KG24" s="47"/>
      <c r="KH24" s="47"/>
      <c r="KI24" s="47"/>
      <c r="KJ24" s="47"/>
      <c r="KK24" s="47"/>
      <c r="KM24" s="47"/>
      <c r="KN24" s="47"/>
      <c r="KO24" s="47"/>
      <c r="KP24" s="47"/>
      <c r="KQ24" s="47"/>
      <c r="KR24" s="47"/>
      <c r="KS24" s="47"/>
      <c r="KT24" s="47"/>
      <c r="KU24" s="47"/>
      <c r="KV24" s="47"/>
    </row>
    <row r="25" spans="1:308" ht="23.25">
      <c r="A25" s="211">
        <v>22</v>
      </c>
      <c r="B25" s="108" t="str">
        <f>Data!B23</f>
        <v>SUGUN IBRAHIM</v>
      </c>
      <c r="C25" s="109">
        <v>5</v>
      </c>
      <c r="D25" s="109"/>
      <c r="E25" s="109"/>
      <c r="F25" s="109"/>
      <c r="G25" s="111">
        <f t="shared" si="123"/>
        <v>5</v>
      </c>
      <c r="H25" s="111"/>
      <c r="I25" s="111">
        <f t="shared" si="2"/>
        <v>5</v>
      </c>
      <c r="J25" s="110" t="str">
        <f t="shared" si="3"/>
        <v/>
      </c>
      <c r="K25" s="110" t="b">
        <f t="shared" si="4"/>
        <v>0</v>
      </c>
      <c r="L25" s="110" t="b">
        <f t="shared" si="5"/>
        <v>0</v>
      </c>
      <c r="M25" s="48">
        <v>22</v>
      </c>
      <c r="N25" s="108" t="str">
        <f>Data!B23</f>
        <v>SUGUN IBRAHIM</v>
      </c>
      <c r="O25" s="109">
        <v>5</v>
      </c>
      <c r="P25" s="109"/>
      <c r="Q25" s="109"/>
      <c r="R25" s="109"/>
      <c r="S25" s="111">
        <f t="shared" si="6"/>
        <v>5</v>
      </c>
      <c r="T25" s="111"/>
      <c r="U25" s="111">
        <f t="shared" si="7"/>
        <v>5</v>
      </c>
      <c r="V25" s="111" t="str">
        <f t="shared" si="8"/>
        <v/>
      </c>
      <c r="W25" s="111" t="b">
        <f t="shared" si="9"/>
        <v>0</v>
      </c>
      <c r="X25" s="111" t="b">
        <f t="shared" si="10"/>
        <v>0</v>
      </c>
      <c r="Y25" s="42">
        <v>22</v>
      </c>
      <c r="Z25" s="108" t="str">
        <f>Data!B23</f>
        <v>SUGUN IBRAHIM</v>
      </c>
      <c r="AA25" s="109">
        <v>5</v>
      </c>
      <c r="AB25" s="109"/>
      <c r="AC25" s="109"/>
      <c r="AD25" s="109"/>
      <c r="AE25" s="111">
        <f t="shared" si="11"/>
        <v>5</v>
      </c>
      <c r="AF25" s="112">
        <v>42</v>
      </c>
      <c r="AG25" s="113">
        <f t="shared" si="12"/>
        <v>47</v>
      </c>
      <c r="AH25" s="113">
        <f t="shared" si="13"/>
        <v>38</v>
      </c>
      <c r="AI25" s="113" t="str">
        <f t="shared" si="14"/>
        <v>D7</v>
      </c>
      <c r="AJ25" s="113" t="str">
        <f t="shared" si="15"/>
        <v>Pass</v>
      </c>
      <c r="AK25" s="42">
        <v>22</v>
      </c>
      <c r="AL25" s="108" t="str">
        <f>Data!B23</f>
        <v>SUGUN IBRAHIM</v>
      </c>
      <c r="AM25" s="114"/>
      <c r="AN25" s="114"/>
      <c r="AO25" s="114"/>
      <c r="AP25" s="114"/>
      <c r="AQ25" s="115">
        <f t="shared" si="16"/>
        <v>0</v>
      </c>
      <c r="AR25" s="114"/>
      <c r="AS25" s="115">
        <f t="shared" si="17"/>
        <v>0</v>
      </c>
      <c r="AT25" s="115" t="str">
        <f t="shared" si="18"/>
        <v/>
      </c>
      <c r="AU25" s="115" t="str">
        <f t="shared" si="19"/>
        <v/>
      </c>
      <c r="AV25" s="115" t="str">
        <f t="shared" si="20"/>
        <v/>
      </c>
      <c r="AW25" s="42">
        <v>22</v>
      </c>
      <c r="AX25" s="108" t="str">
        <f>Data!B23</f>
        <v>SUGUN IBRAHIM</v>
      </c>
      <c r="AY25" s="116"/>
      <c r="AZ25" s="116"/>
      <c r="BA25" s="116"/>
      <c r="BB25" s="116"/>
      <c r="BC25" s="117">
        <f t="shared" si="21"/>
        <v>0</v>
      </c>
      <c r="BD25" s="116"/>
      <c r="BE25" s="117">
        <f t="shared" si="22"/>
        <v>0</v>
      </c>
      <c r="BF25" s="117" t="str">
        <f t="shared" si="23"/>
        <v/>
      </c>
      <c r="BG25" s="117" t="str">
        <f t="shared" si="24"/>
        <v/>
      </c>
      <c r="BH25" s="117" t="str">
        <f t="shared" si="25"/>
        <v/>
      </c>
      <c r="BI25" s="67">
        <v>22</v>
      </c>
      <c r="BJ25" s="108" t="str">
        <f>Data!B23</f>
        <v>SUGUN IBRAHIM</v>
      </c>
      <c r="BK25" s="110">
        <v>5</v>
      </c>
      <c r="BL25" s="110"/>
      <c r="BM25" s="110"/>
      <c r="BN25" s="110"/>
      <c r="BO25" s="111">
        <f t="shared" si="26"/>
        <v>5</v>
      </c>
      <c r="BP25" s="113">
        <v>42</v>
      </c>
      <c r="BQ25" s="119">
        <f t="shared" si="27"/>
        <v>47</v>
      </c>
      <c r="BR25" s="119">
        <f t="shared" si="28"/>
        <v>26</v>
      </c>
      <c r="BS25" s="119" t="str">
        <f t="shared" si="29"/>
        <v>D7</v>
      </c>
      <c r="BT25" s="119" t="str">
        <f t="shared" si="30"/>
        <v>Pass</v>
      </c>
      <c r="BU25">
        <v>22</v>
      </c>
      <c r="BV25" s="108" t="str">
        <f>Data!B23</f>
        <v>SUGUN IBRAHIM</v>
      </c>
      <c r="BW25" s="120">
        <v>4</v>
      </c>
      <c r="BX25" s="120"/>
      <c r="BY25" s="120"/>
      <c r="BZ25" s="120"/>
      <c r="CA25" s="121">
        <f t="shared" si="31"/>
        <v>4</v>
      </c>
      <c r="CB25" s="120"/>
      <c r="CC25" s="121">
        <f t="shared" si="32"/>
        <v>4</v>
      </c>
      <c r="CD25" s="121" t="str">
        <f t="shared" si="33"/>
        <v/>
      </c>
      <c r="CE25" s="121" t="str">
        <f t="shared" si="34"/>
        <v/>
      </c>
      <c r="CF25" s="121" t="str">
        <f t="shared" si="35"/>
        <v/>
      </c>
      <c r="CG25">
        <v>22</v>
      </c>
      <c r="CH25" s="108" t="str">
        <f>Data!B23</f>
        <v>SUGUN IBRAHIM</v>
      </c>
      <c r="CI25" s="109"/>
      <c r="CJ25" s="109"/>
      <c r="CK25" s="109"/>
      <c r="CL25" s="109"/>
      <c r="CM25" s="122">
        <f t="shared" si="36"/>
        <v>0</v>
      </c>
      <c r="CN25" s="122"/>
      <c r="CO25" s="122">
        <f t="shared" si="37"/>
        <v>0</v>
      </c>
      <c r="CP25" s="122" t="str">
        <f t="shared" si="38"/>
        <v/>
      </c>
      <c r="CQ25" s="122" t="str">
        <f t="shared" si="39"/>
        <v/>
      </c>
      <c r="CR25" s="122" t="str">
        <f t="shared" si="40"/>
        <v/>
      </c>
      <c r="CS25">
        <v>22</v>
      </c>
      <c r="CT25" s="108" t="str">
        <f>Data!B23</f>
        <v>SUGUN IBRAHIM</v>
      </c>
      <c r="CU25" s="43"/>
      <c r="CV25" s="43"/>
      <c r="CW25" s="43"/>
      <c r="CX25" s="43"/>
      <c r="CY25" s="123">
        <f t="shared" si="41"/>
        <v>0</v>
      </c>
      <c r="CZ25" s="43"/>
      <c r="DA25" s="123">
        <f t="shared" si="42"/>
        <v>0</v>
      </c>
      <c r="DB25" s="123" t="str">
        <f t="shared" si="43"/>
        <v/>
      </c>
      <c r="DC25" s="123" t="str">
        <f t="shared" si="44"/>
        <v/>
      </c>
      <c r="DD25" s="123" t="str">
        <f t="shared" si="45"/>
        <v/>
      </c>
      <c r="DE25">
        <v>22</v>
      </c>
      <c r="DF25" s="108" t="str">
        <f>Data!B23</f>
        <v>SUGUN IBRAHIM</v>
      </c>
      <c r="DG25" s="109">
        <v>5</v>
      </c>
      <c r="DH25" s="109"/>
      <c r="DI25" s="109"/>
      <c r="DJ25" s="109"/>
      <c r="DK25" s="117">
        <f t="shared" si="46"/>
        <v>5</v>
      </c>
      <c r="DL25" s="116"/>
      <c r="DM25" s="117">
        <f t="shared" si="47"/>
        <v>5</v>
      </c>
      <c r="DN25" s="117" t="str">
        <f t="shared" si="48"/>
        <v/>
      </c>
      <c r="DO25" s="117" t="b">
        <f t="shared" si="49"/>
        <v>0</v>
      </c>
      <c r="DP25" s="117" t="b">
        <f t="shared" si="50"/>
        <v>0</v>
      </c>
      <c r="DQ25">
        <v>22</v>
      </c>
      <c r="DR25" s="108" t="str">
        <f>Data!B23</f>
        <v>SUGUN IBRAHIM</v>
      </c>
      <c r="DS25" s="124"/>
      <c r="DT25" s="124"/>
      <c r="DU25" s="124"/>
      <c r="DV25" s="124"/>
      <c r="DW25" s="125">
        <f t="shared" si="51"/>
        <v>0</v>
      </c>
      <c r="DX25" s="126"/>
      <c r="DY25" s="125">
        <f t="shared" si="52"/>
        <v>0</v>
      </c>
      <c r="DZ25" s="125" t="str">
        <f t="shared" si="53"/>
        <v/>
      </c>
      <c r="EA25" s="125" t="str">
        <f t="shared" si="54"/>
        <v/>
      </c>
      <c r="EB25" s="125" t="str">
        <f t="shared" si="55"/>
        <v/>
      </c>
      <c r="EC25">
        <v>22</v>
      </c>
      <c r="ED25" s="108" t="str">
        <f>Data!B23</f>
        <v>SUGUN IBRAHIM</v>
      </c>
      <c r="EE25" s="109"/>
      <c r="EF25" s="109"/>
      <c r="EG25" s="109"/>
      <c r="EH25" s="109"/>
      <c r="EI25" s="127">
        <f t="shared" si="56"/>
        <v>0</v>
      </c>
      <c r="EJ25" s="127"/>
      <c r="EK25" s="127">
        <f t="shared" si="57"/>
        <v>0</v>
      </c>
      <c r="EL25" s="127" t="str">
        <f t="shared" si="58"/>
        <v/>
      </c>
      <c r="EM25" s="127" t="str">
        <f t="shared" si="59"/>
        <v/>
      </c>
      <c r="EN25" s="127" t="str">
        <f t="shared" si="60"/>
        <v/>
      </c>
      <c r="EO25">
        <v>22</v>
      </c>
      <c r="EP25" s="128" t="str">
        <f>Data!B23</f>
        <v>SUGUN IBRAHIM</v>
      </c>
      <c r="EQ25" s="109"/>
      <c r="ER25" s="109"/>
      <c r="ES25" s="109"/>
      <c r="ET25" s="109"/>
      <c r="EU25" s="123">
        <f t="shared" si="61"/>
        <v>0</v>
      </c>
      <c r="EV25" s="123"/>
      <c r="EW25" s="123">
        <f t="shared" si="62"/>
        <v>0</v>
      </c>
      <c r="EX25" s="123" t="str">
        <f t="shared" si="63"/>
        <v/>
      </c>
      <c r="EY25" s="123" t="str">
        <f t="shared" si="64"/>
        <v/>
      </c>
      <c r="EZ25" s="123" t="str">
        <f t="shared" si="65"/>
        <v/>
      </c>
      <c r="FA25">
        <v>22</v>
      </c>
      <c r="FB25" s="108" t="str">
        <f>Data!B23</f>
        <v>SUGUN IBRAHIM</v>
      </c>
      <c r="FC25" s="109"/>
      <c r="FD25" s="109"/>
      <c r="FE25" s="109"/>
      <c r="FF25" s="109"/>
      <c r="FG25" s="129">
        <f t="shared" si="66"/>
        <v>0</v>
      </c>
      <c r="FH25" s="129"/>
      <c r="FI25" s="129">
        <f t="shared" si="67"/>
        <v>0</v>
      </c>
      <c r="FJ25" s="129" t="str">
        <f t="shared" si="68"/>
        <v/>
      </c>
      <c r="FK25" s="129" t="str">
        <f t="shared" si="69"/>
        <v/>
      </c>
      <c r="FL25" s="129" t="str">
        <f t="shared" si="70"/>
        <v/>
      </c>
      <c r="FM25">
        <v>22</v>
      </c>
      <c r="FN25" s="108" t="str">
        <f>Data!B23</f>
        <v>SUGUN IBRAHIM</v>
      </c>
      <c r="FO25" s="109"/>
      <c r="FP25" s="109"/>
      <c r="FQ25" s="109"/>
      <c r="FR25" s="109"/>
      <c r="FS25" s="130">
        <f t="shared" si="71"/>
        <v>0</v>
      </c>
      <c r="FT25" s="130"/>
      <c r="FU25" s="130">
        <f t="shared" si="72"/>
        <v>0</v>
      </c>
      <c r="FV25" s="130" t="str">
        <f t="shared" si="73"/>
        <v/>
      </c>
      <c r="FW25" s="130" t="str">
        <f t="shared" si="74"/>
        <v/>
      </c>
      <c r="FX25" s="130" t="str">
        <f t="shared" si="75"/>
        <v/>
      </c>
      <c r="FY25">
        <v>22</v>
      </c>
      <c r="FZ25" s="108" t="str">
        <f>Data!B23</f>
        <v>SUGUN IBRAHIM</v>
      </c>
      <c r="GA25" s="109"/>
      <c r="GB25" s="109"/>
      <c r="GC25" s="109"/>
      <c r="GD25" s="109"/>
      <c r="GE25" s="131">
        <f t="shared" si="76"/>
        <v>0</v>
      </c>
      <c r="GF25" s="131"/>
      <c r="GG25" s="131">
        <f t="shared" si="77"/>
        <v>0</v>
      </c>
      <c r="GH25" s="131" t="str">
        <f t="shared" si="78"/>
        <v/>
      </c>
      <c r="GI25" s="131" t="str">
        <f t="shared" si="79"/>
        <v/>
      </c>
      <c r="GJ25" s="131" t="str">
        <f t="shared" si="80"/>
        <v/>
      </c>
      <c r="GK25">
        <v>22</v>
      </c>
      <c r="GL25" s="108" t="str">
        <f>Data!B23</f>
        <v>SUGUN IBRAHIM</v>
      </c>
      <c r="GM25" s="132"/>
      <c r="GN25" s="132"/>
      <c r="GO25" s="132"/>
      <c r="GP25" s="132"/>
      <c r="GQ25" s="133">
        <f t="shared" si="81"/>
        <v>0</v>
      </c>
      <c r="GR25" s="132"/>
      <c r="GS25" s="133">
        <f t="shared" si="82"/>
        <v>0</v>
      </c>
      <c r="GT25" s="133" t="str">
        <f t="shared" si="83"/>
        <v/>
      </c>
      <c r="GU25" s="133" t="str">
        <f t="shared" si="84"/>
        <v/>
      </c>
      <c r="GV25" s="133" t="str">
        <f t="shared" si="85"/>
        <v/>
      </c>
      <c r="GW25">
        <v>22</v>
      </c>
      <c r="GX25" s="108" t="str">
        <f>Data!B23</f>
        <v>SUGUN IBRAHIM</v>
      </c>
      <c r="GY25" s="109"/>
      <c r="GZ25" s="109"/>
      <c r="HA25" s="109"/>
      <c r="HB25" s="109"/>
      <c r="HC25" s="119">
        <f t="shared" si="86"/>
        <v>0</v>
      </c>
      <c r="HD25" s="119"/>
      <c r="HE25" s="119">
        <f t="shared" si="87"/>
        <v>0</v>
      </c>
      <c r="HF25" s="119" t="str">
        <f t="shared" si="88"/>
        <v/>
      </c>
      <c r="HG25" s="119" t="str">
        <f t="shared" si="89"/>
        <v/>
      </c>
      <c r="HH25" s="119" t="str">
        <f t="shared" si="90"/>
        <v/>
      </c>
      <c r="HI25">
        <v>22</v>
      </c>
      <c r="HJ25" s="108" t="str">
        <f>Data!B23</f>
        <v>SUGUN IBRAHIM</v>
      </c>
      <c r="HK25" s="144"/>
      <c r="HL25" s="145"/>
      <c r="HM25" s="145"/>
      <c r="HN25" s="145"/>
      <c r="HO25" s="136">
        <f t="shared" si="91"/>
        <v>0</v>
      </c>
      <c r="HP25" s="144"/>
      <c r="HQ25" s="136">
        <f t="shared" si="92"/>
        <v>0</v>
      </c>
      <c r="HR25" s="136" t="str">
        <f t="shared" si="93"/>
        <v/>
      </c>
      <c r="HS25" s="136" t="str">
        <f t="shared" si="94"/>
        <v/>
      </c>
      <c r="HT25" s="136" t="str">
        <f t="shared" si="95"/>
        <v/>
      </c>
      <c r="HU25">
        <v>22</v>
      </c>
      <c r="HV25" s="108" t="str">
        <f>Data!B23</f>
        <v>SUGUN IBRAHIM</v>
      </c>
      <c r="HW25" s="109"/>
      <c r="HX25" s="109"/>
      <c r="HY25" s="109"/>
      <c r="HZ25" s="109"/>
      <c r="IA25" s="117">
        <f t="shared" si="96"/>
        <v>0</v>
      </c>
      <c r="IB25" s="117"/>
      <c r="IC25" s="117">
        <f t="shared" si="97"/>
        <v>0</v>
      </c>
      <c r="ID25" s="117" t="str">
        <f t="shared" si="98"/>
        <v/>
      </c>
      <c r="IE25" s="117" t="str">
        <f t="shared" si="99"/>
        <v/>
      </c>
      <c r="IF25" s="117" t="str">
        <f t="shared" si="100"/>
        <v/>
      </c>
      <c r="IG25">
        <v>22</v>
      </c>
      <c r="IH25" s="108" t="str">
        <f>Data!B23</f>
        <v>SUGUN IBRAHIM</v>
      </c>
      <c r="II25" s="109"/>
      <c r="IJ25" s="109"/>
      <c r="IK25" s="109"/>
      <c r="IL25" s="109"/>
      <c r="IM25" s="137">
        <f t="shared" si="101"/>
        <v>0</v>
      </c>
      <c r="IN25" s="137"/>
      <c r="IO25" s="137">
        <f t="shared" si="102"/>
        <v>0</v>
      </c>
      <c r="IP25" s="137" t="str">
        <f t="shared" si="103"/>
        <v/>
      </c>
      <c r="IQ25" s="137" t="str">
        <f t="shared" si="104"/>
        <v/>
      </c>
      <c r="IR25" s="137" t="str">
        <f t="shared" si="105"/>
        <v/>
      </c>
      <c r="IS25">
        <v>22</v>
      </c>
      <c r="IT25" s="108" t="str">
        <f t="shared" si="106"/>
        <v>SUGUN IBRAHIM</v>
      </c>
      <c r="IU25" s="110">
        <v>5</v>
      </c>
      <c r="IV25" s="110"/>
      <c r="IW25" s="110"/>
      <c r="IX25" s="110"/>
      <c r="IY25" s="111">
        <f t="shared" si="107"/>
        <v>5</v>
      </c>
      <c r="IZ25" s="113">
        <v>42</v>
      </c>
      <c r="JA25" s="131">
        <f t="shared" si="108"/>
        <v>47</v>
      </c>
      <c r="JB25" s="131">
        <f t="shared" si="109"/>
        <v>26</v>
      </c>
      <c r="JC25" s="131" t="str">
        <f t="shared" si="110"/>
        <v>D</v>
      </c>
      <c r="JD25" s="131" t="str">
        <f t="shared" si="111"/>
        <v>Pass</v>
      </c>
      <c r="JE25">
        <v>22</v>
      </c>
      <c r="JF25" s="108" t="str">
        <f t="shared" si="112"/>
        <v>SUGUN IBRAHIM</v>
      </c>
      <c r="JG25" s="147"/>
      <c r="JH25" s="147"/>
      <c r="JI25" s="147"/>
      <c r="JJ25" s="147"/>
      <c r="JK25" s="113">
        <f t="shared" si="113"/>
        <v>0</v>
      </c>
      <c r="JL25" s="147"/>
      <c r="JM25" s="113">
        <f t="shared" si="114"/>
        <v>0</v>
      </c>
      <c r="JN25" s="113" t="str">
        <f t="shared" si="115"/>
        <v/>
      </c>
      <c r="JO25" s="113" t="str">
        <f t="shared" si="116"/>
        <v/>
      </c>
      <c r="JP25" s="113" t="str">
        <f t="shared" si="117"/>
        <v/>
      </c>
      <c r="JQ25">
        <v>22</v>
      </c>
      <c r="JR25" s="108" t="str">
        <f t="shared" si="118"/>
        <v>SUGUN IBRAHIM</v>
      </c>
      <c r="JS25" s="140"/>
      <c r="JT25" s="140"/>
      <c r="JU25" s="140"/>
      <c r="JV25" s="140"/>
      <c r="JW25" s="111">
        <f t="shared" si="119"/>
        <v>0</v>
      </c>
      <c r="JX25" s="141"/>
      <c r="JY25" s="111">
        <f t="shared" si="0"/>
        <v>0</v>
      </c>
      <c r="JZ25" s="111" t="str">
        <f t="shared" si="120"/>
        <v/>
      </c>
      <c r="KA25" s="111" t="str">
        <f t="shared" si="121"/>
        <v/>
      </c>
      <c r="KB25" s="111" t="str">
        <f t="shared" si="122"/>
        <v/>
      </c>
      <c r="KD25" s="47"/>
      <c r="KE25" s="47"/>
      <c r="KF25" s="47"/>
      <c r="KG25" s="47"/>
      <c r="KH25" s="47"/>
      <c r="KI25" s="47"/>
      <c r="KJ25" s="47"/>
      <c r="KK25" s="47"/>
      <c r="KM25" s="47"/>
      <c r="KN25" s="47"/>
      <c r="KO25" s="47"/>
      <c r="KP25" s="47"/>
      <c r="KQ25" s="47"/>
      <c r="KR25" s="47"/>
      <c r="KS25" s="47"/>
      <c r="KT25" s="47"/>
      <c r="KU25" s="47"/>
      <c r="KV25" s="47"/>
    </row>
    <row r="26" spans="1:308" ht="23.25">
      <c r="A26" s="211">
        <v>23</v>
      </c>
      <c r="B26" s="108" t="str">
        <f>Data!B24</f>
        <v>WIZIRI UMAR KINIDI</v>
      </c>
      <c r="C26" s="109">
        <v>6</v>
      </c>
      <c r="D26" s="109">
        <v>1</v>
      </c>
      <c r="E26" s="109">
        <v>1</v>
      </c>
      <c r="F26" s="109">
        <v>5</v>
      </c>
      <c r="G26" s="111">
        <f t="shared" si="123"/>
        <v>13</v>
      </c>
      <c r="H26" s="111">
        <v>15</v>
      </c>
      <c r="I26" s="111">
        <f t="shared" si="2"/>
        <v>28</v>
      </c>
      <c r="J26" s="110">
        <f t="shared" si="3"/>
        <v>32</v>
      </c>
      <c r="K26" s="110" t="str">
        <f t="shared" si="4"/>
        <v>F</v>
      </c>
      <c r="L26" s="110" t="str">
        <f t="shared" si="5"/>
        <v>Fail</v>
      </c>
      <c r="M26" s="48">
        <v>23</v>
      </c>
      <c r="N26" s="108" t="str">
        <f>Data!B24</f>
        <v>WIZIRI UMAR KINIDI</v>
      </c>
      <c r="O26" s="109">
        <v>6</v>
      </c>
      <c r="P26" s="109">
        <v>1</v>
      </c>
      <c r="Q26" s="109">
        <v>1</v>
      </c>
      <c r="R26" s="109">
        <v>5</v>
      </c>
      <c r="S26" s="111">
        <f t="shared" si="6"/>
        <v>13</v>
      </c>
      <c r="T26" s="111">
        <v>15</v>
      </c>
      <c r="U26" s="111">
        <f t="shared" si="7"/>
        <v>28</v>
      </c>
      <c r="V26" s="111">
        <f t="shared" si="8"/>
        <v>21</v>
      </c>
      <c r="W26" s="111" t="str">
        <f t="shared" si="9"/>
        <v>F</v>
      </c>
      <c r="X26" s="111" t="str">
        <f t="shared" si="10"/>
        <v>Fail</v>
      </c>
      <c r="Y26" s="42">
        <v>23</v>
      </c>
      <c r="Z26" s="108" t="str">
        <f>Data!B24</f>
        <v>WIZIRI UMAR KINIDI</v>
      </c>
      <c r="AA26" s="109">
        <v>6</v>
      </c>
      <c r="AB26" s="109">
        <v>1</v>
      </c>
      <c r="AC26" s="109">
        <v>1</v>
      </c>
      <c r="AD26" s="109">
        <v>5</v>
      </c>
      <c r="AE26" s="111">
        <f t="shared" si="11"/>
        <v>13</v>
      </c>
      <c r="AF26" s="112">
        <v>42</v>
      </c>
      <c r="AG26" s="113">
        <f t="shared" si="12"/>
        <v>55</v>
      </c>
      <c r="AH26" s="113">
        <f t="shared" si="13"/>
        <v>25</v>
      </c>
      <c r="AI26" s="113" t="str">
        <f t="shared" si="14"/>
        <v>C5</v>
      </c>
      <c r="AJ26" s="113" t="str">
        <f t="shared" si="15"/>
        <v>Credit</v>
      </c>
      <c r="AK26" s="42">
        <v>23</v>
      </c>
      <c r="AL26" s="108" t="str">
        <f>Data!B24</f>
        <v>WIZIRI UMAR KINIDI</v>
      </c>
      <c r="AM26" s="114"/>
      <c r="AN26" s="114"/>
      <c r="AO26" s="114"/>
      <c r="AP26" s="114"/>
      <c r="AQ26" s="115">
        <f t="shared" si="16"/>
        <v>0</v>
      </c>
      <c r="AR26" s="114"/>
      <c r="AS26" s="115">
        <f t="shared" si="17"/>
        <v>0</v>
      </c>
      <c r="AT26" s="115" t="str">
        <f t="shared" si="18"/>
        <v/>
      </c>
      <c r="AU26" s="115" t="str">
        <f t="shared" si="19"/>
        <v/>
      </c>
      <c r="AV26" s="115" t="str">
        <f t="shared" si="20"/>
        <v/>
      </c>
      <c r="AW26" s="42">
        <v>23</v>
      </c>
      <c r="AX26" s="108" t="str">
        <f>Data!B24</f>
        <v>WIZIRI UMAR KINIDI</v>
      </c>
      <c r="AY26" s="116"/>
      <c r="AZ26" s="116"/>
      <c r="BA26" s="116"/>
      <c r="BB26" s="116"/>
      <c r="BC26" s="117">
        <f t="shared" si="21"/>
        <v>0</v>
      </c>
      <c r="BD26" s="116"/>
      <c r="BE26" s="117">
        <f t="shared" si="22"/>
        <v>0</v>
      </c>
      <c r="BF26" s="117" t="str">
        <f t="shared" si="23"/>
        <v/>
      </c>
      <c r="BG26" s="117" t="str">
        <f t="shared" si="24"/>
        <v/>
      </c>
      <c r="BH26" s="117" t="str">
        <f t="shared" si="25"/>
        <v/>
      </c>
      <c r="BI26" s="67">
        <v>23</v>
      </c>
      <c r="BJ26" s="108" t="str">
        <f>Data!B24</f>
        <v>WIZIRI UMAR KINIDI</v>
      </c>
      <c r="BK26" s="110">
        <v>6</v>
      </c>
      <c r="BL26" s="110">
        <v>1</v>
      </c>
      <c r="BM26" s="110">
        <v>1</v>
      </c>
      <c r="BN26" s="110">
        <v>5</v>
      </c>
      <c r="BO26" s="111">
        <f t="shared" si="26"/>
        <v>13</v>
      </c>
      <c r="BP26" s="113">
        <v>42</v>
      </c>
      <c r="BQ26" s="119">
        <f t="shared" si="27"/>
        <v>55</v>
      </c>
      <c r="BR26" s="119">
        <f t="shared" si="28"/>
        <v>17</v>
      </c>
      <c r="BS26" s="119" t="str">
        <f t="shared" si="29"/>
        <v>C5</v>
      </c>
      <c r="BT26" s="119" t="str">
        <f t="shared" si="30"/>
        <v>Credit</v>
      </c>
      <c r="BU26">
        <v>23</v>
      </c>
      <c r="BV26" s="108" t="str">
        <f>Data!B24</f>
        <v>WIZIRI UMAR KINIDI</v>
      </c>
      <c r="BW26" s="120">
        <v>8</v>
      </c>
      <c r="BX26" s="120">
        <v>4</v>
      </c>
      <c r="BY26" s="120">
        <v>8</v>
      </c>
      <c r="BZ26" s="120">
        <v>7</v>
      </c>
      <c r="CA26" s="121">
        <f t="shared" si="31"/>
        <v>27</v>
      </c>
      <c r="CB26" s="120">
        <v>24</v>
      </c>
      <c r="CC26" s="121">
        <f t="shared" si="32"/>
        <v>51</v>
      </c>
      <c r="CD26" s="121">
        <f t="shared" si="33"/>
        <v>19</v>
      </c>
      <c r="CE26" s="121" t="str">
        <f t="shared" si="34"/>
        <v>C6</v>
      </c>
      <c r="CF26" s="121" t="str">
        <f t="shared" si="35"/>
        <v>Credit</v>
      </c>
      <c r="CG26">
        <v>23</v>
      </c>
      <c r="CH26" s="108" t="str">
        <f>Data!B24</f>
        <v>WIZIRI UMAR KINIDI</v>
      </c>
      <c r="CI26" s="109"/>
      <c r="CJ26" s="109"/>
      <c r="CK26" s="109"/>
      <c r="CL26" s="109"/>
      <c r="CM26" s="122">
        <f t="shared" si="36"/>
        <v>0</v>
      </c>
      <c r="CN26" s="122"/>
      <c r="CO26" s="122">
        <f t="shared" si="37"/>
        <v>0</v>
      </c>
      <c r="CP26" s="122" t="str">
        <f t="shared" si="38"/>
        <v/>
      </c>
      <c r="CQ26" s="122" t="str">
        <f t="shared" si="39"/>
        <v/>
      </c>
      <c r="CR26" s="122" t="str">
        <f t="shared" si="40"/>
        <v/>
      </c>
      <c r="CS26">
        <v>23</v>
      </c>
      <c r="CT26" s="108" t="str">
        <f>Data!B24</f>
        <v>WIZIRI UMAR KINIDI</v>
      </c>
      <c r="CU26" s="43"/>
      <c r="CV26" s="43"/>
      <c r="CW26" s="43"/>
      <c r="CX26" s="43"/>
      <c r="CY26" s="123">
        <f t="shared" si="41"/>
        <v>0</v>
      </c>
      <c r="CZ26" s="43"/>
      <c r="DA26" s="123">
        <f t="shared" si="42"/>
        <v>0</v>
      </c>
      <c r="DB26" s="123" t="str">
        <f t="shared" si="43"/>
        <v/>
      </c>
      <c r="DC26" s="123" t="str">
        <f t="shared" si="44"/>
        <v/>
      </c>
      <c r="DD26" s="123" t="str">
        <f t="shared" si="45"/>
        <v/>
      </c>
      <c r="DE26">
        <v>23</v>
      </c>
      <c r="DF26" s="108" t="str">
        <f>Data!B24</f>
        <v>WIZIRI UMAR KINIDI</v>
      </c>
      <c r="DG26" s="109"/>
      <c r="DH26" s="109"/>
      <c r="DI26" s="109"/>
      <c r="DJ26" s="109"/>
      <c r="DK26" s="117">
        <f t="shared" si="46"/>
        <v>0</v>
      </c>
      <c r="DL26" s="116"/>
      <c r="DM26" s="117">
        <f t="shared" si="47"/>
        <v>0</v>
      </c>
      <c r="DN26" s="117" t="str">
        <f t="shared" si="48"/>
        <v/>
      </c>
      <c r="DO26" s="117" t="str">
        <f t="shared" si="49"/>
        <v/>
      </c>
      <c r="DP26" s="117" t="str">
        <f t="shared" si="50"/>
        <v/>
      </c>
      <c r="DQ26">
        <v>23</v>
      </c>
      <c r="DR26" s="108" t="str">
        <f>Data!B24</f>
        <v>WIZIRI UMAR KINIDI</v>
      </c>
      <c r="DS26" s="124"/>
      <c r="DT26" s="124"/>
      <c r="DU26" s="124"/>
      <c r="DV26" s="124"/>
      <c r="DW26" s="125">
        <f t="shared" si="51"/>
        <v>0</v>
      </c>
      <c r="DX26" s="126"/>
      <c r="DY26" s="125">
        <f t="shared" si="52"/>
        <v>0</v>
      </c>
      <c r="DZ26" s="125" t="str">
        <f t="shared" si="53"/>
        <v/>
      </c>
      <c r="EA26" s="125" t="str">
        <f t="shared" si="54"/>
        <v/>
      </c>
      <c r="EB26" s="125" t="str">
        <f t="shared" si="55"/>
        <v/>
      </c>
      <c r="EC26">
        <v>23</v>
      </c>
      <c r="ED26" s="108" t="str">
        <f>Data!B24</f>
        <v>WIZIRI UMAR KINIDI</v>
      </c>
      <c r="EE26" s="109"/>
      <c r="EF26" s="109"/>
      <c r="EG26" s="109"/>
      <c r="EH26" s="109"/>
      <c r="EI26" s="127">
        <f t="shared" si="56"/>
        <v>0</v>
      </c>
      <c r="EJ26" s="127"/>
      <c r="EK26" s="127">
        <f t="shared" si="57"/>
        <v>0</v>
      </c>
      <c r="EL26" s="127" t="str">
        <f t="shared" si="58"/>
        <v/>
      </c>
      <c r="EM26" s="127" t="str">
        <f t="shared" si="59"/>
        <v/>
      </c>
      <c r="EN26" s="127" t="str">
        <f t="shared" si="60"/>
        <v/>
      </c>
      <c r="EO26">
        <v>23</v>
      </c>
      <c r="EP26" s="128" t="str">
        <f>Data!B24</f>
        <v>WIZIRI UMAR KINIDI</v>
      </c>
      <c r="EQ26" s="109"/>
      <c r="ER26" s="109"/>
      <c r="ES26" s="109"/>
      <c r="ET26" s="109"/>
      <c r="EU26" s="123">
        <f t="shared" si="61"/>
        <v>0</v>
      </c>
      <c r="EV26" s="123"/>
      <c r="EW26" s="123">
        <f t="shared" si="62"/>
        <v>0</v>
      </c>
      <c r="EX26" s="123" t="str">
        <f t="shared" si="63"/>
        <v/>
      </c>
      <c r="EY26" s="123" t="str">
        <f t="shared" si="64"/>
        <v/>
      </c>
      <c r="EZ26" s="123" t="str">
        <f t="shared" si="65"/>
        <v/>
      </c>
      <c r="FA26">
        <v>23</v>
      </c>
      <c r="FB26" s="108" t="str">
        <f>Data!B24</f>
        <v>WIZIRI UMAR KINIDI</v>
      </c>
      <c r="FC26" s="109"/>
      <c r="FD26" s="109"/>
      <c r="FE26" s="109"/>
      <c r="FF26" s="109"/>
      <c r="FG26" s="129">
        <f t="shared" si="66"/>
        <v>0</v>
      </c>
      <c r="FH26" s="129"/>
      <c r="FI26" s="129">
        <f t="shared" si="67"/>
        <v>0</v>
      </c>
      <c r="FJ26" s="129" t="str">
        <f t="shared" si="68"/>
        <v/>
      </c>
      <c r="FK26" s="129" t="str">
        <f t="shared" si="69"/>
        <v/>
      </c>
      <c r="FL26" s="129" t="str">
        <f t="shared" si="70"/>
        <v/>
      </c>
      <c r="FM26">
        <v>23</v>
      </c>
      <c r="FN26" s="108" t="str">
        <f>Data!B24</f>
        <v>WIZIRI UMAR KINIDI</v>
      </c>
      <c r="FO26" s="109"/>
      <c r="FP26" s="109"/>
      <c r="FQ26" s="109"/>
      <c r="FR26" s="109"/>
      <c r="FS26" s="130">
        <f t="shared" si="71"/>
        <v>0</v>
      </c>
      <c r="FT26" s="130"/>
      <c r="FU26" s="130">
        <f t="shared" si="72"/>
        <v>0</v>
      </c>
      <c r="FV26" s="130" t="str">
        <f t="shared" si="73"/>
        <v/>
      </c>
      <c r="FW26" s="130" t="str">
        <f t="shared" si="74"/>
        <v/>
      </c>
      <c r="FX26" s="130" t="str">
        <f t="shared" si="75"/>
        <v/>
      </c>
      <c r="FY26">
        <v>23</v>
      </c>
      <c r="FZ26" s="108" t="str">
        <f>Data!B24</f>
        <v>WIZIRI UMAR KINIDI</v>
      </c>
      <c r="GA26" s="109">
        <v>4</v>
      </c>
      <c r="GB26" s="109">
        <v>4</v>
      </c>
      <c r="GC26" s="109">
        <v>6</v>
      </c>
      <c r="GD26" s="109">
        <v>6</v>
      </c>
      <c r="GE26" s="131">
        <f t="shared" si="76"/>
        <v>20</v>
      </c>
      <c r="GF26" s="131">
        <v>25</v>
      </c>
      <c r="GG26" s="131">
        <f t="shared" si="77"/>
        <v>45</v>
      </c>
      <c r="GH26" s="131">
        <f t="shared" si="78"/>
        <v>33</v>
      </c>
      <c r="GI26" s="131" t="str">
        <f t="shared" si="79"/>
        <v>D</v>
      </c>
      <c r="GJ26" s="131" t="str">
        <f t="shared" si="80"/>
        <v>Pass</v>
      </c>
      <c r="GK26">
        <v>23</v>
      </c>
      <c r="GL26" s="108" t="str">
        <f>Data!B24</f>
        <v>WIZIRI UMAR KINIDI</v>
      </c>
      <c r="GM26" s="132"/>
      <c r="GN26" s="132"/>
      <c r="GO26" s="132"/>
      <c r="GP26" s="132"/>
      <c r="GQ26" s="133">
        <f t="shared" si="81"/>
        <v>0</v>
      </c>
      <c r="GR26" s="132"/>
      <c r="GS26" s="133">
        <f t="shared" si="82"/>
        <v>0</v>
      </c>
      <c r="GT26" s="133" t="str">
        <f t="shared" si="83"/>
        <v/>
      </c>
      <c r="GU26" s="133" t="str">
        <f t="shared" si="84"/>
        <v/>
      </c>
      <c r="GV26" s="133" t="str">
        <f t="shared" si="85"/>
        <v/>
      </c>
      <c r="GW26">
        <v>23</v>
      </c>
      <c r="GX26" s="108" t="str">
        <f>Data!B24</f>
        <v>WIZIRI UMAR KINIDI</v>
      </c>
      <c r="GY26" s="109"/>
      <c r="GZ26" s="109"/>
      <c r="HA26" s="109"/>
      <c r="HB26" s="109"/>
      <c r="HC26" s="119">
        <f t="shared" si="86"/>
        <v>0</v>
      </c>
      <c r="HD26" s="119"/>
      <c r="HE26" s="119">
        <f t="shared" si="87"/>
        <v>0</v>
      </c>
      <c r="HF26" s="119" t="str">
        <f t="shared" si="88"/>
        <v/>
      </c>
      <c r="HG26" s="119" t="str">
        <f t="shared" si="89"/>
        <v/>
      </c>
      <c r="HH26" s="119" t="str">
        <f t="shared" si="90"/>
        <v/>
      </c>
      <c r="HI26">
        <v>23</v>
      </c>
      <c r="HJ26" s="108" t="str">
        <f>Data!B24</f>
        <v>WIZIRI UMAR KINIDI</v>
      </c>
      <c r="HK26" s="144"/>
      <c r="HL26" s="145"/>
      <c r="HM26" s="145"/>
      <c r="HN26" s="145"/>
      <c r="HO26" s="136">
        <f t="shared" si="91"/>
        <v>0</v>
      </c>
      <c r="HP26" s="144"/>
      <c r="HQ26" s="136">
        <f t="shared" si="92"/>
        <v>0</v>
      </c>
      <c r="HR26" s="136" t="str">
        <f t="shared" si="93"/>
        <v/>
      </c>
      <c r="HS26" s="136" t="str">
        <f t="shared" si="94"/>
        <v/>
      </c>
      <c r="HT26" s="136" t="str">
        <f t="shared" si="95"/>
        <v/>
      </c>
      <c r="HU26">
        <v>23</v>
      </c>
      <c r="HV26" s="108" t="str">
        <f>Data!B24</f>
        <v>WIZIRI UMAR KINIDI</v>
      </c>
      <c r="HW26" s="109"/>
      <c r="HX26" s="109"/>
      <c r="HY26" s="109"/>
      <c r="HZ26" s="109"/>
      <c r="IA26" s="117">
        <f t="shared" si="96"/>
        <v>0</v>
      </c>
      <c r="IB26" s="117"/>
      <c r="IC26" s="117">
        <f t="shared" si="97"/>
        <v>0</v>
      </c>
      <c r="ID26" s="117" t="str">
        <f t="shared" si="98"/>
        <v/>
      </c>
      <c r="IE26" s="117" t="str">
        <f t="shared" si="99"/>
        <v/>
      </c>
      <c r="IF26" s="117" t="str">
        <f t="shared" si="100"/>
        <v/>
      </c>
      <c r="IG26">
        <v>23</v>
      </c>
      <c r="IH26" s="108" t="str">
        <f>Data!B24</f>
        <v>WIZIRI UMAR KINIDI</v>
      </c>
      <c r="II26" s="109"/>
      <c r="IJ26" s="109"/>
      <c r="IK26" s="109"/>
      <c r="IL26" s="109"/>
      <c r="IM26" s="137">
        <f t="shared" si="101"/>
        <v>0</v>
      </c>
      <c r="IN26" s="137"/>
      <c r="IO26" s="137">
        <f t="shared" si="102"/>
        <v>0</v>
      </c>
      <c r="IP26" s="137" t="str">
        <f t="shared" si="103"/>
        <v/>
      </c>
      <c r="IQ26" s="137" t="str">
        <f t="shared" si="104"/>
        <v/>
      </c>
      <c r="IR26" s="137" t="str">
        <f t="shared" si="105"/>
        <v/>
      </c>
      <c r="IS26">
        <v>23</v>
      </c>
      <c r="IT26" s="108" t="str">
        <f t="shared" si="106"/>
        <v>WIZIRI UMAR KINIDI</v>
      </c>
      <c r="IU26" s="110">
        <v>6</v>
      </c>
      <c r="IV26" s="110">
        <v>1</v>
      </c>
      <c r="IW26" s="110">
        <v>1</v>
      </c>
      <c r="IX26" s="110">
        <v>5</v>
      </c>
      <c r="IY26" s="111">
        <f t="shared" si="107"/>
        <v>13</v>
      </c>
      <c r="IZ26" s="113">
        <v>42</v>
      </c>
      <c r="JA26" s="131">
        <f t="shared" si="108"/>
        <v>55</v>
      </c>
      <c r="JB26" s="131">
        <f t="shared" si="109"/>
        <v>17</v>
      </c>
      <c r="JC26" s="131" t="str">
        <f t="shared" si="110"/>
        <v>C</v>
      </c>
      <c r="JD26" s="131" t="str">
        <f t="shared" si="111"/>
        <v>Credit</v>
      </c>
      <c r="JE26">
        <v>23</v>
      </c>
      <c r="JF26" s="108" t="str">
        <f t="shared" si="112"/>
        <v>WIZIRI UMAR KINIDI</v>
      </c>
      <c r="JG26" s="147"/>
      <c r="JH26" s="147"/>
      <c r="JI26" s="147"/>
      <c r="JJ26" s="147"/>
      <c r="JK26" s="113">
        <f t="shared" si="113"/>
        <v>0</v>
      </c>
      <c r="JL26" s="147"/>
      <c r="JM26" s="113">
        <f t="shared" si="114"/>
        <v>0</v>
      </c>
      <c r="JN26" s="113" t="str">
        <f t="shared" si="115"/>
        <v/>
      </c>
      <c r="JO26" s="113" t="str">
        <f t="shared" si="116"/>
        <v/>
      </c>
      <c r="JP26" s="113" t="str">
        <f t="shared" si="117"/>
        <v/>
      </c>
      <c r="JQ26">
        <v>23</v>
      </c>
      <c r="JR26" s="108" t="str">
        <f t="shared" si="118"/>
        <v>WIZIRI UMAR KINIDI</v>
      </c>
      <c r="JS26" s="140"/>
      <c r="JT26" s="140"/>
      <c r="JU26" s="140"/>
      <c r="JV26" s="140"/>
      <c r="JW26" s="111">
        <f t="shared" si="119"/>
        <v>0</v>
      </c>
      <c r="JX26" s="141"/>
      <c r="JY26" s="111">
        <f t="shared" si="0"/>
        <v>0</v>
      </c>
      <c r="JZ26" s="111" t="str">
        <f t="shared" si="120"/>
        <v/>
      </c>
      <c r="KA26" s="111" t="str">
        <f t="shared" si="121"/>
        <v/>
      </c>
      <c r="KB26" s="111" t="str">
        <f t="shared" si="122"/>
        <v/>
      </c>
      <c r="KD26" s="47"/>
      <c r="KE26" s="47"/>
      <c r="KF26" s="47"/>
      <c r="KG26" s="47"/>
      <c r="KH26" s="47"/>
      <c r="KI26" s="47"/>
      <c r="KJ26" s="47"/>
      <c r="KK26" s="47"/>
      <c r="KM26" s="47"/>
      <c r="KN26" s="47"/>
      <c r="KO26" s="47"/>
      <c r="KP26" s="47"/>
      <c r="KQ26" s="47"/>
      <c r="KR26" s="47"/>
      <c r="KS26" s="47"/>
      <c r="KT26" s="47"/>
      <c r="KU26" s="47"/>
      <c r="KV26" s="47"/>
    </row>
    <row r="27" spans="1:308" ht="23.25">
      <c r="A27" s="211">
        <v>24</v>
      </c>
      <c r="B27" s="128" t="s">
        <v>184</v>
      </c>
      <c r="C27" s="109">
        <v>7</v>
      </c>
      <c r="D27" s="109">
        <v>3</v>
      </c>
      <c r="E27" s="109">
        <v>1</v>
      </c>
      <c r="F27" s="109">
        <v>1</v>
      </c>
      <c r="G27" s="111">
        <f t="shared" si="123"/>
        <v>12</v>
      </c>
      <c r="H27" s="111">
        <v>25</v>
      </c>
      <c r="I27" s="111">
        <f t="shared" si="2"/>
        <v>37</v>
      </c>
      <c r="J27" s="110">
        <f t="shared" si="3"/>
        <v>26</v>
      </c>
      <c r="K27" s="110" t="str">
        <f t="shared" si="4"/>
        <v>F</v>
      </c>
      <c r="L27" s="110" t="str">
        <f t="shared" si="5"/>
        <v>Fail</v>
      </c>
      <c r="M27" s="48">
        <v>24</v>
      </c>
      <c r="N27" s="108">
        <f>Data!B25</f>
        <v>0</v>
      </c>
      <c r="O27" s="109">
        <v>7</v>
      </c>
      <c r="P27" s="109">
        <v>3</v>
      </c>
      <c r="Q27" s="109">
        <v>1</v>
      </c>
      <c r="R27" s="109">
        <v>1</v>
      </c>
      <c r="S27" s="111">
        <f t="shared" si="6"/>
        <v>12</v>
      </c>
      <c r="T27" s="111">
        <v>25</v>
      </c>
      <c r="U27" s="111">
        <f t="shared" si="7"/>
        <v>37</v>
      </c>
      <c r="V27" s="111">
        <f t="shared" si="8"/>
        <v>17</v>
      </c>
      <c r="W27" s="111" t="str">
        <f t="shared" si="9"/>
        <v>F</v>
      </c>
      <c r="X27" s="111" t="str">
        <f t="shared" si="10"/>
        <v>Fail</v>
      </c>
      <c r="Y27" s="42">
        <v>24</v>
      </c>
      <c r="Z27" s="108">
        <f>Data!B25</f>
        <v>0</v>
      </c>
      <c r="AA27" s="109">
        <v>7</v>
      </c>
      <c r="AB27" s="109">
        <v>3</v>
      </c>
      <c r="AC27" s="109">
        <v>1</v>
      </c>
      <c r="AD27" s="109">
        <v>1</v>
      </c>
      <c r="AE27" s="111">
        <f t="shared" si="11"/>
        <v>12</v>
      </c>
      <c r="AF27" s="112">
        <v>42</v>
      </c>
      <c r="AG27" s="113">
        <f t="shared" si="12"/>
        <v>54</v>
      </c>
      <c r="AH27" s="113">
        <f t="shared" si="13"/>
        <v>29</v>
      </c>
      <c r="AI27" s="113" t="str">
        <f t="shared" si="14"/>
        <v>C6</v>
      </c>
      <c r="AJ27" s="113" t="str">
        <f t="shared" si="15"/>
        <v>Credit</v>
      </c>
      <c r="AK27" s="42">
        <v>24</v>
      </c>
      <c r="AL27" s="108">
        <f>Data!B25</f>
        <v>0</v>
      </c>
      <c r="AM27" s="114"/>
      <c r="AN27" s="114"/>
      <c r="AO27" s="114"/>
      <c r="AP27" s="114"/>
      <c r="AQ27" s="115">
        <f t="shared" si="16"/>
        <v>0</v>
      </c>
      <c r="AR27" s="114"/>
      <c r="AS27" s="115">
        <f t="shared" si="17"/>
        <v>0</v>
      </c>
      <c r="AT27" s="115" t="str">
        <f t="shared" si="18"/>
        <v/>
      </c>
      <c r="AU27" s="115" t="str">
        <f t="shared" si="19"/>
        <v/>
      </c>
      <c r="AV27" s="115" t="str">
        <f t="shared" si="20"/>
        <v/>
      </c>
      <c r="AW27" s="42">
        <v>24</v>
      </c>
      <c r="AX27" s="108">
        <f>Data!B25</f>
        <v>0</v>
      </c>
      <c r="AY27" s="116"/>
      <c r="AZ27" s="116"/>
      <c r="BA27" s="116"/>
      <c r="BB27" s="116"/>
      <c r="BC27" s="117">
        <f t="shared" si="21"/>
        <v>0</v>
      </c>
      <c r="BD27" s="116"/>
      <c r="BE27" s="117">
        <f t="shared" si="22"/>
        <v>0</v>
      </c>
      <c r="BF27" s="117" t="str">
        <f t="shared" si="23"/>
        <v/>
      </c>
      <c r="BG27" s="117" t="str">
        <f t="shared" si="24"/>
        <v/>
      </c>
      <c r="BH27" s="117" t="str">
        <f t="shared" si="25"/>
        <v/>
      </c>
      <c r="BI27" s="67">
        <v>24</v>
      </c>
      <c r="BJ27" s="108">
        <f>Data!B25</f>
        <v>0</v>
      </c>
      <c r="BK27" s="110">
        <v>7</v>
      </c>
      <c r="BL27" s="110">
        <v>3</v>
      </c>
      <c r="BM27" s="110">
        <v>1</v>
      </c>
      <c r="BN27" s="110">
        <v>1</v>
      </c>
      <c r="BO27" s="111">
        <f t="shared" si="26"/>
        <v>12</v>
      </c>
      <c r="BP27" s="113">
        <v>42</v>
      </c>
      <c r="BQ27" s="119">
        <f t="shared" si="27"/>
        <v>54</v>
      </c>
      <c r="BR27" s="119">
        <f t="shared" si="28"/>
        <v>20</v>
      </c>
      <c r="BS27" s="119" t="str">
        <f t="shared" si="29"/>
        <v>C6</v>
      </c>
      <c r="BT27" s="119" t="str">
        <f t="shared" si="30"/>
        <v>Credit</v>
      </c>
      <c r="BU27">
        <v>24</v>
      </c>
      <c r="BV27" s="108" t="s">
        <v>184</v>
      </c>
      <c r="BW27" s="120">
        <v>5</v>
      </c>
      <c r="BX27" s="120">
        <v>4</v>
      </c>
      <c r="BY27" s="120">
        <v>9</v>
      </c>
      <c r="BZ27" s="120"/>
      <c r="CA27" s="121">
        <f t="shared" si="31"/>
        <v>18</v>
      </c>
      <c r="CB27" s="120">
        <v>22</v>
      </c>
      <c r="CC27" s="121">
        <f t="shared" si="32"/>
        <v>40</v>
      </c>
      <c r="CD27" s="121">
        <f t="shared" si="33"/>
        <v>37</v>
      </c>
      <c r="CE27" s="121" t="str">
        <f t="shared" si="34"/>
        <v>E8</v>
      </c>
      <c r="CF27" s="121" t="str">
        <f t="shared" si="35"/>
        <v>Pass</v>
      </c>
      <c r="CG27">
        <v>24</v>
      </c>
      <c r="CH27" s="108">
        <f>Data!B25</f>
        <v>0</v>
      </c>
      <c r="CI27" s="109"/>
      <c r="CJ27" s="109"/>
      <c r="CK27" s="109"/>
      <c r="CL27" s="109"/>
      <c r="CM27" s="122">
        <f t="shared" si="36"/>
        <v>0</v>
      </c>
      <c r="CN27" s="122"/>
      <c r="CO27" s="122">
        <f t="shared" si="37"/>
        <v>0</v>
      </c>
      <c r="CP27" s="122" t="str">
        <f t="shared" si="38"/>
        <v/>
      </c>
      <c r="CQ27" s="122" t="str">
        <f t="shared" si="39"/>
        <v/>
      </c>
      <c r="CR27" s="122" t="str">
        <f t="shared" si="40"/>
        <v/>
      </c>
      <c r="CS27">
        <v>24</v>
      </c>
      <c r="CT27" s="108">
        <f>Data!B25</f>
        <v>0</v>
      </c>
      <c r="CU27" s="43"/>
      <c r="CV27" s="43"/>
      <c r="CW27" s="43"/>
      <c r="CX27" s="43"/>
      <c r="CY27" s="123">
        <f t="shared" si="41"/>
        <v>0</v>
      </c>
      <c r="CZ27" s="43"/>
      <c r="DA27" s="123">
        <f t="shared" si="42"/>
        <v>0</v>
      </c>
      <c r="DB27" s="123" t="str">
        <f t="shared" si="43"/>
        <v/>
      </c>
      <c r="DC27" s="123" t="str">
        <f t="shared" si="44"/>
        <v/>
      </c>
      <c r="DD27" s="123" t="str">
        <f t="shared" si="45"/>
        <v/>
      </c>
      <c r="DE27">
        <v>24</v>
      </c>
      <c r="DF27" s="108">
        <f>Data!B25</f>
        <v>0</v>
      </c>
      <c r="DG27" s="109"/>
      <c r="DH27" s="109"/>
      <c r="DI27" s="109"/>
      <c r="DJ27" s="109"/>
      <c r="DK27" s="117">
        <f t="shared" si="46"/>
        <v>0</v>
      </c>
      <c r="DL27" s="116"/>
      <c r="DM27" s="117">
        <f t="shared" si="47"/>
        <v>0</v>
      </c>
      <c r="DN27" s="117" t="str">
        <f t="shared" si="48"/>
        <v/>
      </c>
      <c r="DO27" s="117" t="str">
        <f t="shared" si="49"/>
        <v/>
      </c>
      <c r="DP27" s="117" t="str">
        <f t="shared" si="50"/>
        <v/>
      </c>
      <c r="DQ27">
        <v>24</v>
      </c>
      <c r="DR27" s="108">
        <f>Data!B25</f>
        <v>0</v>
      </c>
      <c r="DS27" s="124"/>
      <c r="DT27" s="124"/>
      <c r="DU27" s="124"/>
      <c r="DV27" s="124"/>
      <c r="DW27" s="125">
        <f t="shared" si="51"/>
        <v>0</v>
      </c>
      <c r="DX27" s="126"/>
      <c r="DY27" s="125">
        <f t="shared" si="52"/>
        <v>0</v>
      </c>
      <c r="DZ27" s="125" t="str">
        <f t="shared" si="53"/>
        <v/>
      </c>
      <c r="EA27" s="125" t="str">
        <f t="shared" si="54"/>
        <v/>
      </c>
      <c r="EB27" s="125" t="str">
        <f t="shared" si="55"/>
        <v/>
      </c>
      <c r="EC27">
        <v>24</v>
      </c>
      <c r="ED27" s="108">
        <f>Data!B25</f>
        <v>0</v>
      </c>
      <c r="EE27" s="109"/>
      <c r="EF27" s="109"/>
      <c r="EG27" s="109"/>
      <c r="EH27" s="109"/>
      <c r="EI27" s="127">
        <f t="shared" si="56"/>
        <v>0</v>
      </c>
      <c r="EJ27" s="127"/>
      <c r="EK27" s="127">
        <f t="shared" si="57"/>
        <v>0</v>
      </c>
      <c r="EL27" s="127" t="str">
        <f t="shared" si="58"/>
        <v/>
      </c>
      <c r="EM27" s="127" t="str">
        <f t="shared" si="59"/>
        <v/>
      </c>
      <c r="EN27" s="127" t="str">
        <f t="shared" si="60"/>
        <v/>
      </c>
      <c r="EO27">
        <v>24</v>
      </c>
      <c r="EP27" s="128">
        <f>Data!B25</f>
        <v>0</v>
      </c>
      <c r="EQ27" s="109"/>
      <c r="ER27" s="109"/>
      <c r="ES27" s="109"/>
      <c r="ET27" s="109"/>
      <c r="EU27" s="123">
        <f t="shared" si="61"/>
        <v>0</v>
      </c>
      <c r="EV27" s="123"/>
      <c r="EW27" s="123">
        <f t="shared" si="62"/>
        <v>0</v>
      </c>
      <c r="EX27" s="123" t="str">
        <f t="shared" si="63"/>
        <v/>
      </c>
      <c r="EY27" s="123" t="str">
        <f t="shared" si="64"/>
        <v/>
      </c>
      <c r="EZ27" s="123" t="str">
        <f t="shared" si="65"/>
        <v/>
      </c>
      <c r="FA27">
        <v>24</v>
      </c>
      <c r="FB27" s="108">
        <f>Data!B25</f>
        <v>0</v>
      </c>
      <c r="FC27" s="109"/>
      <c r="FD27" s="109"/>
      <c r="FE27" s="109"/>
      <c r="FF27" s="109"/>
      <c r="FG27" s="129">
        <f t="shared" si="66"/>
        <v>0</v>
      </c>
      <c r="FH27" s="129"/>
      <c r="FI27" s="129">
        <f t="shared" si="67"/>
        <v>0</v>
      </c>
      <c r="FJ27" s="129" t="str">
        <f t="shared" si="68"/>
        <v/>
      </c>
      <c r="FK27" s="129" t="str">
        <f t="shared" si="69"/>
        <v/>
      </c>
      <c r="FL27" s="129" t="str">
        <f t="shared" si="70"/>
        <v/>
      </c>
      <c r="FM27">
        <v>24</v>
      </c>
      <c r="FN27" s="108">
        <f>Data!B25</f>
        <v>0</v>
      </c>
      <c r="FO27" s="109"/>
      <c r="FP27" s="109"/>
      <c r="FQ27" s="109"/>
      <c r="FR27" s="109"/>
      <c r="FS27" s="130">
        <f t="shared" si="71"/>
        <v>0</v>
      </c>
      <c r="FT27" s="130"/>
      <c r="FU27" s="130">
        <f t="shared" si="72"/>
        <v>0</v>
      </c>
      <c r="FV27" s="130" t="str">
        <f t="shared" si="73"/>
        <v/>
      </c>
      <c r="FW27" s="130" t="str">
        <f t="shared" si="74"/>
        <v/>
      </c>
      <c r="FX27" s="130" t="str">
        <f t="shared" si="75"/>
        <v/>
      </c>
      <c r="FY27">
        <v>24</v>
      </c>
      <c r="FZ27" s="108">
        <f>Data!B25</f>
        <v>0</v>
      </c>
      <c r="GA27" s="109">
        <v>6</v>
      </c>
      <c r="GB27" s="109">
        <v>7</v>
      </c>
      <c r="GC27" s="109">
        <v>2</v>
      </c>
      <c r="GD27" s="109">
        <v>2</v>
      </c>
      <c r="GE27" s="131">
        <f t="shared" si="76"/>
        <v>17</v>
      </c>
      <c r="GF27" s="131">
        <v>14</v>
      </c>
      <c r="GG27" s="131">
        <f t="shared" si="77"/>
        <v>31</v>
      </c>
      <c r="GH27" s="131">
        <f t="shared" si="78"/>
        <v>44</v>
      </c>
      <c r="GI27" s="131" t="str">
        <f t="shared" si="79"/>
        <v>F</v>
      </c>
      <c r="GJ27" s="131" t="str">
        <f t="shared" si="80"/>
        <v>Fail</v>
      </c>
      <c r="GK27">
        <v>24</v>
      </c>
      <c r="GL27" s="108">
        <f>Data!B25</f>
        <v>0</v>
      </c>
      <c r="GM27" s="132"/>
      <c r="GN27" s="132"/>
      <c r="GO27" s="132"/>
      <c r="GP27" s="132"/>
      <c r="GQ27" s="133">
        <f t="shared" si="81"/>
        <v>0</v>
      </c>
      <c r="GR27" s="132"/>
      <c r="GS27" s="133">
        <f t="shared" si="82"/>
        <v>0</v>
      </c>
      <c r="GT27" s="133" t="str">
        <f t="shared" si="83"/>
        <v/>
      </c>
      <c r="GU27" s="133" t="str">
        <f t="shared" si="84"/>
        <v/>
      </c>
      <c r="GV27" s="133" t="str">
        <f t="shared" si="85"/>
        <v/>
      </c>
      <c r="GW27">
        <v>24</v>
      </c>
      <c r="GX27" s="108">
        <f>Data!B25</f>
        <v>0</v>
      </c>
      <c r="GY27" s="109"/>
      <c r="GZ27" s="109"/>
      <c r="HA27" s="109"/>
      <c r="HB27" s="109"/>
      <c r="HC27" s="119">
        <f t="shared" si="86"/>
        <v>0</v>
      </c>
      <c r="HD27" s="119"/>
      <c r="HE27" s="119">
        <f t="shared" si="87"/>
        <v>0</v>
      </c>
      <c r="HF27" s="119" t="str">
        <f t="shared" si="88"/>
        <v/>
      </c>
      <c r="HG27" s="119" t="str">
        <f t="shared" si="89"/>
        <v/>
      </c>
      <c r="HH27" s="119" t="str">
        <f t="shared" si="90"/>
        <v/>
      </c>
      <c r="HI27">
        <v>24</v>
      </c>
      <c r="HJ27" s="128" t="s">
        <v>185</v>
      </c>
      <c r="HK27" s="144">
        <v>1</v>
      </c>
      <c r="HL27" s="145">
        <v>8</v>
      </c>
      <c r="HM27" s="145">
        <v>10</v>
      </c>
      <c r="HN27" s="145">
        <v>10</v>
      </c>
      <c r="HO27" s="136">
        <f t="shared" si="91"/>
        <v>29</v>
      </c>
      <c r="HP27" s="144"/>
      <c r="HQ27" s="136">
        <f t="shared" si="92"/>
        <v>29</v>
      </c>
      <c r="HR27" s="136">
        <f t="shared" si="93"/>
        <v>3</v>
      </c>
      <c r="HS27" s="136" t="str">
        <f t="shared" si="94"/>
        <v>F</v>
      </c>
      <c r="HT27" s="136" t="str">
        <f t="shared" si="95"/>
        <v>Fail</v>
      </c>
      <c r="HU27">
        <v>24</v>
      </c>
      <c r="HV27" s="108">
        <f>Data!B25</f>
        <v>0</v>
      </c>
      <c r="HW27" s="109"/>
      <c r="HX27" s="109"/>
      <c r="HY27" s="109"/>
      <c r="HZ27" s="109"/>
      <c r="IA27" s="117">
        <f t="shared" si="96"/>
        <v>0</v>
      </c>
      <c r="IB27" s="117"/>
      <c r="IC27" s="117">
        <f t="shared" si="97"/>
        <v>0</v>
      </c>
      <c r="ID27" s="117" t="str">
        <f t="shared" si="98"/>
        <v/>
      </c>
      <c r="IE27" s="117" t="str">
        <f t="shared" si="99"/>
        <v/>
      </c>
      <c r="IF27" s="117" t="str">
        <f t="shared" si="100"/>
        <v/>
      </c>
      <c r="IG27">
        <v>24</v>
      </c>
      <c r="IH27" s="108">
        <f>Data!B25</f>
        <v>0</v>
      </c>
      <c r="II27" s="109"/>
      <c r="IJ27" s="109"/>
      <c r="IK27" s="109"/>
      <c r="IL27" s="109"/>
      <c r="IM27" s="137">
        <f t="shared" si="101"/>
        <v>0</v>
      </c>
      <c r="IN27" s="137"/>
      <c r="IO27" s="137">
        <f t="shared" si="102"/>
        <v>0</v>
      </c>
      <c r="IP27" s="137" t="str">
        <f t="shared" si="103"/>
        <v/>
      </c>
      <c r="IQ27" s="137" t="str">
        <f t="shared" si="104"/>
        <v/>
      </c>
      <c r="IR27" s="137" t="str">
        <f t="shared" si="105"/>
        <v/>
      </c>
      <c r="IS27">
        <v>24</v>
      </c>
      <c r="IT27" s="108">
        <f t="shared" si="106"/>
        <v>0</v>
      </c>
      <c r="IU27" s="110">
        <v>7</v>
      </c>
      <c r="IV27" s="110">
        <v>3</v>
      </c>
      <c r="IW27" s="110">
        <v>1</v>
      </c>
      <c r="IX27" s="110">
        <v>1</v>
      </c>
      <c r="IY27" s="111">
        <f t="shared" si="107"/>
        <v>12</v>
      </c>
      <c r="IZ27" s="113">
        <v>42</v>
      </c>
      <c r="JA27" s="131">
        <f t="shared" si="108"/>
        <v>54</v>
      </c>
      <c r="JB27" s="131">
        <f t="shared" si="109"/>
        <v>20</v>
      </c>
      <c r="JC27" s="131" t="str">
        <f t="shared" si="110"/>
        <v>C</v>
      </c>
      <c r="JD27" s="131" t="str">
        <f t="shared" si="111"/>
        <v>Credit</v>
      </c>
      <c r="JE27">
        <v>24</v>
      </c>
      <c r="JF27" s="108">
        <f t="shared" si="112"/>
        <v>0</v>
      </c>
      <c r="JG27" s="147"/>
      <c r="JH27" s="147"/>
      <c r="JI27" s="147"/>
      <c r="JJ27" s="147"/>
      <c r="JK27" s="113">
        <f t="shared" si="113"/>
        <v>0</v>
      </c>
      <c r="JL27" s="147"/>
      <c r="JM27" s="113">
        <f t="shared" si="114"/>
        <v>0</v>
      </c>
      <c r="JN27" s="113" t="str">
        <f t="shared" si="115"/>
        <v/>
      </c>
      <c r="JO27" s="113" t="str">
        <f t="shared" si="116"/>
        <v/>
      </c>
      <c r="JP27" s="113" t="str">
        <f t="shared" si="117"/>
        <v/>
      </c>
      <c r="JQ27">
        <v>24</v>
      </c>
      <c r="JR27" s="108">
        <f t="shared" si="118"/>
        <v>0</v>
      </c>
      <c r="JS27" s="140"/>
      <c r="JT27" s="140"/>
      <c r="JU27" s="140"/>
      <c r="JV27" s="140"/>
      <c r="JW27" s="111">
        <f t="shared" si="119"/>
        <v>0</v>
      </c>
      <c r="JX27" s="141"/>
      <c r="JY27" s="111">
        <f t="shared" si="0"/>
        <v>0</v>
      </c>
      <c r="JZ27" s="111" t="str">
        <f t="shared" si="120"/>
        <v/>
      </c>
      <c r="KA27" s="111" t="str">
        <f t="shared" si="121"/>
        <v/>
      </c>
      <c r="KB27" s="111" t="str">
        <f t="shared" si="122"/>
        <v/>
      </c>
      <c r="KD27" s="47"/>
      <c r="KE27" s="47"/>
      <c r="KF27" s="47"/>
      <c r="KG27" s="47"/>
      <c r="KH27" s="47"/>
      <c r="KI27" s="47"/>
      <c r="KJ27" s="47"/>
      <c r="KK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</row>
    <row r="28" spans="1:308" ht="23.25">
      <c r="A28" s="211">
        <v>25</v>
      </c>
      <c r="B28" s="108">
        <f>Data!B26</f>
        <v>0</v>
      </c>
      <c r="C28" s="109"/>
      <c r="D28" s="109"/>
      <c r="E28" s="109"/>
      <c r="F28" s="109"/>
      <c r="G28" s="111">
        <f t="shared" si="123"/>
        <v>0</v>
      </c>
      <c r="H28" s="111"/>
      <c r="I28" s="111">
        <f t="shared" si="2"/>
        <v>0</v>
      </c>
      <c r="J28" s="110" t="str">
        <f t="shared" si="3"/>
        <v/>
      </c>
      <c r="K28" s="110" t="str">
        <f t="shared" si="4"/>
        <v/>
      </c>
      <c r="L28" s="110" t="str">
        <f t="shared" si="5"/>
        <v/>
      </c>
      <c r="M28" s="48">
        <v>25</v>
      </c>
      <c r="N28" s="108">
        <f>Data!B26</f>
        <v>0</v>
      </c>
      <c r="O28" s="109"/>
      <c r="P28" s="109"/>
      <c r="Q28" s="109"/>
      <c r="R28" s="109"/>
      <c r="S28" s="111">
        <f t="shared" si="6"/>
        <v>0</v>
      </c>
      <c r="T28" s="111"/>
      <c r="U28" s="111">
        <f t="shared" si="7"/>
        <v>0</v>
      </c>
      <c r="V28" s="111" t="str">
        <f t="shared" si="8"/>
        <v/>
      </c>
      <c r="W28" s="111" t="str">
        <f t="shared" si="9"/>
        <v/>
      </c>
      <c r="X28" s="111" t="str">
        <f t="shared" si="10"/>
        <v/>
      </c>
      <c r="Y28" s="42">
        <v>25</v>
      </c>
      <c r="Z28" s="108">
        <f>Data!B26</f>
        <v>0</v>
      </c>
      <c r="AA28" s="109"/>
      <c r="AB28" s="109"/>
      <c r="AC28" s="109"/>
      <c r="AD28" s="109"/>
      <c r="AE28" s="111">
        <f t="shared" si="11"/>
        <v>0</v>
      </c>
      <c r="AF28" s="112">
        <v>42</v>
      </c>
      <c r="AG28" s="113">
        <f t="shared" si="12"/>
        <v>42</v>
      </c>
      <c r="AH28" s="113">
        <f t="shared" si="13"/>
        <v>40</v>
      </c>
      <c r="AI28" s="113" t="str">
        <f t="shared" si="14"/>
        <v>E8</v>
      </c>
      <c r="AJ28" s="113" t="str">
        <f t="shared" si="15"/>
        <v>Pass</v>
      </c>
      <c r="AK28" s="42">
        <v>25</v>
      </c>
      <c r="AL28" s="108">
        <f>Data!B26</f>
        <v>0</v>
      </c>
      <c r="AM28" s="114"/>
      <c r="AN28" s="114"/>
      <c r="AO28" s="114"/>
      <c r="AP28" s="114"/>
      <c r="AQ28" s="115">
        <f t="shared" si="16"/>
        <v>0</v>
      </c>
      <c r="AR28" s="114"/>
      <c r="AS28" s="115">
        <f t="shared" si="17"/>
        <v>0</v>
      </c>
      <c r="AT28" s="115" t="str">
        <f t="shared" si="18"/>
        <v/>
      </c>
      <c r="AU28" s="115" t="str">
        <f t="shared" si="19"/>
        <v/>
      </c>
      <c r="AV28" s="115" t="str">
        <f t="shared" si="20"/>
        <v/>
      </c>
      <c r="AW28" s="42">
        <v>25</v>
      </c>
      <c r="AX28" s="108">
        <f>Data!B26</f>
        <v>0</v>
      </c>
      <c r="AY28" s="116"/>
      <c r="AZ28" s="116"/>
      <c r="BA28" s="116"/>
      <c r="BB28" s="116"/>
      <c r="BC28" s="117">
        <f t="shared" si="21"/>
        <v>0</v>
      </c>
      <c r="BD28" s="116"/>
      <c r="BE28" s="117">
        <f t="shared" si="22"/>
        <v>0</v>
      </c>
      <c r="BF28" s="117" t="str">
        <f t="shared" si="23"/>
        <v/>
      </c>
      <c r="BG28" s="117" t="str">
        <f t="shared" si="24"/>
        <v/>
      </c>
      <c r="BH28" s="117" t="str">
        <f t="shared" si="25"/>
        <v/>
      </c>
      <c r="BI28" s="67">
        <v>25</v>
      </c>
      <c r="BJ28" s="108">
        <f>Data!B26</f>
        <v>0</v>
      </c>
      <c r="BK28" s="110"/>
      <c r="BL28" s="110"/>
      <c r="BM28" s="110"/>
      <c r="BN28" s="110"/>
      <c r="BO28" s="111">
        <f t="shared" si="26"/>
        <v>0</v>
      </c>
      <c r="BP28" s="113">
        <v>42</v>
      </c>
      <c r="BQ28" s="119">
        <f t="shared" si="27"/>
        <v>42</v>
      </c>
      <c r="BR28" s="119">
        <f t="shared" si="28"/>
        <v>28</v>
      </c>
      <c r="BS28" s="119" t="str">
        <f t="shared" si="29"/>
        <v>E8</v>
      </c>
      <c r="BT28" s="119" t="str">
        <f t="shared" si="30"/>
        <v>Pass</v>
      </c>
      <c r="BU28">
        <v>25</v>
      </c>
      <c r="BV28" s="108">
        <f>Data!B26</f>
        <v>0</v>
      </c>
      <c r="BW28" s="120"/>
      <c r="BX28" s="120"/>
      <c r="BY28" s="120"/>
      <c r="BZ28" s="120"/>
      <c r="CA28" s="121">
        <f t="shared" si="31"/>
        <v>0</v>
      </c>
      <c r="CB28" s="120"/>
      <c r="CC28" s="121">
        <f t="shared" si="32"/>
        <v>0</v>
      </c>
      <c r="CD28" s="121" t="str">
        <f t="shared" si="33"/>
        <v/>
      </c>
      <c r="CE28" s="121" t="str">
        <f t="shared" si="34"/>
        <v/>
      </c>
      <c r="CF28" s="121" t="str">
        <f t="shared" si="35"/>
        <v/>
      </c>
      <c r="CG28">
        <v>25</v>
      </c>
      <c r="CH28" s="108">
        <f>Data!B26</f>
        <v>0</v>
      </c>
      <c r="CI28" s="109"/>
      <c r="CJ28" s="109"/>
      <c r="CK28" s="109"/>
      <c r="CL28" s="109"/>
      <c r="CM28" s="122">
        <f t="shared" si="36"/>
        <v>0</v>
      </c>
      <c r="CN28" s="122"/>
      <c r="CO28" s="122">
        <f t="shared" si="37"/>
        <v>0</v>
      </c>
      <c r="CP28" s="122" t="str">
        <f t="shared" si="38"/>
        <v/>
      </c>
      <c r="CQ28" s="122" t="str">
        <f t="shared" si="39"/>
        <v/>
      </c>
      <c r="CR28" s="122" t="str">
        <f t="shared" si="40"/>
        <v/>
      </c>
      <c r="CS28">
        <v>25</v>
      </c>
      <c r="CT28" s="108">
        <f>Data!B26</f>
        <v>0</v>
      </c>
      <c r="CU28" s="43"/>
      <c r="CV28" s="43"/>
      <c r="CW28" s="43"/>
      <c r="CX28" s="43"/>
      <c r="CY28" s="123">
        <f t="shared" si="41"/>
        <v>0</v>
      </c>
      <c r="CZ28" s="43"/>
      <c r="DA28" s="123">
        <f t="shared" si="42"/>
        <v>0</v>
      </c>
      <c r="DB28" s="123" t="str">
        <f t="shared" si="43"/>
        <v/>
      </c>
      <c r="DC28" s="123" t="str">
        <f t="shared" si="44"/>
        <v/>
      </c>
      <c r="DD28" s="123" t="str">
        <f t="shared" si="45"/>
        <v/>
      </c>
      <c r="DE28">
        <v>25</v>
      </c>
      <c r="DF28" s="108">
        <f>Data!B26</f>
        <v>0</v>
      </c>
      <c r="DG28" s="109"/>
      <c r="DH28" s="109"/>
      <c r="DI28" s="109"/>
      <c r="DJ28" s="109"/>
      <c r="DK28" s="117">
        <f t="shared" si="46"/>
        <v>0</v>
      </c>
      <c r="DL28" s="116"/>
      <c r="DM28" s="117">
        <f t="shared" si="47"/>
        <v>0</v>
      </c>
      <c r="DN28" s="117" t="str">
        <f t="shared" si="48"/>
        <v/>
      </c>
      <c r="DO28" s="117" t="str">
        <f t="shared" si="49"/>
        <v/>
      </c>
      <c r="DP28" s="117" t="str">
        <f t="shared" si="50"/>
        <v/>
      </c>
      <c r="DQ28">
        <v>25</v>
      </c>
      <c r="DR28" s="108">
        <f>Data!B26</f>
        <v>0</v>
      </c>
      <c r="DS28" s="124"/>
      <c r="DT28" s="124"/>
      <c r="DU28" s="124"/>
      <c r="DV28" s="124"/>
      <c r="DW28" s="125">
        <f t="shared" si="51"/>
        <v>0</v>
      </c>
      <c r="DX28" s="126"/>
      <c r="DY28" s="125">
        <f t="shared" si="52"/>
        <v>0</v>
      </c>
      <c r="DZ28" s="125" t="str">
        <f t="shared" si="53"/>
        <v/>
      </c>
      <c r="EA28" s="125" t="str">
        <f t="shared" si="54"/>
        <v/>
      </c>
      <c r="EB28" s="125" t="str">
        <f t="shared" si="55"/>
        <v/>
      </c>
      <c r="EC28">
        <v>25</v>
      </c>
      <c r="ED28" s="108">
        <f>Data!B26</f>
        <v>0</v>
      </c>
      <c r="EE28" s="109"/>
      <c r="EF28" s="109"/>
      <c r="EG28" s="109"/>
      <c r="EH28" s="109"/>
      <c r="EI28" s="127">
        <f t="shared" si="56"/>
        <v>0</v>
      </c>
      <c r="EJ28" s="127"/>
      <c r="EK28" s="127">
        <f t="shared" si="57"/>
        <v>0</v>
      </c>
      <c r="EL28" s="127" t="str">
        <f t="shared" si="58"/>
        <v/>
      </c>
      <c r="EM28" s="127" t="str">
        <f t="shared" si="59"/>
        <v/>
      </c>
      <c r="EN28" s="127" t="str">
        <f t="shared" si="60"/>
        <v/>
      </c>
      <c r="EO28">
        <v>25</v>
      </c>
      <c r="EP28" s="128">
        <f>Data!B26</f>
        <v>0</v>
      </c>
      <c r="EQ28" s="109"/>
      <c r="ER28" s="109"/>
      <c r="ES28" s="109"/>
      <c r="ET28" s="109"/>
      <c r="EU28" s="123">
        <f t="shared" si="61"/>
        <v>0</v>
      </c>
      <c r="EV28" s="123"/>
      <c r="EW28" s="123">
        <f t="shared" si="62"/>
        <v>0</v>
      </c>
      <c r="EX28" s="123" t="str">
        <f t="shared" si="63"/>
        <v/>
      </c>
      <c r="EY28" s="123" t="str">
        <f t="shared" si="64"/>
        <v/>
      </c>
      <c r="EZ28" s="123" t="str">
        <f t="shared" si="65"/>
        <v/>
      </c>
      <c r="FA28">
        <v>25</v>
      </c>
      <c r="FB28" s="108">
        <f>Data!B26</f>
        <v>0</v>
      </c>
      <c r="FC28" s="109"/>
      <c r="FD28" s="109"/>
      <c r="FE28" s="109"/>
      <c r="FF28" s="109"/>
      <c r="FG28" s="129">
        <f t="shared" si="66"/>
        <v>0</v>
      </c>
      <c r="FH28" s="129"/>
      <c r="FI28" s="129">
        <f t="shared" si="67"/>
        <v>0</v>
      </c>
      <c r="FJ28" s="129" t="str">
        <f t="shared" si="68"/>
        <v/>
      </c>
      <c r="FK28" s="129" t="str">
        <f t="shared" si="69"/>
        <v/>
      </c>
      <c r="FL28" s="129" t="str">
        <f t="shared" si="70"/>
        <v/>
      </c>
      <c r="FM28">
        <v>25</v>
      </c>
      <c r="FN28" s="108">
        <f>Data!B26</f>
        <v>0</v>
      </c>
      <c r="FO28" s="109"/>
      <c r="FP28" s="109"/>
      <c r="FQ28" s="109"/>
      <c r="FR28" s="109"/>
      <c r="FS28" s="130">
        <f t="shared" si="71"/>
        <v>0</v>
      </c>
      <c r="FT28" s="130"/>
      <c r="FU28" s="130">
        <f t="shared" si="72"/>
        <v>0</v>
      </c>
      <c r="FV28" s="130" t="str">
        <f t="shared" si="73"/>
        <v/>
      </c>
      <c r="FW28" s="130" t="str">
        <f t="shared" si="74"/>
        <v/>
      </c>
      <c r="FX28" s="130" t="str">
        <f t="shared" si="75"/>
        <v/>
      </c>
      <c r="FY28">
        <v>25</v>
      </c>
      <c r="FZ28" s="108">
        <f>Data!B26</f>
        <v>0</v>
      </c>
      <c r="GA28" s="109"/>
      <c r="GB28" s="109"/>
      <c r="GC28" s="109"/>
      <c r="GD28" s="109"/>
      <c r="GE28" s="131">
        <f t="shared" si="76"/>
        <v>0</v>
      </c>
      <c r="GF28" s="131"/>
      <c r="GG28" s="131">
        <f t="shared" si="77"/>
        <v>0</v>
      </c>
      <c r="GH28" s="131" t="str">
        <f t="shared" si="78"/>
        <v/>
      </c>
      <c r="GI28" s="131" t="str">
        <f t="shared" si="79"/>
        <v/>
      </c>
      <c r="GJ28" s="131" t="str">
        <f t="shared" si="80"/>
        <v/>
      </c>
      <c r="GK28">
        <v>25</v>
      </c>
      <c r="GL28" s="108">
        <f>Data!B26</f>
        <v>0</v>
      </c>
      <c r="GM28" s="132"/>
      <c r="GN28" s="132"/>
      <c r="GO28" s="132"/>
      <c r="GP28" s="132"/>
      <c r="GQ28" s="133">
        <f t="shared" si="81"/>
        <v>0</v>
      </c>
      <c r="GR28" s="132"/>
      <c r="GS28" s="133">
        <f t="shared" si="82"/>
        <v>0</v>
      </c>
      <c r="GT28" s="133" t="str">
        <f t="shared" si="83"/>
        <v/>
      </c>
      <c r="GU28" s="133" t="str">
        <f t="shared" si="84"/>
        <v/>
      </c>
      <c r="GV28" s="133" t="str">
        <f t="shared" si="85"/>
        <v/>
      </c>
      <c r="GW28">
        <v>25</v>
      </c>
      <c r="GX28" s="108">
        <f>Data!B26</f>
        <v>0</v>
      </c>
      <c r="GY28" s="109"/>
      <c r="GZ28" s="109"/>
      <c r="HA28" s="109"/>
      <c r="HB28" s="109"/>
      <c r="HC28" s="119">
        <f t="shared" si="86"/>
        <v>0</v>
      </c>
      <c r="HD28" s="119"/>
      <c r="HE28" s="119">
        <f t="shared" si="87"/>
        <v>0</v>
      </c>
      <c r="HF28" s="119" t="str">
        <f t="shared" si="88"/>
        <v/>
      </c>
      <c r="HG28" s="119" t="str">
        <f t="shared" si="89"/>
        <v/>
      </c>
      <c r="HH28" s="119" t="str">
        <f t="shared" si="90"/>
        <v/>
      </c>
      <c r="HI28">
        <v>25</v>
      </c>
      <c r="HJ28" s="108">
        <f>Data!B26</f>
        <v>0</v>
      </c>
      <c r="HK28" s="144"/>
      <c r="HL28" s="145"/>
      <c r="HM28" s="145"/>
      <c r="HN28" s="145"/>
      <c r="HO28" s="136">
        <f t="shared" si="91"/>
        <v>0</v>
      </c>
      <c r="HP28" s="144"/>
      <c r="HQ28" s="136">
        <f t="shared" si="92"/>
        <v>0</v>
      </c>
      <c r="HR28" s="136" t="str">
        <f t="shared" si="93"/>
        <v/>
      </c>
      <c r="HS28" s="136" t="str">
        <f t="shared" si="94"/>
        <v/>
      </c>
      <c r="HT28" s="136" t="str">
        <f t="shared" si="95"/>
        <v/>
      </c>
      <c r="HU28">
        <v>25</v>
      </c>
      <c r="HV28" s="108">
        <f>Data!B26</f>
        <v>0</v>
      </c>
      <c r="HW28" s="109"/>
      <c r="HX28" s="109"/>
      <c r="HY28" s="109"/>
      <c r="HZ28" s="109"/>
      <c r="IA28" s="117">
        <f t="shared" si="96"/>
        <v>0</v>
      </c>
      <c r="IB28" s="117"/>
      <c r="IC28" s="117">
        <f t="shared" si="97"/>
        <v>0</v>
      </c>
      <c r="ID28" s="117" t="str">
        <f t="shared" si="98"/>
        <v/>
      </c>
      <c r="IE28" s="117" t="str">
        <f t="shared" si="99"/>
        <v/>
      </c>
      <c r="IF28" s="117" t="str">
        <f t="shared" si="100"/>
        <v/>
      </c>
      <c r="IG28">
        <v>25</v>
      </c>
      <c r="IH28" s="108">
        <f>Data!B26</f>
        <v>0</v>
      </c>
      <c r="II28" s="109"/>
      <c r="IJ28" s="109"/>
      <c r="IK28" s="109"/>
      <c r="IL28" s="109"/>
      <c r="IM28" s="137">
        <f t="shared" si="101"/>
        <v>0</v>
      </c>
      <c r="IN28" s="137"/>
      <c r="IO28" s="137">
        <f t="shared" si="102"/>
        <v>0</v>
      </c>
      <c r="IP28" s="137" t="str">
        <f t="shared" si="103"/>
        <v/>
      </c>
      <c r="IQ28" s="137" t="str">
        <f t="shared" si="104"/>
        <v/>
      </c>
      <c r="IR28" s="137" t="str">
        <f t="shared" si="105"/>
        <v/>
      </c>
      <c r="IS28">
        <v>25</v>
      </c>
      <c r="IT28" s="108">
        <f t="shared" si="106"/>
        <v>0</v>
      </c>
      <c r="IU28" s="110"/>
      <c r="IV28" s="110"/>
      <c r="IW28" s="110"/>
      <c r="IX28" s="110"/>
      <c r="IY28" s="111">
        <f t="shared" si="107"/>
        <v>0</v>
      </c>
      <c r="IZ28" s="113">
        <v>42</v>
      </c>
      <c r="JA28" s="131">
        <f t="shared" si="108"/>
        <v>42</v>
      </c>
      <c r="JB28" s="131">
        <f t="shared" si="109"/>
        <v>28</v>
      </c>
      <c r="JC28" s="131" t="str">
        <f t="shared" si="110"/>
        <v>E</v>
      </c>
      <c r="JD28" s="131" t="str">
        <f t="shared" si="111"/>
        <v>Pass</v>
      </c>
      <c r="JE28">
        <v>25</v>
      </c>
      <c r="JF28" s="108">
        <f t="shared" si="112"/>
        <v>0</v>
      </c>
      <c r="JG28" s="147"/>
      <c r="JH28" s="147"/>
      <c r="JI28" s="147"/>
      <c r="JJ28" s="147"/>
      <c r="JK28" s="113">
        <f t="shared" si="113"/>
        <v>0</v>
      </c>
      <c r="JL28" s="147"/>
      <c r="JM28" s="113">
        <f t="shared" si="114"/>
        <v>0</v>
      </c>
      <c r="JN28" s="113" t="str">
        <f t="shared" si="115"/>
        <v/>
      </c>
      <c r="JO28" s="113" t="str">
        <f t="shared" si="116"/>
        <v/>
      </c>
      <c r="JP28" s="113" t="str">
        <f t="shared" si="117"/>
        <v/>
      </c>
      <c r="JQ28">
        <v>25</v>
      </c>
      <c r="JR28" s="108">
        <f t="shared" si="118"/>
        <v>0</v>
      </c>
      <c r="JS28" s="140"/>
      <c r="JT28" s="140"/>
      <c r="JU28" s="140"/>
      <c r="JV28" s="140"/>
      <c r="JW28" s="111">
        <f t="shared" si="119"/>
        <v>0</v>
      </c>
      <c r="JX28" s="141"/>
      <c r="JY28" s="111">
        <f t="shared" si="0"/>
        <v>0</v>
      </c>
      <c r="JZ28" s="111" t="str">
        <f t="shared" si="120"/>
        <v/>
      </c>
      <c r="KA28" s="111" t="str">
        <f t="shared" si="121"/>
        <v/>
      </c>
      <c r="KB28" s="111" t="str">
        <f t="shared" si="122"/>
        <v/>
      </c>
      <c r="KD28" s="47"/>
      <c r="KE28" s="47"/>
      <c r="KF28" s="47"/>
      <c r="KG28" s="47"/>
      <c r="KH28" s="47"/>
      <c r="KI28" s="47"/>
      <c r="KJ28" s="47"/>
      <c r="KK28" s="47"/>
      <c r="KM28" s="47"/>
      <c r="KN28" s="47"/>
      <c r="KO28" s="47"/>
      <c r="KP28" s="47"/>
      <c r="KQ28" s="47"/>
      <c r="KR28" s="47"/>
      <c r="KS28" s="47"/>
      <c r="KT28" s="47"/>
      <c r="KU28" s="47"/>
      <c r="KV28" s="47"/>
    </row>
    <row r="29" spans="1:308" ht="23.25">
      <c r="A29" s="211">
        <v>26</v>
      </c>
      <c r="B29" s="108">
        <f>Data!B27</f>
        <v>0</v>
      </c>
      <c r="C29" s="109"/>
      <c r="D29" s="109"/>
      <c r="E29" s="109"/>
      <c r="F29" s="109"/>
      <c r="G29" s="111">
        <f t="shared" si="123"/>
        <v>0</v>
      </c>
      <c r="H29" s="111"/>
      <c r="I29" s="111">
        <f t="shared" si="2"/>
        <v>0</v>
      </c>
      <c r="J29" s="110" t="str">
        <f t="shared" si="3"/>
        <v/>
      </c>
      <c r="K29" s="110" t="str">
        <f t="shared" si="4"/>
        <v/>
      </c>
      <c r="L29" s="110" t="str">
        <f t="shared" si="5"/>
        <v/>
      </c>
      <c r="M29" s="48">
        <v>26</v>
      </c>
      <c r="N29" s="108">
        <f>Data!B27</f>
        <v>0</v>
      </c>
      <c r="O29" s="109"/>
      <c r="P29" s="109"/>
      <c r="Q29" s="109"/>
      <c r="R29" s="109"/>
      <c r="S29" s="111">
        <f t="shared" si="6"/>
        <v>0</v>
      </c>
      <c r="T29" s="111"/>
      <c r="U29" s="111">
        <f t="shared" si="7"/>
        <v>0</v>
      </c>
      <c r="V29" s="111" t="str">
        <f t="shared" si="8"/>
        <v/>
      </c>
      <c r="W29" s="111" t="str">
        <f t="shared" si="9"/>
        <v/>
      </c>
      <c r="X29" s="111" t="str">
        <f t="shared" si="10"/>
        <v/>
      </c>
      <c r="Y29" s="42">
        <v>26</v>
      </c>
      <c r="Z29" s="108">
        <f>Data!B27</f>
        <v>0</v>
      </c>
      <c r="AA29" s="109"/>
      <c r="AB29" s="109"/>
      <c r="AC29" s="109"/>
      <c r="AD29" s="109"/>
      <c r="AE29" s="111">
        <f t="shared" si="11"/>
        <v>0</v>
      </c>
      <c r="AF29" s="112">
        <v>42</v>
      </c>
      <c r="AG29" s="113">
        <f t="shared" si="12"/>
        <v>42</v>
      </c>
      <c r="AH29" s="113">
        <f t="shared" si="13"/>
        <v>40</v>
      </c>
      <c r="AI29" s="113" t="str">
        <f t="shared" si="14"/>
        <v>E8</v>
      </c>
      <c r="AJ29" s="113" t="str">
        <f t="shared" si="15"/>
        <v>Pass</v>
      </c>
      <c r="AK29" s="42">
        <v>26</v>
      </c>
      <c r="AL29" s="108">
        <f>Data!B27</f>
        <v>0</v>
      </c>
      <c r="AM29" s="114"/>
      <c r="AN29" s="114"/>
      <c r="AO29" s="114"/>
      <c r="AP29" s="114"/>
      <c r="AQ29" s="115">
        <f t="shared" si="16"/>
        <v>0</v>
      </c>
      <c r="AR29" s="114"/>
      <c r="AS29" s="115">
        <f t="shared" si="17"/>
        <v>0</v>
      </c>
      <c r="AT29" s="115" t="str">
        <f t="shared" si="18"/>
        <v/>
      </c>
      <c r="AU29" s="115" t="str">
        <f t="shared" si="19"/>
        <v/>
      </c>
      <c r="AV29" s="115" t="str">
        <f t="shared" si="20"/>
        <v/>
      </c>
      <c r="AW29" s="42">
        <v>26</v>
      </c>
      <c r="AX29" s="108">
        <f>Data!B27</f>
        <v>0</v>
      </c>
      <c r="AY29" s="116"/>
      <c r="AZ29" s="116"/>
      <c r="BA29" s="116"/>
      <c r="BB29" s="116"/>
      <c r="BC29" s="117">
        <f t="shared" si="21"/>
        <v>0</v>
      </c>
      <c r="BD29" s="116"/>
      <c r="BE29" s="117">
        <f t="shared" si="22"/>
        <v>0</v>
      </c>
      <c r="BF29" s="117" t="str">
        <f t="shared" si="23"/>
        <v/>
      </c>
      <c r="BG29" s="117" t="str">
        <f t="shared" si="24"/>
        <v/>
      </c>
      <c r="BH29" s="117" t="str">
        <f t="shared" si="25"/>
        <v/>
      </c>
      <c r="BI29" s="67">
        <v>26</v>
      </c>
      <c r="BJ29" s="108">
        <f>Data!B27</f>
        <v>0</v>
      </c>
      <c r="BK29" s="110"/>
      <c r="BL29" s="110"/>
      <c r="BM29" s="110"/>
      <c r="BN29" s="110"/>
      <c r="BO29" s="111">
        <f t="shared" si="26"/>
        <v>0</v>
      </c>
      <c r="BP29" s="113">
        <v>42</v>
      </c>
      <c r="BQ29" s="119">
        <f t="shared" si="27"/>
        <v>42</v>
      </c>
      <c r="BR29" s="119">
        <f t="shared" si="28"/>
        <v>28</v>
      </c>
      <c r="BS29" s="119" t="str">
        <f t="shared" si="29"/>
        <v>E8</v>
      </c>
      <c r="BT29" s="119" t="str">
        <f t="shared" si="30"/>
        <v>Pass</v>
      </c>
      <c r="BU29">
        <v>26</v>
      </c>
      <c r="BV29" s="108">
        <f>Data!B27</f>
        <v>0</v>
      </c>
      <c r="BW29" s="120"/>
      <c r="BX29" s="120"/>
      <c r="BY29" s="120"/>
      <c r="BZ29" s="120"/>
      <c r="CA29" s="121">
        <f t="shared" si="31"/>
        <v>0</v>
      </c>
      <c r="CB29" s="120"/>
      <c r="CC29" s="121">
        <f t="shared" si="32"/>
        <v>0</v>
      </c>
      <c r="CD29" s="121" t="str">
        <f t="shared" si="33"/>
        <v/>
      </c>
      <c r="CE29" s="121" t="str">
        <f t="shared" si="34"/>
        <v/>
      </c>
      <c r="CF29" s="121" t="str">
        <f t="shared" si="35"/>
        <v/>
      </c>
      <c r="CG29">
        <v>26</v>
      </c>
      <c r="CH29" s="108">
        <f>Data!B27</f>
        <v>0</v>
      </c>
      <c r="CI29" s="109"/>
      <c r="CJ29" s="109"/>
      <c r="CK29" s="109"/>
      <c r="CL29" s="109"/>
      <c r="CM29" s="122">
        <f t="shared" si="36"/>
        <v>0</v>
      </c>
      <c r="CN29" s="122"/>
      <c r="CO29" s="122">
        <f t="shared" si="37"/>
        <v>0</v>
      </c>
      <c r="CP29" s="122" t="str">
        <f t="shared" si="38"/>
        <v/>
      </c>
      <c r="CQ29" s="122" t="str">
        <f t="shared" si="39"/>
        <v/>
      </c>
      <c r="CR29" s="122" t="str">
        <f t="shared" si="40"/>
        <v/>
      </c>
      <c r="CS29">
        <v>26</v>
      </c>
      <c r="CT29" s="108">
        <f>Data!B27</f>
        <v>0</v>
      </c>
      <c r="CU29" s="43"/>
      <c r="CV29" s="43"/>
      <c r="CW29" s="43"/>
      <c r="CX29" s="43"/>
      <c r="CY29" s="123">
        <f t="shared" si="41"/>
        <v>0</v>
      </c>
      <c r="CZ29" s="43"/>
      <c r="DA29" s="123">
        <f t="shared" si="42"/>
        <v>0</v>
      </c>
      <c r="DB29" s="123" t="str">
        <f t="shared" si="43"/>
        <v/>
      </c>
      <c r="DC29" s="123" t="str">
        <f t="shared" si="44"/>
        <v/>
      </c>
      <c r="DD29" s="123" t="str">
        <f t="shared" si="45"/>
        <v/>
      </c>
      <c r="DE29">
        <v>26</v>
      </c>
      <c r="DF29" s="108">
        <f>Data!B27</f>
        <v>0</v>
      </c>
      <c r="DG29" s="109"/>
      <c r="DH29" s="109"/>
      <c r="DI29" s="109"/>
      <c r="DJ29" s="109"/>
      <c r="DK29" s="117">
        <f t="shared" si="46"/>
        <v>0</v>
      </c>
      <c r="DL29" s="116"/>
      <c r="DM29" s="117">
        <f t="shared" si="47"/>
        <v>0</v>
      </c>
      <c r="DN29" s="117" t="str">
        <f t="shared" si="48"/>
        <v/>
      </c>
      <c r="DO29" s="117" t="str">
        <f t="shared" si="49"/>
        <v/>
      </c>
      <c r="DP29" s="117" t="str">
        <f t="shared" si="50"/>
        <v/>
      </c>
      <c r="DQ29">
        <v>26</v>
      </c>
      <c r="DR29" s="108">
        <f>Data!B27</f>
        <v>0</v>
      </c>
      <c r="DS29" s="124"/>
      <c r="DT29" s="124"/>
      <c r="DU29" s="124"/>
      <c r="DV29" s="124"/>
      <c r="DW29" s="125">
        <f t="shared" si="51"/>
        <v>0</v>
      </c>
      <c r="DX29" s="126"/>
      <c r="DY29" s="125">
        <f t="shared" si="52"/>
        <v>0</v>
      </c>
      <c r="DZ29" s="125" t="str">
        <f t="shared" si="53"/>
        <v/>
      </c>
      <c r="EA29" s="125" t="str">
        <f t="shared" si="54"/>
        <v/>
      </c>
      <c r="EB29" s="125" t="str">
        <f t="shared" si="55"/>
        <v/>
      </c>
      <c r="EC29">
        <v>26</v>
      </c>
      <c r="ED29" s="108">
        <f>Data!B27</f>
        <v>0</v>
      </c>
      <c r="EE29" s="109"/>
      <c r="EF29" s="109"/>
      <c r="EG29" s="109"/>
      <c r="EH29" s="109"/>
      <c r="EI29" s="127">
        <f t="shared" si="56"/>
        <v>0</v>
      </c>
      <c r="EJ29" s="127"/>
      <c r="EK29" s="127">
        <f t="shared" si="57"/>
        <v>0</v>
      </c>
      <c r="EL29" s="127" t="str">
        <f t="shared" si="58"/>
        <v/>
      </c>
      <c r="EM29" s="127" t="str">
        <f t="shared" si="59"/>
        <v/>
      </c>
      <c r="EN29" s="127" t="str">
        <f t="shared" si="60"/>
        <v/>
      </c>
      <c r="EO29">
        <v>26</v>
      </c>
      <c r="EP29" s="128">
        <f>Data!B27</f>
        <v>0</v>
      </c>
      <c r="EQ29" s="109"/>
      <c r="ER29" s="109"/>
      <c r="ES29" s="109"/>
      <c r="ET29" s="109"/>
      <c r="EU29" s="123">
        <f t="shared" si="61"/>
        <v>0</v>
      </c>
      <c r="EV29" s="123"/>
      <c r="EW29" s="123">
        <f t="shared" si="62"/>
        <v>0</v>
      </c>
      <c r="EX29" s="123" t="str">
        <f t="shared" si="63"/>
        <v/>
      </c>
      <c r="EY29" s="123" t="str">
        <f t="shared" si="64"/>
        <v/>
      </c>
      <c r="EZ29" s="123" t="str">
        <f t="shared" si="65"/>
        <v/>
      </c>
      <c r="FA29">
        <v>26</v>
      </c>
      <c r="FB29" s="108">
        <f>Data!B27</f>
        <v>0</v>
      </c>
      <c r="FC29" s="109"/>
      <c r="FD29" s="109"/>
      <c r="FE29" s="109"/>
      <c r="FF29" s="109"/>
      <c r="FG29" s="129">
        <f t="shared" si="66"/>
        <v>0</v>
      </c>
      <c r="FH29" s="129"/>
      <c r="FI29" s="129">
        <f t="shared" si="67"/>
        <v>0</v>
      </c>
      <c r="FJ29" s="129" t="str">
        <f t="shared" si="68"/>
        <v/>
      </c>
      <c r="FK29" s="129" t="str">
        <f t="shared" si="69"/>
        <v/>
      </c>
      <c r="FL29" s="129" t="str">
        <f t="shared" si="70"/>
        <v/>
      </c>
      <c r="FM29">
        <v>26</v>
      </c>
      <c r="FN29" s="108">
        <f>Data!B27</f>
        <v>0</v>
      </c>
      <c r="FO29" s="109"/>
      <c r="FP29" s="109"/>
      <c r="FQ29" s="109"/>
      <c r="FR29" s="109"/>
      <c r="FS29" s="130">
        <f t="shared" si="71"/>
        <v>0</v>
      </c>
      <c r="FT29" s="130"/>
      <c r="FU29" s="130">
        <f t="shared" si="72"/>
        <v>0</v>
      </c>
      <c r="FV29" s="130" t="str">
        <f t="shared" si="73"/>
        <v/>
      </c>
      <c r="FW29" s="130" t="str">
        <f t="shared" si="74"/>
        <v/>
      </c>
      <c r="FX29" s="130" t="str">
        <f t="shared" si="75"/>
        <v/>
      </c>
      <c r="FY29">
        <v>26</v>
      </c>
      <c r="FZ29" s="108">
        <f>Data!B27</f>
        <v>0</v>
      </c>
      <c r="GA29" s="109"/>
      <c r="GB29" s="109"/>
      <c r="GC29" s="109"/>
      <c r="GD29" s="109"/>
      <c r="GE29" s="131">
        <f t="shared" si="76"/>
        <v>0</v>
      </c>
      <c r="GF29" s="131"/>
      <c r="GG29" s="131">
        <f t="shared" si="77"/>
        <v>0</v>
      </c>
      <c r="GH29" s="131" t="str">
        <f t="shared" si="78"/>
        <v/>
      </c>
      <c r="GI29" s="131" t="str">
        <f t="shared" si="79"/>
        <v/>
      </c>
      <c r="GJ29" s="131" t="str">
        <f t="shared" si="80"/>
        <v/>
      </c>
      <c r="GK29">
        <v>26</v>
      </c>
      <c r="GL29" s="108">
        <f>Data!B27</f>
        <v>0</v>
      </c>
      <c r="GM29" s="132"/>
      <c r="GN29" s="132"/>
      <c r="GO29" s="132"/>
      <c r="GP29" s="132"/>
      <c r="GQ29" s="133">
        <f t="shared" si="81"/>
        <v>0</v>
      </c>
      <c r="GR29" s="132"/>
      <c r="GS29" s="133">
        <f t="shared" si="82"/>
        <v>0</v>
      </c>
      <c r="GT29" s="133" t="str">
        <f t="shared" si="83"/>
        <v/>
      </c>
      <c r="GU29" s="133" t="str">
        <f t="shared" si="84"/>
        <v/>
      </c>
      <c r="GV29" s="133" t="str">
        <f t="shared" si="85"/>
        <v/>
      </c>
      <c r="GW29">
        <v>26</v>
      </c>
      <c r="GX29" s="108">
        <f>Data!B27</f>
        <v>0</v>
      </c>
      <c r="GY29" s="109"/>
      <c r="GZ29" s="109"/>
      <c r="HA29" s="109"/>
      <c r="HB29" s="109"/>
      <c r="HC29" s="119">
        <f t="shared" si="86"/>
        <v>0</v>
      </c>
      <c r="HD29" s="119"/>
      <c r="HE29" s="119">
        <f t="shared" si="87"/>
        <v>0</v>
      </c>
      <c r="HF29" s="119" t="str">
        <f t="shared" si="88"/>
        <v/>
      </c>
      <c r="HG29" s="119" t="str">
        <f t="shared" si="89"/>
        <v/>
      </c>
      <c r="HH29" s="119" t="str">
        <f t="shared" si="90"/>
        <v/>
      </c>
      <c r="HI29">
        <v>26</v>
      </c>
      <c r="HJ29" s="108">
        <f>Data!B27</f>
        <v>0</v>
      </c>
      <c r="HK29" s="144"/>
      <c r="HL29" s="145"/>
      <c r="HM29" s="145"/>
      <c r="HN29" s="145"/>
      <c r="HO29" s="136">
        <f t="shared" si="91"/>
        <v>0</v>
      </c>
      <c r="HP29" s="144"/>
      <c r="HQ29" s="136">
        <f t="shared" si="92"/>
        <v>0</v>
      </c>
      <c r="HR29" s="136" t="str">
        <f t="shared" si="93"/>
        <v/>
      </c>
      <c r="HS29" s="136" t="str">
        <f t="shared" si="94"/>
        <v/>
      </c>
      <c r="HT29" s="136" t="str">
        <f t="shared" si="95"/>
        <v/>
      </c>
      <c r="HU29">
        <v>26</v>
      </c>
      <c r="HV29" s="108">
        <f>Data!B27</f>
        <v>0</v>
      </c>
      <c r="HW29" s="109"/>
      <c r="HX29" s="109"/>
      <c r="HY29" s="109"/>
      <c r="HZ29" s="109"/>
      <c r="IA29" s="117">
        <f t="shared" si="96"/>
        <v>0</v>
      </c>
      <c r="IB29" s="117"/>
      <c r="IC29" s="117">
        <f t="shared" si="97"/>
        <v>0</v>
      </c>
      <c r="ID29" s="117" t="str">
        <f t="shared" si="98"/>
        <v/>
      </c>
      <c r="IE29" s="117" t="str">
        <f t="shared" si="99"/>
        <v/>
      </c>
      <c r="IF29" s="117" t="str">
        <f t="shared" si="100"/>
        <v/>
      </c>
      <c r="IG29">
        <v>26</v>
      </c>
      <c r="IH29" s="108">
        <f>Data!B27</f>
        <v>0</v>
      </c>
      <c r="II29" s="109"/>
      <c r="IJ29" s="109"/>
      <c r="IK29" s="109"/>
      <c r="IL29" s="109"/>
      <c r="IM29" s="137">
        <f t="shared" si="101"/>
        <v>0</v>
      </c>
      <c r="IN29" s="137"/>
      <c r="IO29" s="137">
        <f t="shared" si="102"/>
        <v>0</v>
      </c>
      <c r="IP29" s="137" t="str">
        <f t="shared" si="103"/>
        <v/>
      </c>
      <c r="IQ29" s="137" t="str">
        <f t="shared" si="104"/>
        <v/>
      </c>
      <c r="IR29" s="137" t="str">
        <f t="shared" si="105"/>
        <v/>
      </c>
      <c r="IS29">
        <v>26</v>
      </c>
      <c r="IT29" s="108">
        <f t="shared" si="106"/>
        <v>0</v>
      </c>
      <c r="IU29" s="110"/>
      <c r="IV29" s="110"/>
      <c r="IW29" s="110"/>
      <c r="IX29" s="110"/>
      <c r="IY29" s="111">
        <f t="shared" si="107"/>
        <v>0</v>
      </c>
      <c r="IZ29" s="113">
        <v>42</v>
      </c>
      <c r="JA29" s="131">
        <f t="shared" si="108"/>
        <v>42</v>
      </c>
      <c r="JB29" s="131">
        <f t="shared" si="109"/>
        <v>28</v>
      </c>
      <c r="JC29" s="131" t="str">
        <f t="shared" si="110"/>
        <v>E</v>
      </c>
      <c r="JD29" s="131" t="str">
        <f t="shared" si="111"/>
        <v>Pass</v>
      </c>
      <c r="JE29">
        <v>26</v>
      </c>
      <c r="JF29" s="108">
        <f t="shared" si="112"/>
        <v>0</v>
      </c>
      <c r="JG29" s="147"/>
      <c r="JH29" s="147"/>
      <c r="JI29" s="147"/>
      <c r="JJ29" s="147"/>
      <c r="JK29" s="113">
        <f t="shared" si="113"/>
        <v>0</v>
      </c>
      <c r="JL29" s="147"/>
      <c r="JM29" s="113">
        <f t="shared" si="114"/>
        <v>0</v>
      </c>
      <c r="JN29" s="113" t="str">
        <f t="shared" si="115"/>
        <v/>
      </c>
      <c r="JO29" s="113" t="str">
        <f t="shared" si="116"/>
        <v/>
      </c>
      <c r="JP29" s="113" t="str">
        <f t="shared" si="117"/>
        <v/>
      </c>
      <c r="JQ29">
        <v>26</v>
      </c>
      <c r="JR29" s="108">
        <f t="shared" si="118"/>
        <v>0</v>
      </c>
      <c r="JS29" s="140"/>
      <c r="JT29" s="140"/>
      <c r="JU29" s="140"/>
      <c r="JV29" s="140"/>
      <c r="JW29" s="111">
        <f t="shared" si="119"/>
        <v>0</v>
      </c>
      <c r="JX29" s="141"/>
      <c r="JY29" s="111">
        <f t="shared" si="0"/>
        <v>0</v>
      </c>
      <c r="JZ29" s="111" t="str">
        <f t="shared" si="120"/>
        <v/>
      </c>
      <c r="KA29" s="111" t="str">
        <f t="shared" si="121"/>
        <v/>
      </c>
      <c r="KB29" s="111" t="str">
        <f t="shared" si="122"/>
        <v/>
      </c>
      <c r="KD29" s="47"/>
      <c r="KE29" s="47"/>
      <c r="KF29" s="47"/>
      <c r="KG29" s="47"/>
      <c r="KH29" s="47"/>
      <c r="KI29" s="47"/>
      <c r="KJ29" s="47"/>
      <c r="KK29" s="47"/>
      <c r="KM29" s="47"/>
      <c r="KN29" s="47"/>
      <c r="KO29" s="47"/>
      <c r="KP29" s="47"/>
      <c r="KQ29" s="47"/>
      <c r="KR29" s="47"/>
      <c r="KS29" s="47"/>
      <c r="KT29" s="47"/>
      <c r="KU29" s="47"/>
      <c r="KV29" s="47"/>
    </row>
    <row r="30" spans="1:308" ht="23.25">
      <c r="A30" s="211">
        <v>27</v>
      </c>
      <c r="B30" s="108">
        <f>Data!B28</f>
        <v>0</v>
      </c>
      <c r="C30" s="109"/>
      <c r="D30" s="109"/>
      <c r="E30" s="109"/>
      <c r="F30" s="109"/>
      <c r="G30" s="111">
        <f t="shared" si="123"/>
        <v>0</v>
      </c>
      <c r="H30" s="111"/>
      <c r="I30" s="111">
        <f t="shared" si="2"/>
        <v>0</v>
      </c>
      <c r="J30" s="110" t="str">
        <f t="shared" si="3"/>
        <v/>
      </c>
      <c r="K30" s="110" t="str">
        <f t="shared" si="4"/>
        <v/>
      </c>
      <c r="L30" s="110" t="str">
        <f t="shared" si="5"/>
        <v/>
      </c>
      <c r="M30" s="48">
        <v>27</v>
      </c>
      <c r="N30" s="108">
        <f>Data!B28</f>
        <v>0</v>
      </c>
      <c r="O30" s="109"/>
      <c r="P30" s="109"/>
      <c r="Q30" s="109"/>
      <c r="R30" s="109"/>
      <c r="S30" s="111">
        <f t="shared" si="6"/>
        <v>0</v>
      </c>
      <c r="T30" s="111"/>
      <c r="U30" s="111">
        <f t="shared" si="7"/>
        <v>0</v>
      </c>
      <c r="V30" s="111" t="str">
        <f t="shared" si="8"/>
        <v/>
      </c>
      <c r="W30" s="111" t="str">
        <f t="shared" si="9"/>
        <v/>
      </c>
      <c r="X30" s="111" t="str">
        <f t="shared" si="10"/>
        <v/>
      </c>
      <c r="Y30" s="42">
        <v>27</v>
      </c>
      <c r="Z30" s="108">
        <f>Data!B28</f>
        <v>0</v>
      </c>
      <c r="AA30" s="109"/>
      <c r="AB30" s="109"/>
      <c r="AC30" s="109"/>
      <c r="AD30" s="109"/>
      <c r="AE30" s="111">
        <f t="shared" si="11"/>
        <v>0</v>
      </c>
      <c r="AF30" s="112">
        <v>42</v>
      </c>
      <c r="AG30" s="113">
        <f t="shared" si="12"/>
        <v>42</v>
      </c>
      <c r="AH30" s="113">
        <f t="shared" si="13"/>
        <v>40</v>
      </c>
      <c r="AI30" s="113" t="str">
        <f t="shared" si="14"/>
        <v>E8</v>
      </c>
      <c r="AJ30" s="113" t="str">
        <f t="shared" si="15"/>
        <v>Pass</v>
      </c>
      <c r="AK30" s="42">
        <v>27</v>
      </c>
      <c r="AL30" s="108">
        <f>Data!B28</f>
        <v>0</v>
      </c>
      <c r="AM30" s="114"/>
      <c r="AN30" s="114"/>
      <c r="AO30" s="114"/>
      <c r="AP30" s="114"/>
      <c r="AQ30" s="115">
        <f t="shared" si="16"/>
        <v>0</v>
      </c>
      <c r="AR30" s="114"/>
      <c r="AS30" s="115">
        <f t="shared" si="17"/>
        <v>0</v>
      </c>
      <c r="AT30" s="115" t="str">
        <f t="shared" si="18"/>
        <v/>
      </c>
      <c r="AU30" s="115" t="str">
        <f t="shared" si="19"/>
        <v/>
      </c>
      <c r="AV30" s="115" t="str">
        <f t="shared" si="20"/>
        <v/>
      </c>
      <c r="AW30" s="42">
        <v>27</v>
      </c>
      <c r="AX30" s="108">
        <f>Data!B28</f>
        <v>0</v>
      </c>
      <c r="AY30" s="116"/>
      <c r="AZ30" s="116"/>
      <c r="BA30" s="116"/>
      <c r="BB30" s="116"/>
      <c r="BC30" s="117">
        <f t="shared" si="21"/>
        <v>0</v>
      </c>
      <c r="BD30" s="116"/>
      <c r="BE30" s="117">
        <f t="shared" si="22"/>
        <v>0</v>
      </c>
      <c r="BF30" s="117" t="str">
        <f t="shared" si="23"/>
        <v/>
      </c>
      <c r="BG30" s="117" t="str">
        <f t="shared" si="24"/>
        <v/>
      </c>
      <c r="BH30" s="117" t="str">
        <f t="shared" si="25"/>
        <v/>
      </c>
      <c r="BI30" s="67">
        <v>27</v>
      </c>
      <c r="BJ30" s="108">
        <f>Data!B28</f>
        <v>0</v>
      </c>
      <c r="BK30" s="110"/>
      <c r="BL30" s="110"/>
      <c r="BM30" s="110"/>
      <c r="BN30" s="110"/>
      <c r="BO30" s="111">
        <f t="shared" si="26"/>
        <v>0</v>
      </c>
      <c r="BP30" s="113">
        <v>42</v>
      </c>
      <c r="BQ30" s="119">
        <f t="shared" si="27"/>
        <v>42</v>
      </c>
      <c r="BR30" s="119">
        <f t="shared" si="28"/>
        <v>28</v>
      </c>
      <c r="BS30" s="119" t="str">
        <f t="shared" si="29"/>
        <v>E8</v>
      </c>
      <c r="BT30" s="119" t="str">
        <f t="shared" si="30"/>
        <v>Pass</v>
      </c>
      <c r="BU30">
        <v>27</v>
      </c>
      <c r="BV30" s="108">
        <f>Data!B28</f>
        <v>0</v>
      </c>
      <c r="BW30" s="120"/>
      <c r="BX30" s="120"/>
      <c r="BY30" s="120"/>
      <c r="BZ30" s="120"/>
      <c r="CA30" s="121">
        <f t="shared" si="31"/>
        <v>0</v>
      </c>
      <c r="CB30" s="120"/>
      <c r="CC30" s="121">
        <f t="shared" si="32"/>
        <v>0</v>
      </c>
      <c r="CD30" s="121" t="str">
        <f t="shared" si="33"/>
        <v/>
      </c>
      <c r="CE30" s="121" t="str">
        <f t="shared" si="34"/>
        <v/>
      </c>
      <c r="CF30" s="121" t="str">
        <f t="shared" si="35"/>
        <v/>
      </c>
      <c r="CG30">
        <v>27</v>
      </c>
      <c r="CH30" s="108">
        <f>Data!B28</f>
        <v>0</v>
      </c>
      <c r="CI30" s="109"/>
      <c r="CJ30" s="109"/>
      <c r="CK30" s="109"/>
      <c r="CL30" s="109"/>
      <c r="CM30" s="122">
        <f t="shared" si="36"/>
        <v>0</v>
      </c>
      <c r="CN30" s="122"/>
      <c r="CO30" s="122">
        <f t="shared" si="37"/>
        <v>0</v>
      </c>
      <c r="CP30" s="122" t="str">
        <f t="shared" si="38"/>
        <v/>
      </c>
      <c r="CQ30" s="122" t="str">
        <f t="shared" si="39"/>
        <v/>
      </c>
      <c r="CR30" s="122" t="str">
        <f t="shared" si="40"/>
        <v/>
      </c>
      <c r="CS30">
        <v>27</v>
      </c>
      <c r="CT30" s="108">
        <f>Data!B28</f>
        <v>0</v>
      </c>
      <c r="CU30" s="43"/>
      <c r="CV30" s="43"/>
      <c r="CW30" s="43"/>
      <c r="CX30" s="43"/>
      <c r="CY30" s="123">
        <f t="shared" si="41"/>
        <v>0</v>
      </c>
      <c r="CZ30" s="43"/>
      <c r="DA30" s="123">
        <f t="shared" si="42"/>
        <v>0</v>
      </c>
      <c r="DB30" s="123" t="str">
        <f t="shared" si="43"/>
        <v/>
      </c>
      <c r="DC30" s="123" t="str">
        <f t="shared" si="44"/>
        <v/>
      </c>
      <c r="DD30" s="123" t="str">
        <f t="shared" si="45"/>
        <v/>
      </c>
      <c r="DE30">
        <v>27</v>
      </c>
      <c r="DF30" s="108">
        <f>Data!B28</f>
        <v>0</v>
      </c>
      <c r="DG30" s="109"/>
      <c r="DH30" s="109"/>
      <c r="DI30" s="109"/>
      <c r="DJ30" s="109"/>
      <c r="DK30" s="117">
        <f t="shared" si="46"/>
        <v>0</v>
      </c>
      <c r="DL30" s="116"/>
      <c r="DM30" s="117">
        <f t="shared" si="47"/>
        <v>0</v>
      </c>
      <c r="DN30" s="117" t="str">
        <f t="shared" si="48"/>
        <v/>
      </c>
      <c r="DO30" s="117" t="str">
        <f t="shared" si="49"/>
        <v/>
      </c>
      <c r="DP30" s="117" t="str">
        <f t="shared" si="50"/>
        <v/>
      </c>
      <c r="DQ30">
        <v>27</v>
      </c>
      <c r="DR30" s="108">
        <f>Data!B28</f>
        <v>0</v>
      </c>
      <c r="DS30" s="124"/>
      <c r="DT30" s="124"/>
      <c r="DU30" s="124"/>
      <c r="DV30" s="124"/>
      <c r="DW30" s="125">
        <f t="shared" si="51"/>
        <v>0</v>
      </c>
      <c r="DX30" s="126"/>
      <c r="DY30" s="125">
        <f t="shared" si="52"/>
        <v>0</v>
      </c>
      <c r="DZ30" s="125" t="str">
        <f t="shared" si="53"/>
        <v/>
      </c>
      <c r="EA30" s="125" t="str">
        <f t="shared" si="54"/>
        <v/>
      </c>
      <c r="EB30" s="125" t="str">
        <f t="shared" si="55"/>
        <v/>
      </c>
      <c r="EC30">
        <v>27</v>
      </c>
      <c r="ED30" s="108">
        <f>Data!B28</f>
        <v>0</v>
      </c>
      <c r="EE30" s="109"/>
      <c r="EF30" s="109"/>
      <c r="EG30" s="109"/>
      <c r="EH30" s="109"/>
      <c r="EI30" s="127">
        <f t="shared" si="56"/>
        <v>0</v>
      </c>
      <c r="EJ30" s="127"/>
      <c r="EK30" s="127">
        <f t="shared" si="57"/>
        <v>0</v>
      </c>
      <c r="EL30" s="127" t="str">
        <f t="shared" si="58"/>
        <v/>
      </c>
      <c r="EM30" s="127" t="str">
        <f t="shared" si="59"/>
        <v/>
      </c>
      <c r="EN30" s="127" t="str">
        <f t="shared" si="60"/>
        <v/>
      </c>
      <c r="EO30">
        <v>27</v>
      </c>
      <c r="EP30" s="128">
        <f>Data!B28</f>
        <v>0</v>
      </c>
      <c r="EQ30" s="109"/>
      <c r="ER30" s="109"/>
      <c r="ES30" s="109"/>
      <c r="ET30" s="109"/>
      <c r="EU30" s="123">
        <f t="shared" si="61"/>
        <v>0</v>
      </c>
      <c r="EV30" s="123"/>
      <c r="EW30" s="123">
        <f t="shared" si="62"/>
        <v>0</v>
      </c>
      <c r="EX30" s="123" t="str">
        <f t="shared" si="63"/>
        <v/>
      </c>
      <c r="EY30" s="123" t="str">
        <f t="shared" si="64"/>
        <v/>
      </c>
      <c r="EZ30" s="123" t="str">
        <f t="shared" si="65"/>
        <v/>
      </c>
      <c r="FA30">
        <v>27</v>
      </c>
      <c r="FB30" s="108">
        <f>Data!B28</f>
        <v>0</v>
      </c>
      <c r="FC30" s="109"/>
      <c r="FD30" s="109"/>
      <c r="FE30" s="109"/>
      <c r="FF30" s="109"/>
      <c r="FG30" s="129">
        <f t="shared" si="66"/>
        <v>0</v>
      </c>
      <c r="FH30" s="129"/>
      <c r="FI30" s="129">
        <f t="shared" si="67"/>
        <v>0</v>
      </c>
      <c r="FJ30" s="129" t="str">
        <f t="shared" si="68"/>
        <v/>
      </c>
      <c r="FK30" s="129" t="str">
        <f t="shared" si="69"/>
        <v/>
      </c>
      <c r="FL30" s="129" t="str">
        <f t="shared" si="70"/>
        <v/>
      </c>
      <c r="FM30">
        <v>27</v>
      </c>
      <c r="FN30" s="108">
        <f>Data!B28</f>
        <v>0</v>
      </c>
      <c r="FO30" s="109"/>
      <c r="FP30" s="109"/>
      <c r="FQ30" s="109"/>
      <c r="FR30" s="109"/>
      <c r="FS30" s="130">
        <f t="shared" si="71"/>
        <v>0</v>
      </c>
      <c r="FT30" s="130"/>
      <c r="FU30" s="130">
        <f t="shared" si="72"/>
        <v>0</v>
      </c>
      <c r="FV30" s="130" t="str">
        <f t="shared" si="73"/>
        <v/>
      </c>
      <c r="FW30" s="130" t="str">
        <f t="shared" si="74"/>
        <v/>
      </c>
      <c r="FX30" s="130" t="str">
        <f t="shared" si="75"/>
        <v/>
      </c>
      <c r="FY30">
        <v>27</v>
      </c>
      <c r="FZ30" s="108">
        <f>Data!B28</f>
        <v>0</v>
      </c>
      <c r="GA30" s="109"/>
      <c r="GB30" s="109"/>
      <c r="GC30" s="109"/>
      <c r="GD30" s="109"/>
      <c r="GE30" s="131">
        <f t="shared" si="76"/>
        <v>0</v>
      </c>
      <c r="GF30" s="131"/>
      <c r="GG30" s="131">
        <f t="shared" si="77"/>
        <v>0</v>
      </c>
      <c r="GH30" s="131" t="str">
        <f t="shared" si="78"/>
        <v/>
      </c>
      <c r="GI30" s="131" t="str">
        <f t="shared" si="79"/>
        <v/>
      </c>
      <c r="GJ30" s="131" t="str">
        <f t="shared" si="80"/>
        <v/>
      </c>
      <c r="GK30">
        <v>27</v>
      </c>
      <c r="GL30" s="108">
        <f>Data!B28</f>
        <v>0</v>
      </c>
      <c r="GM30" s="132"/>
      <c r="GN30" s="132"/>
      <c r="GO30" s="132"/>
      <c r="GP30" s="132"/>
      <c r="GQ30" s="133">
        <f t="shared" si="81"/>
        <v>0</v>
      </c>
      <c r="GR30" s="132"/>
      <c r="GS30" s="133">
        <f t="shared" si="82"/>
        <v>0</v>
      </c>
      <c r="GT30" s="133" t="str">
        <f t="shared" si="83"/>
        <v/>
      </c>
      <c r="GU30" s="133" t="str">
        <f t="shared" si="84"/>
        <v/>
      </c>
      <c r="GV30" s="133" t="str">
        <f t="shared" si="85"/>
        <v/>
      </c>
      <c r="GW30">
        <v>27</v>
      </c>
      <c r="GX30" s="108">
        <f>Data!B28</f>
        <v>0</v>
      </c>
      <c r="GY30" s="109"/>
      <c r="GZ30" s="109"/>
      <c r="HA30" s="109"/>
      <c r="HB30" s="109"/>
      <c r="HC30" s="119">
        <f t="shared" si="86"/>
        <v>0</v>
      </c>
      <c r="HD30" s="119"/>
      <c r="HE30" s="119">
        <f t="shared" si="87"/>
        <v>0</v>
      </c>
      <c r="HF30" s="119" t="str">
        <f t="shared" si="88"/>
        <v/>
      </c>
      <c r="HG30" s="119" t="str">
        <f t="shared" si="89"/>
        <v/>
      </c>
      <c r="HH30" s="119" t="str">
        <f t="shared" si="90"/>
        <v/>
      </c>
      <c r="HI30">
        <v>27</v>
      </c>
      <c r="HJ30" s="108">
        <f>Data!B28</f>
        <v>0</v>
      </c>
      <c r="HK30" s="144"/>
      <c r="HL30" s="145"/>
      <c r="HM30" s="145"/>
      <c r="HN30" s="145"/>
      <c r="HO30" s="136">
        <f t="shared" si="91"/>
        <v>0</v>
      </c>
      <c r="HP30" s="144"/>
      <c r="HQ30" s="136">
        <f t="shared" si="92"/>
        <v>0</v>
      </c>
      <c r="HR30" s="136" t="str">
        <f t="shared" si="93"/>
        <v/>
      </c>
      <c r="HS30" s="136" t="str">
        <f t="shared" si="94"/>
        <v/>
      </c>
      <c r="HT30" s="136" t="str">
        <f t="shared" si="95"/>
        <v/>
      </c>
      <c r="HU30">
        <v>27</v>
      </c>
      <c r="HV30" s="108">
        <f>Data!B28</f>
        <v>0</v>
      </c>
      <c r="HW30" s="109"/>
      <c r="HX30" s="109"/>
      <c r="HY30" s="109"/>
      <c r="HZ30" s="109"/>
      <c r="IA30" s="117">
        <f t="shared" si="96"/>
        <v>0</v>
      </c>
      <c r="IB30" s="117"/>
      <c r="IC30" s="117">
        <f t="shared" si="97"/>
        <v>0</v>
      </c>
      <c r="ID30" s="117" t="str">
        <f t="shared" si="98"/>
        <v/>
      </c>
      <c r="IE30" s="117" t="str">
        <f t="shared" si="99"/>
        <v/>
      </c>
      <c r="IF30" s="117" t="str">
        <f t="shared" si="100"/>
        <v/>
      </c>
      <c r="IG30">
        <v>27</v>
      </c>
      <c r="IH30" s="108">
        <f>Data!B28</f>
        <v>0</v>
      </c>
      <c r="II30" s="109"/>
      <c r="IJ30" s="109"/>
      <c r="IK30" s="109"/>
      <c r="IL30" s="109"/>
      <c r="IM30" s="137">
        <f t="shared" si="101"/>
        <v>0</v>
      </c>
      <c r="IN30" s="137"/>
      <c r="IO30" s="137">
        <f t="shared" si="102"/>
        <v>0</v>
      </c>
      <c r="IP30" s="137" t="str">
        <f t="shared" si="103"/>
        <v/>
      </c>
      <c r="IQ30" s="137" t="str">
        <f t="shared" si="104"/>
        <v/>
      </c>
      <c r="IR30" s="137" t="str">
        <f t="shared" si="105"/>
        <v/>
      </c>
      <c r="IS30">
        <v>27</v>
      </c>
      <c r="IT30" s="108">
        <f t="shared" si="106"/>
        <v>0</v>
      </c>
      <c r="IU30" s="110"/>
      <c r="IV30" s="110"/>
      <c r="IW30" s="110"/>
      <c r="IX30" s="110"/>
      <c r="IY30" s="111">
        <f t="shared" si="107"/>
        <v>0</v>
      </c>
      <c r="IZ30" s="113">
        <v>42</v>
      </c>
      <c r="JA30" s="131">
        <f t="shared" si="108"/>
        <v>42</v>
      </c>
      <c r="JB30" s="131">
        <f t="shared" si="109"/>
        <v>28</v>
      </c>
      <c r="JC30" s="131" t="str">
        <f t="shared" si="110"/>
        <v>E</v>
      </c>
      <c r="JD30" s="131" t="str">
        <f t="shared" si="111"/>
        <v>Pass</v>
      </c>
      <c r="JE30">
        <v>27</v>
      </c>
      <c r="JF30" s="108">
        <f t="shared" si="112"/>
        <v>0</v>
      </c>
      <c r="JG30" s="147"/>
      <c r="JH30" s="147"/>
      <c r="JI30" s="147"/>
      <c r="JJ30" s="147"/>
      <c r="JK30" s="113">
        <f t="shared" si="113"/>
        <v>0</v>
      </c>
      <c r="JL30" s="147"/>
      <c r="JM30" s="113">
        <f t="shared" si="114"/>
        <v>0</v>
      </c>
      <c r="JN30" s="113" t="str">
        <f t="shared" si="115"/>
        <v/>
      </c>
      <c r="JO30" s="113" t="str">
        <f t="shared" si="116"/>
        <v/>
      </c>
      <c r="JP30" s="113" t="str">
        <f t="shared" si="117"/>
        <v/>
      </c>
      <c r="JQ30">
        <v>27</v>
      </c>
      <c r="JR30" s="108">
        <f t="shared" si="118"/>
        <v>0</v>
      </c>
      <c r="JS30" s="140"/>
      <c r="JT30" s="140"/>
      <c r="JU30" s="140"/>
      <c r="JV30" s="140"/>
      <c r="JW30" s="111">
        <f t="shared" si="119"/>
        <v>0</v>
      </c>
      <c r="JX30" s="141"/>
      <c r="JY30" s="111">
        <f t="shared" si="0"/>
        <v>0</v>
      </c>
      <c r="JZ30" s="111" t="str">
        <f t="shared" si="120"/>
        <v/>
      </c>
      <c r="KA30" s="111" t="str">
        <f t="shared" si="121"/>
        <v/>
      </c>
      <c r="KB30" s="111" t="str">
        <f t="shared" si="122"/>
        <v/>
      </c>
      <c r="KD30" s="47"/>
      <c r="KE30" s="47"/>
      <c r="KF30" s="47"/>
      <c r="KG30" s="47"/>
      <c r="KH30" s="47"/>
      <c r="KI30" s="47"/>
      <c r="KJ30" s="47"/>
      <c r="KK30" s="47"/>
      <c r="KM30" s="47"/>
      <c r="KN30" s="47"/>
      <c r="KO30" s="47"/>
      <c r="KP30" s="47"/>
      <c r="KQ30" s="47"/>
      <c r="KR30" s="47"/>
      <c r="KS30" s="47"/>
      <c r="KT30" s="47"/>
      <c r="KU30" s="47"/>
      <c r="KV30" s="47"/>
    </row>
    <row r="31" spans="1:308" ht="23.25">
      <c r="A31" s="211">
        <v>28</v>
      </c>
      <c r="B31" s="108">
        <f>Data!B29</f>
        <v>0</v>
      </c>
      <c r="C31" s="109"/>
      <c r="D31" s="109"/>
      <c r="E31" s="109"/>
      <c r="F31" s="109"/>
      <c r="G31" s="111">
        <f t="shared" si="123"/>
        <v>0</v>
      </c>
      <c r="H31" s="111"/>
      <c r="I31" s="111">
        <f t="shared" si="2"/>
        <v>0</v>
      </c>
      <c r="J31" s="110" t="str">
        <f t="shared" si="3"/>
        <v/>
      </c>
      <c r="K31" s="110" t="str">
        <f t="shared" si="4"/>
        <v/>
      </c>
      <c r="L31" s="110" t="str">
        <f t="shared" si="5"/>
        <v/>
      </c>
      <c r="M31" s="48">
        <v>28</v>
      </c>
      <c r="N31" s="108">
        <f>Data!B29</f>
        <v>0</v>
      </c>
      <c r="O31" s="109"/>
      <c r="P31" s="109"/>
      <c r="Q31" s="109"/>
      <c r="R31" s="109"/>
      <c r="S31" s="111">
        <f t="shared" si="6"/>
        <v>0</v>
      </c>
      <c r="T31" s="111"/>
      <c r="U31" s="111">
        <f t="shared" si="7"/>
        <v>0</v>
      </c>
      <c r="V31" s="111" t="str">
        <f t="shared" si="8"/>
        <v/>
      </c>
      <c r="W31" s="111" t="str">
        <f t="shared" si="9"/>
        <v/>
      </c>
      <c r="X31" s="111" t="str">
        <f t="shared" si="10"/>
        <v/>
      </c>
      <c r="Y31" s="42">
        <v>28</v>
      </c>
      <c r="Z31" s="108">
        <f>Data!B29</f>
        <v>0</v>
      </c>
      <c r="AA31" s="109"/>
      <c r="AB31" s="109"/>
      <c r="AC31" s="109"/>
      <c r="AD31" s="109"/>
      <c r="AE31" s="111">
        <f t="shared" ref="AE31:AE38" si="124">SUM(AA31:AD31)</f>
        <v>0</v>
      </c>
      <c r="AF31" s="112">
        <v>42</v>
      </c>
      <c r="AG31" s="113">
        <f t="shared" si="12"/>
        <v>42</v>
      </c>
      <c r="AH31" s="113">
        <f t="shared" si="13"/>
        <v>40</v>
      </c>
      <c r="AI31" s="113" t="str">
        <f t="shared" si="14"/>
        <v>E8</v>
      </c>
      <c r="AJ31" s="113" t="str">
        <f t="shared" si="15"/>
        <v>Pass</v>
      </c>
      <c r="AK31" s="42">
        <v>28</v>
      </c>
      <c r="AL31" s="108">
        <f>Data!B29</f>
        <v>0</v>
      </c>
      <c r="AM31" s="114"/>
      <c r="AN31" s="114"/>
      <c r="AO31" s="114"/>
      <c r="AP31" s="114"/>
      <c r="AQ31" s="115">
        <f t="shared" si="16"/>
        <v>0</v>
      </c>
      <c r="AR31" s="114"/>
      <c r="AS31" s="115">
        <f t="shared" si="17"/>
        <v>0</v>
      </c>
      <c r="AT31" s="115" t="str">
        <f t="shared" si="18"/>
        <v/>
      </c>
      <c r="AU31" s="115" t="str">
        <f t="shared" si="19"/>
        <v/>
      </c>
      <c r="AV31" s="115" t="str">
        <f t="shared" si="20"/>
        <v/>
      </c>
      <c r="AW31" s="42">
        <v>28</v>
      </c>
      <c r="AX31" s="108">
        <f>Data!B29</f>
        <v>0</v>
      </c>
      <c r="AY31" s="116"/>
      <c r="AZ31" s="116"/>
      <c r="BA31" s="116"/>
      <c r="BB31" s="116"/>
      <c r="BC31" s="117">
        <f t="shared" si="21"/>
        <v>0</v>
      </c>
      <c r="BD31" s="116"/>
      <c r="BE31" s="117">
        <f t="shared" si="22"/>
        <v>0</v>
      </c>
      <c r="BF31" s="117" t="str">
        <f t="shared" si="23"/>
        <v/>
      </c>
      <c r="BG31" s="117" t="str">
        <f t="shared" si="24"/>
        <v/>
      </c>
      <c r="BH31" s="117" t="str">
        <f t="shared" si="25"/>
        <v/>
      </c>
      <c r="BI31" s="67">
        <v>28</v>
      </c>
      <c r="BJ31" s="108">
        <f>Data!B29</f>
        <v>0</v>
      </c>
      <c r="BK31" s="110"/>
      <c r="BL31" s="110"/>
      <c r="BM31" s="110"/>
      <c r="BN31" s="110"/>
      <c r="BO31" s="111">
        <f t="shared" si="26"/>
        <v>0</v>
      </c>
      <c r="BP31" s="113">
        <v>42</v>
      </c>
      <c r="BQ31" s="119">
        <f t="shared" si="27"/>
        <v>42</v>
      </c>
      <c r="BR31" s="119">
        <f t="shared" si="28"/>
        <v>28</v>
      </c>
      <c r="BS31" s="119" t="str">
        <f t="shared" si="29"/>
        <v>E8</v>
      </c>
      <c r="BT31" s="119" t="str">
        <f t="shared" si="30"/>
        <v>Pass</v>
      </c>
      <c r="BU31">
        <v>28</v>
      </c>
      <c r="BV31" s="108">
        <f>Data!B29</f>
        <v>0</v>
      </c>
      <c r="BW31" s="120"/>
      <c r="BX31" s="120"/>
      <c r="BY31" s="120"/>
      <c r="BZ31" s="120"/>
      <c r="CA31" s="121">
        <f t="shared" si="31"/>
        <v>0</v>
      </c>
      <c r="CB31" s="120"/>
      <c r="CC31" s="121">
        <f t="shared" si="32"/>
        <v>0</v>
      </c>
      <c r="CD31" s="121" t="str">
        <f t="shared" si="33"/>
        <v/>
      </c>
      <c r="CE31" s="121" t="str">
        <f t="shared" si="34"/>
        <v/>
      </c>
      <c r="CF31" s="121" t="str">
        <f t="shared" si="35"/>
        <v/>
      </c>
      <c r="CG31">
        <v>28</v>
      </c>
      <c r="CH31" s="108">
        <f>Data!B29</f>
        <v>0</v>
      </c>
      <c r="CI31" s="109"/>
      <c r="CJ31" s="109"/>
      <c r="CK31" s="109"/>
      <c r="CL31" s="109"/>
      <c r="CM31" s="122">
        <f t="shared" si="36"/>
        <v>0</v>
      </c>
      <c r="CN31" s="122"/>
      <c r="CO31" s="122">
        <f t="shared" si="37"/>
        <v>0</v>
      </c>
      <c r="CP31" s="122" t="str">
        <f t="shared" si="38"/>
        <v/>
      </c>
      <c r="CQ31" s="122" t="str">
        <f t="shared" si="39"/>
        <v/>
      </c>
      <c r="CR31" s="122" t="str">
        <f t="shared" si="40"/>
        <v/>
      </c>
      <c r="CS31">
        <v>28</v>
      </c>
      <c r="CT31" s="108">
        <f>Data!B29</f>
        <v>0</v>
      </c>
      <c r="CU31" s="43"/>
      <c r="CV31" s="43"/>
      <c r="CW31" s="43"/>
      <c r="CX31" s="43"/>
      <c r="CY31" s="123">
        <f t="shared" si="41"/>
        <v>0</v>
      </c>
      <c r="CZ31" s="43"/>
      <c r="DA31" s="123">
        <f t="shared" si="42"/>
        <v>0</v>
      </c>
      <c r="DB31" s="123" t="str">
        <f t="shared" si="43"/>
        <v/>
      </c>
      <c r="DC31" s="123" t="str">
        <f t="shared" si="44"/>
        <v/>
      </c>
      <c r="DD31" s="123" t="str">
        <f t="shared" si="45"/>
        <v/>
      </c>
      <c r="DE31">
        <v>28</v>
      </c>
      <c r="DF31" s="108">
        <f>Data!B29</f>
        <v>0</v>
      </c>
      <c r="DG31" s="109"/>
      <c r="DH31" s="109"/>
      <c r="DI31" s="109"/>
      <c r="DJ31" s="109"/>
      <c r="DK31" s="117">
        <f t="shared" si="46"/>
        <v>0</v>
      </c>
      <c r="DL31" s="116"/>
      <c r="DM31" s="117">
        <f t="shared" si="47"/>
        <v>0</v>
      </c>
      <c r="DN31" s="117" t="str">
        <f t="shared" si="48"/>
        <v/>
      </c>
      <c r="DO31" s="117" t="str">
        <f t="shared" si="49"/>
        <v/>
      </c>
      <c r="DP31" s="117" t="str">
        <f t="shared" si="50"/>
        <v/>
      </c>
      <c r="DQ31">
        <v>28</v>
      </c>
      <c r="DR31" s="108">
        <f>Data!B29</f>
        <v>0</v>
      </c>
      <c r="DS31" s="124"/>
      <c r="DT31" s="124"/>
      <c r="DU31" s="124"/>
      <c r="DV31" s="124"/>
      <c r="DW31" s="125">
        <f t="shared" si="51"/>
        <v>0</v>
      </c>
      <c r="DX31" s="126"/>
      <c r="DY31" s="125">
        <f t="shared" si="52"/>
        <v>0</v>
      </c>
      <c r="DZ31" s="125" t="str">
        <f t="shared" si="53"/>
        <v/>
      </c>
      <c r="EA31" s="125" t="str">
        <f t="shared" si="54"/>
        <v/>
      </c>
      <c r="EB31" s="125" t="str">
        <f t="shared" si="55"/>
        <v/>
      </c>
      <c r="EC31">
        <v>28</v>
      </c>
      <c r="ED31" s="108">
        <f>Data!B29</f>
        <v>0</v>
      </c>
      <c r="EE31" s="109"/>
      <c r="EF31" s="109"/>
      <c r="EG31" s="109"/>
      <c r="EH31" s="109"/>
      <c r="EI31" s="127">
        <f t="shared" si="56"/>
        <v>0</v>
      </c>
      <c r="EJ31" s="127"/>
      <c r="EK31" s="127">
        <f t="shared" si="57"/>
        <v>0</v>
      </c>
      <c r="EL31" s="127" t="str">
        <f t="shared" si="58"/>
        <v/>
      </c>
      <c r="EM31" s="127" t="str">
        <f t="shared" si="59"/>
        <v/>
      </c>
      <c r="EN31" s="127" t="str">
        <f t="shared" si="60"/>
        <v/>
      </c>
      <c r="EO31">
        <v>28</v>
      </c>
      <c r="EP31" s="128">
        <f>Data!B29</f>
        <v>0</v>
      </c>
      <c r="EQ31" s="109"/>
      <c r="ER31" s="109"/>
      <c r="ES31" s="109"/>
      <c r="ET31" s="109"/>
      <c r="EU31" s="123">
        <f t="shared" si="61"/>
        <v>0</v>
      </c>
      <c r="EV31" s="123"/>
      <c r="EW31" s="123">
        <f t="shared" si="62"/>
        <v>0</v>
      </c>
      <c r="EX31" s="123" t="str">
        <f t="shared" si="63"/>
        <v/>
      </c>
      <c r="EY31" s="123" t="str">
        <f t="shared" si="64"/>
        <v/>
      </c>
      <c r="EZ31" s="123" t="str">
        <f t="shared" si="65"/>
        <v/>
      </c>
      <c r="FA31">
        <v>28</v>
      </c>
      <c r="FB31" s="108">
        <f>Data!B29</f>
        <v>0</v>
      </c>
      <c r="FC31" s="109"/>
      <c r="FD31" s="109"/>
      <c r="FE31" s="109"/>
      <c r="FF31" s="109"/>
      <c r="FG31" s="129">
        <f t="shared" si="66"/>
        <v>0</v>
      </c>
      <c r="FH31" s="129"/>
      <c r="FI31" s="129">
        <f t="shared" si="67"/>
        <v>0</v>
      </c>
      <c r="FJ31" s="129" t="str">
        <f t="shared" si="68"/>
        <v/>
      </c>
      <c r="FK31" s="129" t="str">
        <f t="shared" si="69"/>
        <v/>
      </c>
      <c r="FL31" s="129" t="str">
        <f t="shared" si="70"/>
        <v/>
      </c>
      <c r="FM31">
        <v>28</v>
      </c>
      <c r="FN31" s="108">
        <f>Data!B29</f>
        <v>0</v>
      </c>
      <c r="FO31" s="109"/>
      <c r="FP31" s="109"/>
      <c r="FQ31" s="109"/>
      <c r="FR31" s="109"/>
      <c r="FS31" s="130">
        <f t="shared" si="71"/>
        <v>0</v>
      </c>
      <c r="FT31" s="130"/>
      <c r="FU31" s="130">
        <f t="shared" si="72"/>
        <v>0</v>
      </c>
      <c r="FV31" s="130" t="str">
        <f t="shared" si="73"/>
        <v/>
      </c>
      <c r="FW31" s="130" t="str">
        <f t="shared" si="74"/>
        <v/>
      </c>
      <c r="FX31" s="130" t="str">
        <f t="shared" si="75"/>
        <v/>
      </c>
      <c r="FY31">
        <v>28</v>
      </c>
      <c r="FZ31" s="108">
        <f>Data!B29</f>
        <v>0</v>
      </c>
      <c r="GA31" s="109"/>
      <c r="GB31" s="109"/>
      <c r="GC31" s="109"/>
      <c r="GD31" s="109"/>
      <c r="GE31" s="131">
        <f t="shared" si="76"/>
        <v>0</v>
      </c>
      <c r="GF31" s="131"/>
      <c r="GG31" s="131">
        <f t="shared" si="77"/>
        <v>0</v>
      </c>
      <c r="GH31" s="131" t="str">
        <f t="shared" si="78"/>
        <v/>
      </c>
      <c r="GI31" s="131" t="str">
        <f t="shared" si="79"/>
        <v/>
      </c>
      <c r="GJ31" s="131" t="str">
        <f t="shared" si="80"/>
        <v/>
      </c>
      <c r="GK31">
        <v>28</v>
      </c>
      <c r="GL31" s="108">
        <f>Data!B29</f>
        <v>0</v>
      </c>
      <c r="GM31" s="132"/>
      <c r="GN31" s="132"/>
      <c r="GO31" s="132"/>
      <c r="GP31" s="132"/>
      <c r="GQ31" s="133">
        <f t="shared" si="81"/>
        <v>0</v>
      </c>
      <c r="GR31" s="132"/>
      <c r="GS31" s="133">
        <f t="shared" si="82"/>
        <v>0</v>
      </c>
      <c r="GT31" s="133" t="str">
        <f t="shared" si="83"/>
        <v/>
      </c>
      <c r="GU31" s="133" t="str">
        <f t="shared" si="84"/>
        <v/>
      </c>
      <c r="GV31" s="133" t="str">
        <f t="shared" si="85"/>
        <v/>
      </c>
      <c r="GW31">
        <v>28</v>
      </c>
      <c r="GX31" s="108">
        <f>Data!B29</f>
        <v>0</v>
      </c>
      <c r="GY31" s="109"/>
      <c r="GZ31" s="109"/>
      <c r="HA31" s="109"/>
      <c r="HB31" s="109"/>
      <c r="HC31" s="119">
        <f t="shared" si="86"/>
        <v>0</v>
      </c>
      <c r="HD31" s="119"/>
      <c r="HE31" s="119">
        <f t="shared" si="87"/>
        <v>0</v>
      </c>
      <c r="HF31" s="119" t="str">
        <f t="shared" si="88"/>
        <v/>
      </c>
      <c r="HG31" s="119" t="str">
        <f t="shared" si="89"/>
        <v/>
      </c>
      <c r="HH31" s="119" t="str">
        <f t="shared" si="90"/>
        <v/>
      </c>
      <c r="HI31">
        <v>28</v>
      </c>
      <c r="HJ31" s="108">
        <f>Data!B29</f>
        <v>0</v>
      </c>
      <c r="HK31" s="144"/>
      <c r="HL31" s="145"/>
      <c r="HM31" s="145"/>
      <c r="HN31" s="145"/>
      <c r="HO31" s="136">
        <f t="shared" si="91"/>
        <v>0</v>
      </c>
      <c r="HP31" s="144"/>
      <c r="HQ31" s="136">
        <f t="shared" si="92"/>
        <v>0</v>
      </c>
      <c r="HR31" s="136" t="str">
        <f t="shared" si="93"/>
        <v/>
      </c>
      <c r="HS31" s="136" t="str">
        <f t="shared" si="94"/>
        <v/>
      </c>
      <c r="HT31" s="136" t="str">
        <f t="shared" si="95"/>
        <v/>
      </c>
      <c r="HU31">
        <v>28</v>
      </c>
      <c r="HV31" s="108">
        <f>Data!B29</f>
        <v>0</v>
      </c>
      <c r="HW31" s="109"/>
      <c r="HX31" s="109"/>
      <c r="HY31" s="109"/>
      <c r="HZ31" s="109"/>
      <c r="IA31" s="117">
        <f t="shared" si="96"/>
        <v>0</v>
      </c>
      <c r="IB31" s="117"/>
      <c r="IC31" s="117">
        <f t="shared" si="97"/>
        <v>0</v>
      </c>
      <c r="ID31" s="117" t="str">
        <f t="shared" si="98"/>
        <v/>
      </c>
      <c r="IE31" s="117" t="str">
        <f t="shared" si="99"/>
        <v/>
      </c>
      <c r="IF31" s="117" t="str">
        <f t="shared" si="100"/>
        <v/>
      </c>
      <c r="IG31">
        <v>28</v>
      </c>
      <c r="IH31" s="108">
        <f>Data!B29</f>
        <v>0</v>
      </c>
      <c r="II31" s="109"/>
      <c r="IJ31" s="109"/>
      <c r="IK31" s="109"/>
      <c r="IL31" s="109"/>
      <c r="IM31" s="137">
        <f t="shared" si="101"/>
        <v>0</v>
      </c>
      <c r="IN31" s="137"/>
      <c r="IO31" s="137">
        <f t="shared" si="102"/>
        <v>0</v>
      </c>
      <c r="IP31" s="137" t="str">
        <f t="shared" si="103"/>
        <v/>
      </c>
      <c r="IQ31" s="137" t="str">
        <f t="shared" si="104"/>
        <v/>
      </c>
      <c r="IR31" s="137" t="str">
        <f t="shared" si="105"/>
        <v/>
      </c>
      <c r="IS31">
        <v>28</v>
      </c>
      <c r="IT31" s="108">
        <f t="shared" si="106"/>
        <v>0</v>
      </c>
      <c r="IU31" s="110"/>
      <c r="IV31" s="110"/>
      <c r="IW31" s="110"/>
      <c r="IX31" s="110"/>
      <c r="IY31" s="111">
        <f t="shared" si="107"/>
        <v>0</v>
      </c>
      <c r="IZ31" s="113">
        <v>42</v>
      </c>
      <c r="JA31" s="131">
        <f t="shared" si="108"/>
        <v>42</v>
      </c>
      <c r="JB31" s="131">
        <f t="shared" si="109"/>
        <v>28</v>
      </c>
      <c r="JC31" s="131" t="str">
        <f t="shared" si="110"/>
        <v>E</v>
      </c>
      <c r="JD31" s="131" t="str">
        <f t="shared" si="111"/>
        <v>Pass</v>
      </c>
      <c r="JE31">
        <v>28</v>
      </c>
      <c r="JF31" s="108">
        <f t="shared" si="112"/>
        <v>0</v>
      </c>
      <c r="JG31" s="147"/>
      <c r="JH31" s="147"/>
      <c r="JI31" s="147"/>
      <c r="JJ31" s="147"/>
      <c r="JK31" s="113">
        <f t="shared" si="113"/>
        <v>0</v>
      </c>
      <c r="JL31" s="147"/>
      <c r="JM31" s="113">
        <f t="shared" si="114"/>
        <v>0</v>
      </c>
      <c r="JN31" s="113" t="str">
        <f t="shared" si="115"/>
        <v/>
      </c>
      <c r="JO31" s="113" t="str">
        <f t="shared" si="116"/>
        <v/>
      </c>
      <c r="JP31" s="113" t="str">
        <f t="shared" si="117"/>
        <v/>
      </c>
      <c r="JQ31">
        <v>28</v>
      </c>
      <c r="JR31" s="108">
        <f t="shared" si="118"/>
        <v>0</v>
      </c>
      <c r="JS31" s="140"/>
      <c r="JT31" s="140"/>
      <c r="JU31" s="140"/>
      <c r="JV31" s="140"/>
      <c r="JW31" s="111">
        <f t="shared" si="119"/>
        <v>0</v>
      </c>
      <c r="JX31" s="141"/>
      <c r="JY31" s="111">
        <f t="shared" si="0"/>
        <v>0</v>
      </c>
      <c r="JZ31" s="111" t="str">
        <f t="shared" si="120"/>
        <v/>
      </c>
      <c r="KA31" s="111" t="str">
        <f t="shared" si="121"/>
        <v/>
      </c>
      <c r="KB31" s="111" t="str">
        <f t="shared" si="122"/>
        <v/>
      </c>
      <c r="KD31" s="47"/>
      <c r="KE31" s="47"/>
      <c r="KF31" s="47"/>
      <c r="KG31" s="47"/>
      <c r="KH31" s="47"/>
      <c r="KI31" s="47"/>
      <c r="KJ31" s="47"/>
      <c r="KK31" s="47"/>
      <c r="KM31" s="47"/>
      <c r="KN31" s="47"/>
      <c r="KO31" s="47"/>
      <c r="KP31" s="47"/>
      <c r="KQ31" s="47"/>
      <c r="KR31" s="47"/>
      <c r="KS31" s="47"/>
      <c r="KT31" s="47"/>
      <c r="KU31" s="47"/>
      <c r="KV31" s="47"/>
    </row>
    <row r="32" spans="1:308" ht="23.25">
      <c r="A32" s="211">
        <v>29</v>
      </c>
      <c r="B32" s="108" t="str">
        <f>Data!B30</f>
        <v>ALI AALIYA SHEHU</v>
      </c>
      <c r="C32" s="109"/>
      <c r="D32" s="109"/>
      <c r="E32" s="109"/>
      <c r="F32" s="109"/>
      <c r="G32" s="111">
        <f t="shared" si="123"/>
        <v>0</v>
      </c>
      <c r="H32" s="111"/>
      <c r="I32" s="111">
        <f t="shared" si="2"/>
        <v>0</v>
      </c>
      <c r="J32" s="110" t="str">
        <f t="shared" si="3"/>
        <v/>
      </c>
      <c r="K32" s="110" t="str">
        <f t="shared" si="4"/>
        <v/>
      </c>
      <c r="L32" s="110" t="str">
        <f t="shared" si="5"/>
        <v/>
      </c>
      <c r="M32" s="48">
        <v>29</v>
      </c>
      <c r="N32" s="108" t="str">
        <f>Data!B30</f>
        <v>ALI AALIYA SHEHU</v>
      </c>
      <c r="O32" s="109"/>
      <c r="P32" s="109"/>
      <c r="Q32" s="109"/>
      <c r="R32" s="109"/>
      <c r="S32" s="111">
        <f t="shared" si="6"/>
        <v>0</v>
      </c>
      <c r="T32" s="111"/>
      <c r="U32" s="111">
        <f t="shared" si="7"/>
        <v>0</v>
      </c>
      <c r="V32" s="111" t="str">
        <f t="shared" si="8"/>
        <v/>
      </c>
      <c r="W32" s="111" t="str">
        <f t="shared" si="9"/>
        <v/>
      </c>
      <c r="X32" s="111" t="str">
        <f t="shared" si="10"/>
        <v/>
      </c>
      <c r="Y32" s="42">
        <v>29</v>
      </c>
      <c r="Z32" s="108" t="str">
        <f>Data!B30</f>
        <v>ALI AALIYA SHEHU</v>
      </c>
      <c r="AA32" s="109"/>
      <c r="AB32" s="109"/>
      <c r="AC32" s="109"/>
      <c r="AD32" s="109"/>
      <c r="AE32" s="111">
        <f t="shared" si="124"/>
        <v>0</v>
      </c>
      <c r="AF32" s="112">
        <v>42</v>
      </c>
      <c r="AG32" s="113">
        <f t="shared" si="12"/>
        <v>42</v>
      </c>
      <c r="AH32" s="113">
        <f t="shared" si="13"/>
        <v>40</v>
      </c>
      <c r="AI32" s="113" t="str">
        <f t="shared" si="14"/>
        <v>E8</v>
      </c>
      <c r="AJ32" s="113" t="str">
        <f t="shared" si="15"/>
        <v>Pass</v>
      </c>
      <c r="AK32" s="42">
        <v>29</v>
      </c>
      <c r="AL32" s="108" t="str">
        <f>Data!B30</f>
        <v>ALI AALIYA SHEHU</v>
      </c>
      <c r="AM32" s="114"/>
      <c r="AN32" s="114"/>
      <c r="AO32" s="114"/>
      <c r="AP32" s="114"/>
      <c r="AQ32" s="115">
        <f t="shared" si="16"/>
        <v>0</v>
      </c>
      <c r="AR32" s="114"/>
      <c r="AS32" s="115">
        <f t="shared" si="17"/>
        <v>0</v>
      </c>
      <c r="AT32" s="115" t="str">
        <f t="shared" si="18"/>
        <v/>
      </c>
      <c r="AU32" s="115" t="str">
        <f t="shared" si="19"/>
        <v/>
      </c>
      <c r="AV32" s="115" t="str">
        <f t="shared" si="20"/>
        <v/>
      </c>
      <c r="AW32" s="42">
        <v>29</v>
      </c>
      <c r="AX32" s="108" t="str">
        <f>Data!B30</f>
        <v>ALI AALIYA SHEHU</v>
      </c>
      <c r="AY32" s="116"/>
      <c r="AZ32" s="116"/>
      <c r="BA32" s="116"/>
      <c r="BB32" s="116"/>
      <c r="BC32" s="117">
        <f t="shared" si="21"/>
        <v>0</v>
      </c>
      <c r="BD32" s="116"/>
      <c r="BE32" s="117">
        <f t="shared" si="22"/>
        <v>0</v>
      </c>
      <c r="BF32" s="117" t="str">
        <f t="shared" si="23"/>
        <v/>
      </c>
      <c r="BG32" s="117" t="str">
        <f t="shared" si="24"/>
        <v/>
      </c>
      <c r="BH32" s="117" t="str">
        <f t="shared" si="25"/>
        <v/>
      </c>
      <c r="BI32" s="67">
        <v>29</v>
      </c>
      <c r="BJ32" s="108" t="str">
        <f>Data!B30</f>
        <v>ALI AALIYA SHEHU</v>
      </c>
      <c r="BK32" s="110"/>
      <c r="BL32" s="110"/>
      <c r="BM32" s="110"/>
      <c r="BN32" s="110"/>
      <c r="BO32" s="111">
        <f t="shared" si="26"/>
        <v>0</v>
      </c>
      <c r="BP32" s="113">
        <v>42</v>
      </c>
      <c r="BQ32" s="119">
        <f t="shared" si="27"/>
        <v>42</v>
      </c>
      <c r="BR32" s="119">
        <f t="shared" si="28"/>
        <v>28</v>
      </c>
      <c r="BS32" s="119" t="str">
        <f t="shared" si="29"/>
        <v>E8</v>
      </c>
      <c r="BT32" s="119" t="str">
        <f t="shared" si="30"/>
        <v>Pass</v>
      </c>
      <c r="BU32">
        <v>29</v>
      </c>
      <c r="BV32" s="108" t="str">
        <f>Data!B30</f>
        <v>ALI AALIYA SHEHU</v>
      </c>
      <c r="BW32" s="120">
        <v>9</v>
      </c>
      <c r="BX32" s="120">
        <v>7</v>
      </c>
      <c r="BY32" s="120">
        <v>10</v>
      </c>
      <c r="BZ32" s="120">
        <v>7</v>
      </c>
      <c r="CA32" s="121">
        <f t="shared" si="31"/>
        <v>33</v>
      </c>
      <c r="CB32" s="120">
        <v>42</v>
      </c>
      <c r="CC32" s="121">
        <f t="shared" si="32"/>
        <v>75</v>
      </c>
      <c r="CD32" s="121">
        <f t="shared" si="33"/>
        <v>7</v>
      </c>
      <c r="CE32" s="121" t="str">
        <f t="shared" si="34"/>
        <v>A1</v>
      </c>
      <c r="CF32" s="121" t="str">
        <f t="shared" si="35"/>
        <v>Excellent</v>
      </c>
      <c r="CG32">
        <v>29</v>
      </c>
      <c r="CH32" s="108" t="str">
        <f>Data!B30</f>
        <v>ALI AALIYA SHEHU</v>
      </c>
      <c r="CI32" s="109"/>
      <c r="CJ32" s="109"/>
      <c r="CK32" s="109"/>
      <c r="CL32" s="109"/>
      <c r="CM32" s="122">
        <f t="shared" si="36"/>
        <v>0</v>
      </c>
      <c r="CN32" s="122"/>
      <c r="CO32" s="122">
        <f t="shared" si="37"/>
        <v>0</v>
      </c>
      <c r="CP32" s="122" t="str">
        <f t="shared" si="38"/>
        <v/>
      </c>
      <c r="CQ32" s="122" t="str">
        <f t="shared" si="39"/>
        <v/>
      </c>
      <c r="CR32" s="122" t="str">
        <f t="shared" si="40"/>
        <v/>
      </c>
      <c r="CS32">
        <v>29</v>
      </c>
      <c r="CT32" s="108" t="str">
        <f>Data!B30</f>
        <v>ALI AALIYA SHEHU</v>
      </c>
      <c r="CU32" s="43"/>
      <c r="CV32" s="43"/>
      <c r="CW32" s="43"/>
      <c r="CX32" s="43"/>
      <c r="CY32" s="123">
        <f t="shared" si="41"/>
        <v>0</v>
      </c>
      <c r="CZ32" s="43"/>
      <c r="DA32" s="123">
        <f t="shared" si="42"/>
        <v>0</v>
      </c>
      <c r="DB32" s="123" t="str">
        <f t="shared" si="43"/>
        <v/>
      </c>
      <c r="DC32" s="123" t="str">
        <f t="shared" si="44"/>
        <v/>
      </c>
      <c r="DD32" s="123" t="str">
        <f t="shared" si="45"/>
        <v/>
      </c>
      <c r="DE32">
        <v>29</v>
      </c>
      <c r="DF32" s="108" t="str">
        <f>Data!B30</f>
        <v>ALI AALIYA SHEHU</v>
      </c>
      <c r="DG32" s="109"/>
      <c r="DH32" s="109"/>
      <c r="DI32" s="109"/>
      <c r="DJ32" s="109"/>
      <c r="DK32" s="117">
        <f t="shared" si="46"/>
        <v>0</v>
      </c>
      <c r="DL32" s="116"/>
      <c r="DM32" s="117">
        <f t="shared" si="47"/>
        <v>0</v>
      </c>
      <c r="DN32" s="117" t="str">
        <f t="shared" si="48"/>
        <v/>
      </c>
      <c r="DO32" s="117" t="str">
        <f t="shared" si="49"/>
        <v/>
      </c>
      <c r="DP32" s="117" t="str">
        <f t="shared" si="50"/>
        <v/>
      </c>
      <c r="DQ32">
        <v>29</v>
      </c>
      <c r="DR32" s="108" t="str">
        <f>Data!B30</f>
        <v>ALI AALIYA SHEHU</v>
      </c>
      <c r="DS32" s="124"/>
      <c r="DT32" s="124"/>
      <c r="DU32" s="124"/>
      <c r="DV32" s="124"/>
      <c r="DW32" s="125">
        <f t="shared" si="51"/>
        <v>0</v>
      </c>
      <c r="DX32" s="126"/>
      <c r="DY32" s="125">
        <f t="shared" si="52"/>
        <v>0</v>
      </c>
      <c r="DZ32" s="125" t="str">
        <f t="shared" si="53"/>
        <v/>
      </c>
      <c r="EA32" s="125" t="str">
        <f t="shared" si="54"/>
        <v/>
      </c>
      <c r="EB32" s="125" t="str">
        <f t="shared" si="55"/>
        <v/>
      </c>
      <c r="EC32">
        <v>29</v>
      </c>
      <c r="ED32" s="108" t="str">
        <f>Data!B30</f>
        <v>ALI AALIYA SHEHU</v>
      </c>
      <c r="EE32" s="109"/>
      <c r="EF32" s="109"/>
      <c r="EG32" s="109"/>
      <c r="EH32" s="109"/>
      <c r="EI32" s="127">
        <f t="shared" si="56"/>
        <v>0</v>
      </c>
      <c r="EJ32" s="127"/>
      <c r="EK32" s="127">
        <f t="shared" si="57"/>
        <v>0</v>
      </c>
      <c r="EL32" s="127" t="str">
        <f t="shared" si="58"/>
        <v/>
      </c>
      <c r="EM32" s="127" t="str">
        <f t="shared" si="59"/>
        <v/>
      </c>
      <c r="EN32" s="127" t="str">
        <f t="shared" si="60"/>
        <v/>
      </c>
      <c r="EO32">
        <v>29</v>
      </c>
      <c r="EP32" s="128" t="str">
        <f>Data!B30</f>
        <v>ALI AALIYA SHEHU</v>
      </c>
      <c r="EQ32" s="109"/>
      <c r="ER32" s="109"/>
      <c r="ES32" s="109"/>
      <c r="ET32" s="109"/>
      <c r="EU32" s="123">
        <f t="shared" si="61"/>
        <v>0</v>
      </c>
      <c r="EV32" s="123"/>
      <c r="EW32" s="123">
        <f t="shared" si="62"/>
        <v>0</v>
      </c>
      <c r="EX32" s="123" t="str">
        <f t="shared" si="63"/>
        <v/>
      </c>
      <c r="EY32" s="123" t="str">
        <f t="shared" si="64"/>
        <v/>
      </c>
      <c r="EZ32" s="123" t="str">
        <f t="shared" si="65"/>
        <v/>
      </c>
      <c r="FA32">
        <v>29</v>
      </c>
      <c r="FB32" s="108" t="str">
        <f>Data!B30</f>
        <v>ALI AALIYA SHEHU</v>
      </c>
      <c r="FC32" s="109"/>
      <c r="FD32" s="109"/>
      <c r="FE32" s="109"/>
      <c r="FF32" s="109"/>
      <c r="FG32" s="129">
        <f t="shared" si="66"/>
        <v>0</v>
      </c>
      <c r="FH32" s="129"/>
      <c r="FI32" s="129">
        <f t="shared" si="67"/>
        <v>0</v>
      </c>
      <c r="FJ32" s="129" t="str">
        <f t="shared" si="68"/>
        <v/>
      </c>
      <c r="FK32" s="129" t="str">
        <f t="shared" si="69"/>
        <v/>
      </c>
      <c r="FL32" s="129" t="str">
        <f t="shared" si="70"/>
        <v/>
      </c>
      <c r="FM32">
        <v>29</v>
      </c>
      <c r="FN32" s="108" t="str">
        <f>Data!B30</f>
        <v>ALI AALIYA SHEHU</v>
      </c>
      <c r="FO32" s="109"/>
      <c r="FP32" s="109"/>
      <c r="FQ32" s="109"/>
      <c r="FR32" s="109"/>
      <c r="FS32" s="130">
        <f t="shared" si="71"/>
        <v>0</v>
      </c>
      <c r="FT32" s="130"/>
      <c r="FU32" s="130">
        <f t="shared" si="72"/>
        <v>0</v>
      </c>
      <c r="FV32" s="130" t="str">
        <f t="shared" si="73"/>
        <v/>
      </c>
      <c r="FW32" s="130" t="str">
        <f t="shared" si="74"/>
        <v/>
      </c>
      <c r="FX32" s="130" t="str">
        <f t="shared" si="75"/>
        <v/>
      </c>
      <c r="FY32">
        <v>29</v>
      </c>
      <c r="FZ32" s="108" t="str">
        <f>Data!B30</f>
        <v>ALI AALIYA SHEHU</v>
      </c>
      <c r="GA32" s="109">
        <v>8</v>
      </c>
      <c r="GB32" s="109">
        <v>9</v>
      </c>
      <c r="GC32" s="109">
        <v>9</v>
      </c>
      <c r="GD32" s="109">
        <v>8</v>
      </c>
      <c r="GE32" s="131">
        <f t="shared" si="76"/>
        <v>34</v>
      </c>
      <c r="GF32" s="131">
        <v>37</v>
      </c>
      <c r="GG32" s="131">
        <f t="shared" si="77"/>
        <v>71</v>
      </c>
      <c r="GH32" s="131">
        <f t="shared" si="78"/>
        <v>5</v>
      </c>
      <c r="GI32" s="131" t="str">
        <f t="shared" si="79"/>
        <v>B2</v>
      </c>
      <c r="GJ32" s="131" t="str">
        <f t="shared" si="80"/>
        <v>V.Good</v>
      </c>
      <c r="GK32">
        <v>29</v>
      </c>
      <c r="GL32" s="108" t="str">
        <f>Data!B30</f>
        <v>ALI AALIYA SHEHU</v>
      </c>
      <c r="GM32" s="132"/>
      <c r="GN32" s="132"/>
      <c r="GO32" s="132"/>
      <c r="GP32" s="132"/>
      <c r="GQ32" s="133">
        <f t="shared" si="81"/>
        <v>0</v>
      </c>
      <c r="GR32" s="132"/>
      <c r="GS32" s="133">
        <f t="shared" si="82"/>
        <v>0</v>
      </c>
      <c r="GT32" s="133" t="str">
        <f t="shared" si="83"/>
        <v/>
      </c>
      <c r="GU32" s="133" t="str">
        <f t="shared" si="84"/>
        <v/>
      </c>
      <c r="GV32" s="133" t="str">
        <f t="shared" si="85"/>
        <v/>
      </c>
      <c r="GW32">
        <v>29</v>
      </c>
      <c r="GX32" s="108" t="str">
        <f>Data!B30</f>
        <v>ALI AALIYA SHEHU</v>
      </c>
      <c r="GY32" s="109"/>
      <c r="GZ32" s="109"/>
      <c r="HA32" s="109"/>
      <c r="HB32" s="109"/>
      <c r="HC32" s="119">
        <f t="shared" si="86"/>
        <v>0</v>
      </c>
      <c r="HD32" s="119"/>
      <c r="HE32" s="119">
        <f t="shared" si="87"/>
        <v>0</v>
      </c>
      <c r="HF32" s="119" t="str">
        <f t="shared" si="88"/>
        <v/>
      </c>
      <c r="HG32" s="119" t="str">
        <f t="shared" si="89"/>
        <v/>
      </c>
      <c r="HH32" s="119" t="str">
        <f t="shared" si="90"/>
        <v/>
      </c>
      <c r="HI32">
        <v>29</v>
      </c>
      <c r="HJ32" s="108" t="str">
        <f>Data!B30</f>
        <v>ALI AALIYA SHEHU</v>
      </c>
      <c r="HK32" s="144"/>
      <c r="HL32" s="145"/>
      <c r="HM32" s="145"/>
      <c r="HN32" s="145"/>
      <c r="HO32" s="136">
        <f t="shared" si="91"/>
        <v>0</v>
      </c>
      <c r="HP32" s="144"/>
      <c r="HQ32" s="136">
        <f t="shared" si="92"/>
        <v>0</v>
      </c>
      <c r="HR32" s="136" t="str">
        <f t="shared" si="93"/>
        <v/>
      </c>
      <c r="HS32" s="136" t="str">
        <f t="shared" si="94"/>
        <v/>
      </c>
      <c r="HT32" s="136" t="str">
        <f t="shared" si="95"/>
        <v/>
      </c>
      <c r="HU32">
        <v>29</v>
      </c>
      <c r="HV32" s="108" t="str">
        <f>Data!B30</f>
        <v>ALI AALIYA SHEHU</v>
      </c>
      <c r="HW32" s="109"/>
      <c r="HX32" s="109"/>
      <c r="HY32" s="109"/>
      <c r="HZ32" s="109"/>
      <c r="IA32" s="117">
        <f t="shared" si="96"/>
        <v>0</v>
      </c>
      <c r="IB32" s="117"/>
      <c r="IC32" s="117">
        <f t="shared" si="97"/>
        <v>0</v>
      </c>
      <c r="ID32" s="117" t="str">
        <f t="shared" si="98"/>
        <v/>
      </c>
      <c r="IE32" s="117" t="str">
        <f t="shared" si="99"/>
        <v/>
      </c>
      <c r="IF32" s="117" t="str">
        <f t="shared" si="100"/>
        <v/>
      </c>
      <c r="IG32">
        <v>29</v>
      </c>
      <c r="IH32" s="108" t="str">
        <f>Data!B30</f>
        <v>ALI AALIYA SHEHU</v>
      </c>
      <c r="II32" s="109"/>
      <c r="IJ32" s="109"/>
      <c r="IK32" s="109"/>
      <c r="IL32" s="109"/>
      <c r="IM32" s="137">
        <f t="shared" si="101"/>
        <v>0</v>
      </c>
      <c r="IN32" s="137"/>
      <c r="IO32" s="137">
        <f t="shared" si="102"/>
        <v>0</v>
      </c>
      <c r="IP32" s="137" t="str">
        <f t="shared" si="103"/>
        <v/>
      </c>
      <c r="IQ32" s="137" t="str">
        <f t="shared" si="104"/>
        <v/>
      </c>
      <c r="IR32" s="137" t="str">
        <f t="shared" si="105"/>
        <v/>
      </c>
      <c r="IS32">
        <v>29</v>
      </c>
      <c r="IT32" s="108" t="str">
        <f t="shared" si="106"/>
        <v>ALI AALIYA SHEHU</v>
      </c>
      <c r="IU32" s="110"/>
      <c r="IV32" s="110"/>
      <c r="IW32" s="110"/>
      <c r="IX32" s="110"/>
      <c r="IY32" s="111">
        <f t="shared" si="107"/>
        <v>0</v>
      </c>
      <c r="IZ32" s="113">
        <v>42</v>
      </c>
      <c r="JA32" s="131">
        <f t="shared" si="108"/>
        <v>42</v>
      </c>
      <c r="JB32" s="131">
        <f t="shared" si="109"/>
        <v>28</v>
      </c>
      <c r="JC32" s="131" t="str">
        <f t="shared" si="110"/>
        <v>E</v>
      </c>
      <c r="JD32" s="131" t="str">
        <f t="shared" si="111"/>
        <v>Pass</v>
      </c>
      <c r="JE32">
        <v>29</v>
      </c>
      <c r="JF32" s="108" t="str">
        <f t="shared" si="112"/>
        <v>ALI AALIYA SHEHU</v>
      </c>
      <c r="JG32" s="147"/>
      <c r="JH32" s="147"/>
      <c r="JI32" s="147"/>
      <c r="JJ32" s="147"/>
      <c r="JK32" s="113">
        <f t="shared" si="113"/>
        <v>0</v>
      </c>
      <c r="JL32" s="147"/>
      <c r="JM32" s="113">
        <f t="shared" si="114"/>
        <v>0</v>
      </c>
      <c r="JN32" s="113" t="str">
        <f t="shared" si="115"/>
        <v/>
      </c>
      <c r="JO32" s="113" t="str">
        <f t="shared" si="116"/>
        <v/>
      </c>
      <c r="JP32" s="113" t="str">
        <f t="shared" si="117"/>
        <v/>
      </c>
      <c r="JQ32">
        <v>29</v>
      </c>
      <c r="JR32" s="108" t="str">
        <f t="shared" si="118"/>
        <v>ALI AALIYA SHEHU</v>
      </c>
      <c r="JS32" s="140"/>
      <c r="JT32" s="140"/>
      <c r="JU32" s="140"/>
      <c r="JV32" s="140"/>
      <c r="JW32" s="111">
        <f t="shared" si="119"/>
        <v>0</v>
      </c>
      <c r="JX32" s="141"/>
      <c r="JY32" s="111">
        <f t="shared" si="0"/>
        <v>0</v>
      </c>
      <c r="JZ32" s="111" t="str">
        <f t="shared" si="120"/>
        <v/>
      </c>
      <c r="KA32" s="111" t="str">
        <f t="shared" si="121"/>
        <v/>
      </c>
      <c r="KB32" s="111" t="str">
        <f t="shared" si="122"/>
        <v/>
      </c>
      <c r="KD32" s="47"/>
      <c r="KE32" s="47"/>
      <c r="KF32" s="47"/>
      <c r="KG32" s="47"/>
      <c r="KH32" s="47"/>
      <c r="KI32" s="47"/>
      <c r="KJ32" s="47"/>
      <c r="KK32" s="47"/>
      <c r="KM32" s="47"/>
      <c r="KN32" s="47"/>
      <c r="KO32" s="47"/>
      <c r="KP32" s="47"/>
      <c r="KQ32" s="47"/>
      <c r="KR32" s="47"/>
      <c r="KS32" s="47"/>
      <c r="KT32" s="47"/>
      <c r="KU32" s="47"/>
      <c r="KV32" s="47"/>
    </row>
    <row r="33" spans="1:308" ht="23.25">
      <c r="A33" s="211">
        <v>30</v>
      </c>
      <c r="B33" s="108" t="str">
        <f>Data!B31</f>
        <v>AUDU FATIMA ADO</v>
      </c>
      <c r="C33" s="109"/>
      <c r="D33" s="109"/>
      <c r="E33" s="109"/>
      <c r="F33" s="109"/>
      <c r="G33" s="111">
        <f t="shared" si="123"/>
        <v>0</v>
      </c>
      <c r="H33" s="111"/>
      <c r="I33" s="111">
        <f t="shared" si="2"/>
        <v>0</v>
      </c>
      <c r="J33" s="110" t="str">
        <f t="shared" si="3"/>
        <v/>
      </c>
      <c r="K33" s="110" t="str">
        <f t="shared" si="4"/>
        <v/>
      </c>
      <c r="L33" s="110" t="str">
        <f t="shared" si="5"/>
        <v/>
      </c>
      <c r="M33" s="48">
        <v>30</v>
      </c>
      <c r="N33" s="108" t="str">
        <f>Data!B31</f>
        <v>AUDU FATIMA ADO</v>
      </c>
      <c r="O33" s="109"/>
      <c r="P33" s="109"/>
      <c r="Q33" s="109"/>
      <c r="R33" s="109"/>
      <c r="S33" s="111">
        <f t="shared" si="6"/>
        <v>0</v>
      </c>
      <c r="T33" s="111"/>
      <c r="U33" s="111">
        <f t="shared" si="7"/>
        <v>0</v>
      </c>
      <c r="V33" s="111" t="str">
        <f t="shared" si="8"/>
        <v/>
      </c>
      <c r="W33" s="111" t="str">
        <f t="shared" si="9"/>
        <v/>
      </c>
      <c r="X33" s="111" t="str">
        <f t="shared" si="10"/>
        <v/>
      </c>
      <c r="Y33" s="42">
        <v>30</v>
      </c>
      <c r="Z33" s="108" t="str">
        <f>Data!B31</f>
        <v>AUDU FATIMA ADO</v>
      </c>
      <c r="AA33" s="109"/>
      <c r="AB33" s="109"/>
      <c r="AC33" s="109"/>
      <c r="AD33" s="109"/>
      <c r="AE33" s="111">
        <f t="shared" si="124"/>
        <v>0</v>
      </c>
      <c r="AF33" s="112">
        <v>42</v>
      </c>
      <c r="AG33" s="113">
        <f t="shared" si="12"/>
        <v>42</v>
      </c>
      <c r="AH33" s="113">
        <f t="shared" si="13"/>
        <v>40</v>
      </c>
      <c r="AI33" s="113" t="str">
        <f t="shared" si="14"/>
        <v>E8</v>
      </c>
      <c r="AJ33" s="113" t="str">
        <f t="shared" si="15"/>
        <v>Pass</v>
      </c>
      <c r="AK33" s="42">
        <v>30</v>
      </c>
      <c r="AL33" s="108" t="str">
        <f>Data!B31</f>
        <v>AUDU FATIMA ADO</v>
      </c>
      <c r="AM33" s="114"/>
      <c r="AN33" s="114"/>
      <c r="AO33" s="114"/>
      <c r="AP33" s="114"/>
      <c r="AQ33" s="115">
        <f t="shared" si="16"/>
        <v>0</v>
      </c>
      <c r="AR33" s="114"/>
      <c r="AS33" s="115">
        <f t="shared" si="17"/>
        <v>0</v>
      </c>
      <c r="AT33" s="115" t="str">
        <f t="shared" si="18"/>
        <v/>
      </c>
      <c r="AU33" s="115" t="str">
        <f t="shared" si="19"/>
        <v/>
      </c>
      <c r="AV33" s="115" t="str">
        <f t="shared" si="20"/>
        <v/>
      </c>
      <c r="AW33" s="42">
        <v>30</v>
      </c>
      <c r="AX33" s="108" t="str">
        <f>Data!B31</f>
        <v>AUDU FATIMA ADO</v>
      </c>
      <c r="AY33" s="116"/>
      <c r="AZ33" s="116"/>
      <c r="BA33" s="116"/>
      <c r="BB33" s="116"/>
      <c r="BC33" s="117">
        <f t="shared" si="21"/>
        <v>0</v>
      </c>
      <c r="BD33" s="116"/>
      <c r="BE33" s="117">
        <f t="shared" si="22"/>
        <v>0</v>
      </c>
      <c r="BF33" s="117" t="str">
        <f t="shared" si="23"/>
        <v/>
      </c>
      <c r="BG33" s="117" t="str">
        <f t="shared" si="24"/>
        <v/>
      </c>
      <c r="BH33" s="117" t="str">
        <f t="shared" si="25"/>
        <v/>
      </c>
      <c r="BI33" s="67">
        <v>30</v>
      </c>
      <c r="BJ33" s="108" t="str">
        <f>Data!B31</f>
        <v>AUDU FATIMA ADO</v>
      </c>
      <c r="BK33" s="110"/>
      <c r="BL33" s="110"/>
      <c r="BM33" s="110"/>
      <c r="BN33" s="110"/>
      <c r="BO33" s="111">
        <f t="shared" si="26"/>
        <v>0</v>
      </c>
      <c r="BP33" s="113">
        <v>42</v>
      </c>
      <c r="BQ33" s="119">
        <f t="shared" si="27"/>
        <v>42</v>
      </c>
      <c r="BR33" s="119">
        <f t="shared" si="28"/>
        <v>28</v>
      </c>
      <c r="BS33" s="119" t="str">
        <f t="shared" si="29"/>
        <v>E8</v>
      </c>
      <c r="BT33" s="119" t="str">
        <f t="shared" si="30"/>
        <v>Pass</v>
      </c>
      <c r="BU33">
        <v>30</v>
      </c>
      <c r="BV33" s="108" t="str">
        <f>Data!B31</f>
        <v>AUDU FATIMA ADO</v>
      </c>
      <c r="BW33" s="120">
        <v>10</v>
      </c>
      <c r="BX33" s="120">
        <v>8</v>
      </c>
      <c r="BY33" s="120">
        <v>10</v>
      </c>
      <c r="BZ33" s="120">
        <v>7</v>
      </c>
      <c r="CA33" s="121">
        <f t="shared" si="31"/>
        <v>35</v>
      </c>
      <c r="CB33" s="120">
        <v>38</v>
      </c>
      <c r="CC33" s="121">
        <f t="shared" si="32"/>
        <v>73</v>
      </c>
      <c r="CD33" s="121">
        <f t="shared" si="33"/>
        <v>9</v>
      </c>
      <c r="CE33" s="121" t="str">
        <f t="shared" si="34"/>
        <v>B2</v>
      </c>
      <c r="CF33" s="121" t="str">
        <f t="shared" si="35"/>
        <v>V.Good</v>
      </c>
      <c r="CG33">
        <v>30</v>
      </c>
      <c r="CH33" s="108" t="str">
        <f>Data!B31</f>
        <v>AUDU FATIMA ADO</v>
      </c>
      <c r="CI33" s="109"/>
      <c r="CJ33" s="109"/>
      <c r="CK33" s="109"/>
      <c r="CL33" s="109"/>
      <c r="CM33" s="122">
        <f t="shared" si="36"/>
        <v>0</v>
      </c>
      <c r="CN33" s="122"/>
      <c r="CO33" s="122">
        <f t="shared" si="37"/>
        <v>0</v>
      </c>
      <c r="CP33" s="122" t="str">
        <f t="shared" si="38"/>
        <v/>
      </c>
      <c r="CQ33" s="122" t="str">
        <f t="shared" si="39"/>
        <v/>
      </c>
      <c r="CR33" s="122" t="str">
        <f t="shared" si="40"/>
        <v/>
      </c>
      <c r="CS33">
        <v>30</v>
      </c>
      <c r="CT33" s="108" t="str">
        <f>Data!B31</f>
        <v>AUDU FATIMA ADO</v>
      </c>
      <c r="CU33" s="43"/>
      <c r="CV33" s="43"/>
      <c r="CW33" s="43"/>
      <c r="CX33" s="43"/>
      <c r="CY33" s="123">
        <f t="shared" si="41"/>
        <v>0</v>
      </c>
      <c r="CZ33" s="43"/>
      <c r="DA33" s="123">
        <f t="shared" si="42"/>
        <v>0</v>
      </c>
      <c r="DB33" s="123" t="str">
        <f t="shared" si="43"/>
        <v/>
      </c>
      <c r="DC33" s="123" t="str">
        <f t="shared" si="44"/>
        <v/>
      </c>
      <c r="DD33" s="123" t="str">
        <f t="shared" si="45"/>
        <v/>
      </c>
      <c r="DE33">
        <v>30</v>
      </c>
      <c r="DF33" s="108" t="str">
        <f>Data!B31</f>
        <v>AUDU FATIMA ADO</v>
      </c>
      <c r="DG33" s="109"/>
      <c r="DH33" s="109"/>
      <c r="DI33" s="109"/>
      <c r="DJ33" s="109"/>
      <c r="DK33" s="117">
        <f t="shared" si="46"/>
        <v>0</v>
      </c>
      <c r="DL33" s="116"/>
      <c r="DM33" s="117">
        <f t="shared" si="47"/>
        <v>0</v>
      </c>
      <c r="DN33" s="117" t="str">
        <f t="shared" si="48"/>
        <v/>
      </c>
      <c r="DO33" s="117" t="str">
        <f t="shared" si="49"/>
        <v/>
      </c>
      <c r="DP33" s="117" t="str">
        <f t="shared" si="50"/>
        <v/>
      </c>
      <c r="DQ33">
        <v>30</v>
      </c>
      <c r="DR33" s="108" t="str">
        <f>Data!B31</f>
        <v>AUDU FATIMA ADO</v>
      </c>
      <c r="DS33" s="124"/>
      <c r="DT33" s="124"/>
      <c r="DU33" s="124"/>
      <c r="DV33" s="124"/>
      <c r="DW33" s="125">
        <f t="shared" si="51"/>
        <v>0</v>
      </c>
      <c r="DX33" s="126"/>
      <c r="DY33" s="125">
        <f t="shared" si="52"/>
        <v>0</v>
      </c>
      <c r="DZ33" s="125" t="str">
        <f t="shared" si="53"/>
        <v/>
      </c>
      <c r="EA33" s="125" t="str">
        <f t="shared" si="54"/>
        <v/>
      </c>
      <c r="EB33" s="125" t="str">
        <f t="shared" si="55"/>
        <v/>
      </c>
      <c r="EC33">
        <v>30</v>
      </c>
      <c r="ED33" s="108" t="str">
        <f>Data!B31</f>
        <v>AUDU FATIMA ADO</v>
      </c>
      <c r="EE33" s="109"/>
      <c r="EF33" s="109"/>
      <c r="EG33" s="109"/>
      <c r="EH33" s="109"/>
      <c r="EI33" s="127">
        <f t="shared" si="56"/>
        <v>0</v>
      </c>
      <c r="EJ33" s="127"/>
      <c r="EK33" s="127">
        <f t="shared" si="57"/>
        <v>0</v>
      </c>
      <c r="EL33" s="127" t="str">
        <f t="shared" si="58"/>
        <v/>
      </c>
      <c r="EM33" s="127" t="str">
        <f t="shared" si="59"/>
        <v/>
      </c>
      <c r="EN33" s="127" t="str">
        <f t="shared" si="60"/>
        <v/>
      </c>
      <c r="EO33">
        <v>30</v>
      </c>
      <c r="EP33" s="128" t="str">
        <f>Data!B31</f>
        <v>AUDU FATIMA ADO</v>
      </c>
      <c r="EQ33" s="109"/>
      <c r="ER33" s="109"/>
      <c r="ES33" s="109"/>
      <c r="ET33" s="109"/>
      <c r="EU33" s="123">
        <f t="shared" si="61"/>
        <v>0</v>
      </c>
      <c r="EV33" s="123"/>
      <c r="EW33" s="123">
        <f t="shared" si="62"/>
        <v>0</v>
      </c>
      <c r="EX33" s="123" t="str">
        <f t="shared" si="63"/>
        <v/>
      </c>
      <c r="EY33" s="123" t="str">
        <f t="shared" si="64"/>
        <v/>
      </c>
      <c r="EZ33" s="123" t="str">
        <f t="shared" si="65"/>
        <v/>
      </c>
      <c r="FA33">
        <v>30</v>
      </c>
      <c r="FB33" s="108" t="str">
        <f>Data!B31</f>
        <v>AUDU FATIMA ADO</v>
      </c>
      <c r="FC33" s="109"/>
      <c r="FD33" s="109"/>
      <c r="FE33" s="109"/>
      <c r="FF33" s="109"/>
      <c r="FG33" s="129">
        <f t="shared" si="66"/>
        <v>0</v>
      </c>
      <c r="FH33" s="129"/>
      <c r="FI33" s="129">
        <f t="shared" si="67"/>
        <v>0</v>
      </c>
      <c r="FJ33" s="129" t="str">
        <f t="shared" si="68"/>
        <v/>
      </c>
      <c r="FK33" s="129" t="str">
        <f t="shared" si="69"/>
        <v/>
      </c>
      <c r="FL33" s="129" t="str">
        <f t="shared" si="70"/>
        <v/>
      </c>
      <c r="FM33">
        <v>30</v>
      </c>
      <c r="FN33" s="108" t="str">
        <f>Data!B31</f>
        <v>AUDU FATIMA ADO</v>
      </c>
      <c r="FO33" s="109"/>
      <c r="FP33" s="109"/>
      <c r="FQ33" s="109"/>
      <c r="FR33" s="109"/>
      <c r="FS33" s="130">
        <f t="shared" si="71"/>
        <v>0</v>
      </c>
      <c r="FT33" s="130"/>
      <c r="FU33" s="130">
        <f t="shared" si="72"/>
        <v>0</v>
      </c>
      <c r="FV33" s="130" t="str">
        <f t="shared" si="73"/>
        <v/>
      </c>
      <c r="FW33" s="130" t="str">
        <f t="shared" si="74"/>
        <v/>
      </c>
      <c r="FX33" s="130" t="str">
        <f t="shared" si="75"/>
        <v/>
      </c>
      <c r="FY33">
        <v>30</v>
      </c>
      <c r="FZ33" s="108" t="str">
        <f>Data!B31</f>
        <v>AUDU FATIMA ADO</v>
      </c>
      <c r="GA33" s="109">
        <v>8</v>
      </c>
      <c r="GB33" s="109">
        <v>5</v>
      </c>
      <c r="GC33" s="109">
        <v>9</v>
      </c>
      <c r="GD33" s="109">
        <v>9</v>
      </c>
      <c r="GE33" s="131">
        <f t="shared" si="76"/>
        <v>31</v>
      </c>
      <c r="GF33" s="131">
        <v>24</v>
      </c>
      <c r="GG33" s="131">
        <f t="shared" si="77"/>
        <v>55</v>
      </c>
      <c r="GH33" s="131">
        <f t="shared" si="78"/>
        <v>21</v>
      </c>
      <c r="GI33" s="131" t="str">
        <f t="shared" si="79"/>
        <v>C</v>
      </c>
      <c r="GJ33" s="131" t="str">
        <f t="shared" si="80"/>
        <v>Credit</v>
      </c>
      <c r="GK33">
        <v>30</v>
      </c>
      <c r="GL33" s="108" t="str">
        <f>Data!B31</f>
        <v>AUDU FATIMA ADO</v>
      </c>
      <c r="GM33" s="132"/>
      <c r="GN33" s="132"/>
      <c r="GO33" s="132"/>
      <c r="GP33" s="132"/>
      <c r="GQ33" s="133">
        <f t="shared" si="81"/>
        <v>0</v>
      </c>
      <c r="GR33" s="132"/>
      <c r="GS33" s="133">
        <f t="shared" si="82"/>
        <v>0</v>
      </c>
      <c r="GT33" s="133" t="str">
        <f t="shared" si="83"/>
        <v/>
      </c>
      <c r="GU33" s="133" t="str">
        <f t="shared" si="84"/>
        <v/>
      </c>
      <c r="GV33" s="133" t="str">
        <f t="shared" si="85"/>
        <v/>
      </c>
      <c r="GW33">
        <v>30</v>
      </c>
      <c r="GX33" s="108" t="str">
        <f>Data!B31</f>
        <v>AUDU FATIMA ADO</v>
      </c>
      <c r="GY33" s="109"/>
      <c r="GZ33" s="109"/>
      <c r="HA33" s="109"/>
      <c r="HB33" s="109"/>
      <c r="HC33" s="119">
        <f t="shared" si="86"/>
        <v>0</v>
      </c>
      <c r="HD33" s="119"/>
      <c r="HE33" s="119">
        <f t="shared" si="87"/>
        <v>0</v>
      </c>
      <c r="HF33" s="119" t="str">
        <f t="shared" si="88"/>
        <v/>
      </c>
      <c r="HG33" s="119" t="str">
        <f t="shared" si="89"/>
        <v/>
      </c>
      <c r="HH33" s="119" t="str">
        <f t="shared" si="90"/>
        <v/>
      </c>
      <c r="HI33">
        <v>30</v>
      </c>
      <c r="HJ33" s="108" t="str">
        <f>Data!B31</f>
        <v>AUDU FATIMA ADO</v>
      </c>
      <c r="HK33" s="144"/>
      <c r="HL33" s="145"/>
      <c r="HM33" s="145"/>
      <c r="HN33" s="145"/>
      <c r="HO33" s="136">
        <f t="shared" si="91"/>
        <v>0</v>
      </c>
      <c r="HP33" s="144"/>
      <c r="HQ33" s="136">
        <f t="shared" si="92"/>
        <v>0</v>
      </c>
      <c r="HR33" s="136" t="str">
        <f t="shared" si="93"/>
        <v/>
      </c>
      <c r="HS33" s="136" t="str">
        <f t="shared" si="94"/>
        <v/>
      </c>
      <c r="HT33" s="136" t="str">
        <f t="shared" si="95"/>
        <v/>
      </c>
      <c r="HU33">
        <v>30</v>
      </c>
      <c r="HV33" s="108" t="str">
        <f>Data!B31</f>
        <v>AUDU FATIMA ADO</v>
      </c>
      <c r="HW33" s="109"/>
      <c r="HX33" s="109"/>
      <c r="HY33" s="109"/>
      <c r="HZ33" s="109"/>
      <c r="IA33" s="117">
        <f t="shared" si="96"/>
        <v>0</v>
      </c>
      <c r="IB33" s="117"/>
      <c r="IC33" s="117">
        <f t="shared" si="97"/>
        <v>0</v>
      </c>
      <c r="ID33" s="117" t="str">
        <f t="shared" si="98"/>
        <v/>
      </c>
      <c r="IE33" s="117" t="str">
        <f t="shared" si="99"/>
        <v/>
      </c>
      <c r="IF33" s="117" t="str">
        <f t="shared" si="100"/>
        <v/>
      </c>
      <c r="IG33">
        <v>30</v>
      </c>
      <c r="IH33" s="108" t="str">
        <f>Data!B31</f>
        <v>AUDU FATIMA ADO</v>
      </c>
      <c r="II33" s="109"/>
      <c r="IJ33" s="109"/>
      <c r="IK33" s="109"/>
      <c r="IL33" s="109"/>
      <c r="IM33" s="137">
        <f t="shared" si="101"/>
        <v>0</v>
      </c>
      <c r="IN33" s="137"/>
      <c r="IO33" s="137">
        <f t="shared" si="102"/>
        <v>0</v>
      </c>
      <c r="IP33" s="137" t="str">
        <f t="shared" si="103"/>
        <v/>
      </c>
      <c r="IQ33" s="137" t="str">
        <f t="shared" si="104"/>
        <v/>
      </c>
      <c r="IR33" s="137" t="str">
        <f t="shared" si="105"/>
        <v/>
      </c>
      <c r="IS33">
        <v>30</v>
      </c>
      <c r="IT33" s="108" t="str">
        <f t="shared" si="106"/>
        <v>AUDU FATIMA ADO</v>
      </c>
      <c r="IU33" s="110"/>
      <c r="IV33" s="110"/>
      <c r="IW33" s="110"/>
      <c r="IX33" s="110"/>
      <c r="IY33" s="111">
        <f t="shared" si="107"/>
        <v>0</v>
      </c>
      <c r="IZ33" s="113">
        <v>42</v>
      </c>
      <c r="JA33" s="131">
        <f t="shared" si="108"/>
        <v>42</v>
      </c>
      <c r="JB33" s="131">
        <f t="shared" si="109"/>
        <v>28</v>
      </c>
      <c r="JC33" s="131" t="str">
        <f t="shared" si="110"/>
        <v>E</v>
      </c>
      <c r="JD33" s="131" t="str">
        <f t="shared" si="111"/>
        <v>Pass</v>
      </c>
      <c r="JE33">
        <v>30</v>
      </c>
      <c r="JF33" s="108" t="str">
        <f t="shared" si="112"/>
        <v>AUDU FATIMA ADO</v>
      </c>
      <c r="JG33" s="147"/>
      <c r="JH33" s="147"/>
      <c r="JI33" s="147"/>
      <c r="JJ33" s="147"/>
      <c r="JK33" s="113">
        <f t="shared" si="113"/>
        <v>0</v>
      </c>
      <c r="JL33" s="147"/>
      <c r="JM33" s="113">
        <f t="shared" si="114"/>
        <v>0</v>
      </c>
      <c r="JN33" s="113" t="str">
        <f t="shared" si="115"/>
        <v/>
      </c>
      <c r="JO33" s="113" t="str">
        <f t="shared" si="116"/>
        <v/>
      </c>
      <c r="JP33" s="113" t="str">
        <f t="shared" si="117"/>
        <v/>
      </c>
      <c r="JQ33">
        <v>30</v>
      </c>
      <c r="JR33" s="108" t="str">
        <f t="shared" si="118"/>
        <v>AUDU FATIMA ADO</v>
      </c>
      <c r="JS33" s="140"/>
      <c r="JT33" s="140"/>
      <c r="JU33" s="140"/>
      <c r="JV33" s="140"/>
      <c r="JW33" s="111">
        <f t="shared" si="119"/>
        <v>0</v>
      </c>
      <c r="JX33" s="141"/>
      <c r="JY33" s="111">
        <f t="shared" si="0"/>
        <v>0</v>
      </c>
      <c r="JZ33" s="111" t="str">
        <f t="shared" si="120"/>
        <v/>
      </c>
      <c r="KA33" s="111" t="str">
        <f t="shared" si="121"/>
        <v/>
      </c>
      <c r="KB33" s="111" t="str">
        <f t="shared" si="122"/>
        <v/>
      </c>
      <c r="KD33" s="47"/>
      <c r="KE33" s="47"/>
      <c r="KF33" s="47"/>
      <c r="KG33" s="47"/>
      <c r="KH33" s="47"/>
      <c r="KI33" s="47"/>
      <c r="KJ33" s="47"/>
      <c r="KK33" s="47"/>
      <c r="KM33" s="47"/>
      <c r="KN33" s="47"/>
      <c r="KO33" s="47"/>
      <c r="KP33" s="47"/>
      <c r="KQ33" s="47"/>
      <c r="KR33" s="47"/>
      <c r="KS33" s="47"/>
      <c r="KT33" s="47"/>
      <c r="KU33" s="47"/>
      <c r="KV33" s="47"/>
    </row>
    <row r="34" spans="1:308" ht="23.25">
      <c r="A34" s="211">
        <v>31</v>
      </c>
      <c r="B34" s="108" t="str">
        <f>Data!B32</f>
        <v>ABBA FATIMA KYARI</v>
      </c>
      <c r="C34" s="109">
        <v>9</v>
      </c>
      <c r="D34" s="109">
        <v>4</v>
      </c>
      <c r="E34" s="109">
        <v>10</v>
      </c>
      <c r="F34" s="109">
        <v>10</v>
      </c>
      <c r="G34" s="111">
        <f t="shared" si="123"/>
        <v>33</v>
      </c>
      <c r="H34" s="111">
        <v>27</v>
      </c>
      <c r="I34" s="111">
        <f t="shared" si="2"/>
        <v>60</v>
      </c>
      <c r="J34" s="110">
        <f t="shared" si="3"/>
        <v>4</v>
      </c>
      <c r="K34" s="110" t="str">
        <f t="shared" si="4"/>
        <v>C4</v>
      </c>
      <c r="L34" s="110" t="str">
        <f t="shared" si="5"/>
        <v>Credit</v>
      </c>
      <c r="M34" s="48">
        <v>31</v>
      </c>
      <c r="N34" s="108" t="str">
        <f>Data!B32</f>
        <v>ABBA FATIMA KYARI</v>
      </c>
      <c r="O34" s="109">
        <v>9</v>
      </c>
      <c r="P34" s="109">
        <v>4</v>
      </c>
      <c r="Q34" s="109">
        <v>10</v>
      </c>
      <c r="R34" s="109">
        <v>10</v>
      </c>
      <c r="S34" s="111">
        <f t="shared" si="6"/>
        <v>33</v>
      </c>
      <c r="T34" s="111">
        <v>27</v>
      </c>
      <c r="U34" s="111">
        <f t="shared" si="7"/>
        <v>60</v>
      </c>
      <c r="V34" s="111">
        <f t="shared" si="8"/>
        <v>3</v>
      </c>
      <c r="W34" s="111" t="str">
        <f t="shared" si="9"/>
        <v>C4</v>
      </c>
      <c r="X34" s="111" t="str">
        <f t="shared" si="10"/>
        <v>Credit</v>
      </c>
      <c r="Y34" s="42">
        <v>31</v>
      </c>
      <c r="Z34" s="108" t="str">
        <f>Data!B32</f>
        <v>ABBA FATIMA KYARI</v>
      </c>
      <c r="AA34" s="109">
        <v>9</v>
      </c>
      <c r="AB34" s="109">
        <v>4</v>
      </c>
      <c r="AC34" s="109">
        <v>10</v>
      </c>
      <c r="AD34" s="109">
        <v>10</v>
      </c>
      <c r="AE34" s="111">
        <f t="shared" si="124"/>
        <v>33</v>
      </c>
      <c r="AF34" s="112">
        <v>42</v>
      </c>
      <c r="AG34" s="113">
        <f t="shared" si="12"/>
        <v>75</v>
      </c>
      <c r="AH34" s="113">
        <f t="shared" si="13"/>
        <v>2</v>
      </c>
      <c r="AI34" s="113" t="str">
        <f t="shared" si="14"/>
        <v>A1</v>
      </c>
      <c r="AJ34" s="113" t="str">
        <f t="shared" si="15"/>
        <v>Excellent</v>
      </c>
      <c r="AK34" s="42">
        <v>31</v>
      </c>
      <c r="AL34" s="108" t="str">
        <f>Data!B32</f>
        <v>ABBA FATIMA KYARI</v>
      </c>
      <c r="AM34" s="114"/>
      <c r="AN34" s="114"/>
      <c r="AO34" s="114"/>
      <c r="AP34" s="114"/>
      <c r="AQ34" s="115">
        <f t="shared" si="16"/>
        <v>0</v>
      </c>
      <c r="AR34" s="114"/>
      <c r="AS34" s="115">
        <f t="shared" si="17"/>
        <v>0</v>
      </c>
      <c r="AT34" s="115" t="str">
        <f t="shared" si="18"/>
        <v/>
      </c>
      <c r="AU34" s="115" t="str">
        <f t="shared" si="19"/>
        <v/>
      </c>
      <c r="AV34" s="115" t="str">
        <f t="shared" si="20"/>
        <v/>
      </c>
      <c r="AW34" s="42">
        <v>31</v>
      </c>
      <c r="AX34" s="108" t="str">
        <f>Data!B32</f>
        <v>ABBA FATIMA KYARI</v>
      </c>
      <c r="AY34" s="116"/>
      <c r="AZ34" s="116"/>
      <c r="BA34" s="116"/>
      <c r="BB34" s="116"/>
      <c r="BC34" s="117">
        <f t="shared" si="21"/>
        <v>0</v>
      </c>
      <c r="BD34" s="116"/>
      <c r="BE34" s="117">
        <f t="shared" si="22"/>
        <v>0</v>
      </c>
      <c r="BF34" s="117" t="str">
        <f t="shared" si="23"/>
        <v/>
      </c>
      <c r="BG34" s="117" t="str">
        <f t="shared" si="24"/>
        <v/>
      </c>
      <c r="BH34" s="117" t="str">
        <f t="shared" si="25"/>
        <v/>
      </c>
      <c r="BI34" s="67">
        <v>31</v>
      </c>
      <c r="BJ34" s="108" t="str">
        <f>Data!B32</f>
        <v>ABBA FATIMA KYARI</v>
      </c>
      <c r="BK34" s="110">
        <v>9</v>
      </c>
      <c r="BL34" s="110">
        <v>4</v>
      </c>
      <c r="BM34" s="110">
        <v>10</v>
      </c>
      <c r="BN34" s="110">
        <v>10</v>
      </c>
      <c r="BO34" s="111">
        <f t="shared" si="26"/>
        <v>33</v>
      </c>
      <c r="BP34" s="113">
        <v>42</v>
      </c>
      <c r="BQ34" s="119">
        <f t="shared" si="27"/>
        <v>75</v>
      </c>
      <c r="BR34" s="119">
        <f t="shared" si="28"/>
        <v>2</v>
      </c>
      <c r="BS34" s="119" t="str">
        <f t="shared" si="29"/>
        <v>A1</v>
      </c>
      <c r="BT34" s="119" t="str">
        <f t="shared" si="30"/>
        <v>Excellent</v>
      </c>
      <c r="BU34">
        <v>31</v>
      </c>
      <c r="BV34" s="108" t="str">
        <f>Data!B32</f>
        <v>ABBA FATIMA KYARI</v>
      </c>
      <c r="BW34" s="120">
        <v>9</v>
      </c>
      <c r="BX34" s="120">
        <v>8</v>
      </c>
      <c r="BY34" s="120">
        <v>10</v>
      </c>
      <c r="BZ34" s="120">
        <v>8</v>
      </c>
      <c r="CA34" s="121">
        <f t="shared" si="31"/>
        <v>35</v>
      </c>
      <c r="CB34" s="120">
        <v>25</v>
      </c>
      <c r="CC34" s="121">
        <f t="shared" si="32"/>
        <v>60</v>
      </c>
      <c r="CD34" s="121">
        <f t="shared" si="33"/>
        <v>14</v>
      </c>
      <c r="CE34" s="121" t="str">
        <f t="shared" si="34"/>
        <v>C4</v>
      </c>
      <c r="CF34" s="121" t="str">
        <f t="shared" si="35"/>
        <v>Credit</v>
      </c>
      <c r="CG34">
        <v>31</v>
      </c>
      <c r="CH34" s="108" t="str">
        <f>Data!B32</f>
        <v>ABBA FATIMA KYARI</v>
      </c>
      <c r="CI34" s="109"/>
      <c r="CJ34" s="109"/>
      <c r="CK34" s="109"/>
      <c r="CL34" s="109"/>
      <c r="CM34" s="122">
        <f t="shared" si="36"/>
        <v>0</v>
      </c>
      <c r="CN34" s="122"/>
      <c r="CO34" s="122">
        <f t="shared" si="37"/>
        <v>0</v>
      </c>
      <c r="CP34" s="122" t="str">
        <f t="shared" si="38"/>
        <v/>
      </c>
      <c r="CQ34" s="122" t="str">
        <f t="shared" si="39"/>
        <v/>
      </c>
      <c r="CR34" s="122" t="str">
        <f t="shared" si="40"/>
        <v/>
      </c>
      <c r="CS34">
        <v>31</v>
      </c>
      <c r="CT34" s="108" t="str">
        <f>Data!B32</f>
        <v>ABBA FATIMA KYARI</v>
      </c>
      <c r="CU34" s="43"/>
      <c r="CV34" s="43"/>
      <c r="CW34" s="43"/>
      <c r="CX34" s="43"/>
      <c r="CY34" s="123">
        <f t="shared" si="41"/>
        <v>0</v>
      </c>
      <c r="CZ34" s="43"/>
      <c r="DA34" s="123">
        <f t="shared" si="42"/>
        <v>0</v>
      </c>
      <c r="DB34" s="123" t="str">
        <f t="shared" si="43"/>
        <v/>
      </c>
      <c r="DC34" s="123" t="str">
        <f t="shared" si="44"/>
        <v/>
      </c>
      <c r="DD34" s="123" t="str">
        <f t="shared" si="45"/>
        <v/>
      </c>
      <c r="DE34">
        <v>31</v>
      </c>
      <c r="DF34" s="108" t="str">
        <f>Data!B32</f>
        <v>ABBA FATIMA KYARI</v>
      </c>
      <c r="DG34" s="109"/>
      <c r="DH34" s="109"/>
      <c r="DI34" s="109"/>
      <c r="DJ34" s="109"/>
      <c r="DK34" s="117">
        <f t="shared" si="46"/>
        <v>0</v>
      </c>
      <c r="DL34" s="116"/>
      <c r="DM34" s="117">
        <f t="shared" si="47"/>
        <v>0</v>
      </c>
      <c r="DN34" s="117" t="str">
        <f t="shared" si="48"/>
        <v/>
      </c>
      <c r="DO34" s="117" t="str">
        <f t="shared" si="49"/>
        <v/>
      </c>
      <c r="DP34" s="117" t="str">
        <f t="shared" si="50"/>
        <v/>
      </c>
      <c r="DQ34">
        <v>31</v>
      </c>
      <c r="DR34" s="108" t="str">
        <f>Data!B32</f>
        <v>ABBA FATIMA KYARI</v>
      </c>
      <c r="DS34" s="124"/>
      <c r="DT34" s="124"/>
      <c r="DU34" s="124"/>
      <c r="DV34" s="124"/>
      <c r="DW34" s="125">
        <f t="shared" si="51"/>
        <v>0</v>
      </c>
      <c r="DX34" s="126"/>
      <c r="DY34" s="125">
        <f t="shared" si="52"/>
        <v>0</v>
      </c>
      <c r="DZ34" s="125" t="str">
        <f t="shared" si="53"/>
        <v/>
      </c>
      <c r="EA34" s="125" t="str">
        <f t="shared" si="54"/>
        <v/>
      </c>
      <c r="EB34" s="125" t="str">
        <f t="shared" si="55"/>
        <v/>
      </c>
      <c r="EC34">
        <v>31</v>
      </c>
      <c r="ED34" s="108" t="str">
        <f>Data!B32</f>
        <v>ABBA FATIMA KYARI</v>
      </c>
      <c r="EE34" s="109"/>
      <c r="EF34" s="109"/>
      <c r="EG34" s="109"/>
      <c r="EH34" s="109"/>
      <c r="EI34" s="127">
        <f t="shared" si="56"/>
        <v>0</v>
      </c>
      <c r="EJ34" s="127"/>
      <c r="EK34" s="127">
        <f t="shared" si="57"/>
        <v>0</v>
      </c>
      <c r="EL34" s="127" t="str">
        <f t="shared" si="58"/>
        <v/>
      </c>
      <c r="EM34" s="127" t="str">
        <f t="shared" si="59"/>
        <v/>
      </c>
      <c r="EN34" s="127" t="str">
        <f t="shared" si="60"/>
        <v/>
      </c>
      <c r="EO34">
        <v>31</v>
      </c>
      <c r="EP34" s="128" t="str">
        <f>Data!B32</f>
        <v>ABBA FATIMA KYARI</v>
      </c>
      <c r="EQ34" s="109"/>
      <c r="ER34" s="109"/>
      <c r="ES34" s="109"/>
      <c r="ET34" s="109"/>
      <c r="EU34" s="123">
        <f t="shared" si="61"/>
        <v>0</v>
      </c>
      <c r="EV34" s="123"/>
      <c r="EW34" s="123">
        <f t="shared" si="62"/>
        <v>0</v>
      </c>
      <c r="EX34" s="123" t="str">
        <f t="shared" si="63"/>
        <v/>
      </c>
      <c r="EY34" s="123" t="str">
        <f t="shared" si="64"/>
        <v/>
      </c>
      <c r="EZ34" s="123" t="str">
        <f t="shared" si="65"/>
        <v/>
      </c>
      <c r="FA34">
        <v>31</v>
      </c>
      <c r="FB34" s="108" t="str">
        <f>Data!B32</f>
        <v>ABBA FATIMA KYARI</v>
      </c>
      <c r="FC34" s="109"/>
      <c r="FD34" s="109"/>
      <c r="FE34" s="109"/>
      <c r="FF34" s="109"/>
      <c r="FG34" s="129">
        <f t="shared" si="66"/>
        <v>0</v>
      </c>
      <c r="FH34" s="129"/>
      <c r="FI34" s="129">
        <f t="shared" si="67"/>
        <v>0</v>
      </c>
      <c r="FJ34" s="129" t="str">
        <f t="shared" si="68"/>
        <v/>
      </c>
      <c r="FK34" s="129" t="str">
        <f t="shared" si="69"/>
        <v/>
      </c>
      <c r="FL34" s="129" t="str">
        <f t="shared" si="70"/>
        <v/>
      </c>
      <c r="FM34">
        <v>31</v>
      </c>
      <c r="FN34" s="108" t="str">
        <f>Data!B32</f>
        <v>ABBA FATIMA KYARI</v>
      </c>
      <c r="FO34" s="109"/>
      <c r="FP34" s="109"/>
      <c r="FQ34" s="109"/>
      <c r="FR34" s="109"/>
      <c r="FS34" s="130">
        <f t="shared" si="71"/>
        <v>0</v>
      </c>
      <c r="FT34" s="130"/>
      <c r="FU34" s="130">
        <f t="shared" si="72"/>
        <v>0</v>
      </c>
      <c r="FV34" s="130" t="str">
        <f t="shared" si="73"/>
        <v/>
      </c>
      <c r="FW34" s="130" t="str">
        <f t="shared" si="74"/>
        <v/>
      </c>
      <c r="FX34" s="130" t="str">
        <f t="shared" si="75"/>
        <v/>
      </c>
      <c r="FY34">
        <v>31</v>
      </c>
      <c r="FZ34" s="108" t="str">
        <f>Data!B32</f>
        <v>ABBA FATIMA KYARI</v>
      </c>
      <c r="GA34" s="109">
        <v>9</v>
      </c>
      <c r="GB34" s="109">
        <v>10</v>
      </c>
      <c r="GC34" s="109">
        <v>8</v>
      </c>
      <c r="GD34" s="109">
        <v>10</v>
      </c>
      <c r="GE34" s="131">
        <f t="shared" si="76"/>
        <v>37</v>
      </c>
      <c r="GF34" s="131">
        <v>28</v>
      </c>
      <c r="GG34" s="131">
        <f t="shared" si="77"/>
        <v>65</v>
      </c>
      <c r="GH34" s="131">
        <f t="shared" si="78"/>
        <v>8</v>
      </c>
      <c r="GI34" s="131" t="str">
        <f t="shared" si="79"/>
        <v>C</v>
      </c>
      <c r="GJ34" s="131" t="str">
        <f t="shared" si="80"/>
        <v>Good</v>
      </c>
      <c r="GK34">
        <v>31</v>
      </c>
      <c r="GL34" s="108" t="str">
        <f>Data!B32</f>
        <v>ABBA FATIMA KYARI</v>
      </c>
      <c r="GM34" s="132"/>
      <c r="GN34" s="132"/>
      <c r="GO34" s="132"/>
      <c r="GP34" s="132"/>
      <c r="GQ34" s="133">
        <f t="shared" si="81"/>
        <v>0</v>
      </c>
      <c r="GR34" s="132"/>
      <c r="GS34" s="133">
        <f t="shared" si="82"/>
        <v>0</v>
      </c>
      <c r="GT34" s="133" t="str">
        <f t="shared" si="83"/>
        <v/>
      </c>
      <c r="GU34" s="133" t="str">
        <f t="shared" si="84"/>
        <v/>
      </c>
      <c r="GV34" s="133" t="str">
        <f t="shared" si="85"/>
        <v/>
      </c>
      <c r="GW34">
        <v>31</v>
      </c>
      <c r="GX34" s="108" t="str">
        <f>Data!B32</f>
        <v>ABBA FATIMA KYARI</v>
      </c>
      <c r="GY34" s="109"/>
      <c r="GZ34" s="109"/>
      <c r="HA34" s="109"/>
      <c r="HB34" s="109"/>
      <c r="HC34" s="119">
        <f t="shared" si="86"/>
        <v>0</v>
      </c>
      <c r="HD34" s="119"/>
      <c r="HE34" s="119">
        <f t="shared" si="87"/>
        <v>0</v>
      </c>
      <c r="HF34" s="119" t="str">
        <f t="shared" si="88"/>
        <v/>
      </c>
      <c r="HG34" s="119" t="str">
        <f t="shared" si="89"/>
        <v/>
      </c>
      <c r="HH34" s="119" t="str">
        <f t="shared" si="90"/>
        <v/>
      </c>
      <c r="HI34">
        <v>31</v>
      </c>
      <c r="HJ34" s="108" t="str">
        <f>Data!B32</f>
        <v>ABBA FATIMA KYARI</v>
      </c>
      <c r="HK34" s="144">
        <v>2</v>
      </c>
      <c r="HL34" s="145">
        <v>6</v>
      </c>
      <c r="HM34" s="145">
        <v>9</v>
      </c>
      <c r="HN34" s="145">
        <v>10</v>
      </c>
      <c r="HO34" s="136">
        <f t="shared" si="91"/>
        <v>27</v>
      </c>
      <c r="HP34" s="144"/>
      <c r="HQ34" s="136">
        <f t="shared" si="92"/>
        <v>27</v>
      </c>
      <c r="HR34" s="136">
        <f t="shared" si="93"/>
        <v>5</v>
      </c>
      <c r="HS34" s="136" t="str">
        <f t="shared" si="94"/>
        <v>F</v>
      </c>
      <c r="HT34" s="136" t="str">
        <f t="shared" si="95"/>
        <v>Fail</v>
      </c>
      <c r="HU34">
        <v>31</v>
      </c>
      <c r="HV34" s="108" t="str">
        <f>Data!B32</f>
        <v>ABBA FATIMA KYARI</v>
      </c>
      <c r="HW34" s="109"/>
      <c r="HX34" s="109"/>
      <c r="HY34" s="109"/>
      <c r="HZ34" s="109"/>
      <c r="IA34" s="117">
        <f t="shared" si="96"/>
        <v>0</v>
      </c>
      <c r="IB34" s="117"/>
      <c r="IC34" s="117">
        <f t="shared" si="97"/>
        <v>0</v>
      </c>
      <c r="ID34" s="117" t="str">
        <f t="shared" si="98"/>
        <v/>
      </c>
      <c r="IE34" s="117" t="str">
        <f t="shared" si="99"/>
        <v/>
      </c>
      <c r="IF34" s="117" t="str">
        <f t="shared" si="100"/>
        <v/>
      </c>
      <c r="IG34">
        <v>31</v>
      </c>
      <c r="IH34" s="108" t="str">
        <f>Data!B32</f>
        <v>ABBA FATIMA KYARI</v>
      </c>
      <c r="II34" s="109"/>
      <c r="IJ34" s="109"/>
      <c r="IK34" s="109"/>
      <c r="IL34" s="109"/>
      <c r="IM34" s="137">
        <f t="shared" si="101"/>
        <v>0</v>
      </c>
      <c r="IN34" s="137"/>
      <c r="IO34" s="137">
        <f t="shared" si="102"/>
        <v>0</v>
      </c>
      <c r="IP34" s="137" t="str">
        <f t="shared" si="103"/>
        <v/>
      </c>
      <c r="IQ34" s="137" t="str">
        <f t="shared" si="104"/>
        <v/>
      </c>
      <c r="IR34" s="137" t="str">
        <f t="shared" si="105"/>
        <v/>
      </c>
      <c r="IS34">
        <v>31</v>
      </c>
      <c r="IT34" s="108" t="str">
        <f t="shared" si="106"/>
        <v>ABBA FATIMA KYARI</v>
      </c>
      <c r="IU34" s="110">
        <v>9</v>
      </c>
      <c r="IV34" s="110">
        <v>4</v>
      </c>
      <c r="IW34" s="110">
        <v>10</v>
      </c>
      <c r="IX34" s="110">
        <v>10</v>
      </c>
      <c r="IY34" s="111">
        <f t="shared" si="107"/>
        <v>33</v>
      </c>
      <c r="IZ34" s="113">
        <v>42</v>
      </c>
      <c r="JA34" s="131">
        <f t="shared" si="108"/>
        <v>75</v>
      </c>
      <c r="JB34" s="131">
        <f t="shared" si="109"/>
        <v>2</v>
      </c>
      <c r="JC34" s="131" t="str">
        <f t="shared" si="110"/>
        <v>A</v>
      </c>
      <c r="JD34" s="131" t="str">
        <f t="shared" si="111"/>
        <v>Excellent</v>
      </c>
      <c r="JE34">
        <v>31</v>
      </c>
      <c r="JF34" s="108" t="str">
        <f t="shared" si="112"/>
        <v>ABBA FATIMA KYARI</v>
      </c>
      <c r="JG34" s="147"/>
      <c r="JH34" s="147"/>
      <c r="JI34" s="147"/>
      <c r="JJ34" s="147"/>
      <c r="JK34" s="113">
        <f t="shared" si="113"/>
        <v>0</v>
      </c>
      <c r="JL34" s="147"/>
      <c r="JM34" s="113">
        <f t="shared" si="114"/>
        <v>0</v>
      </c>
      <c r="JN34" s="113" t="str">
        <f t="shared" si="115"/>
        <v/>
      </c>
      <c r="JO34" s="113" t="str">
        <f t="shared" si="116"/>
        <v/>
      </c>
      <c r="JP34" s="113" t="str">
        <f t="shared" si="117"/>
        <v/>
      </c>
      <c r="JQ34">
        <v>31</v>
      </c>
      <c r="JR34" s="108" t="str">
        <f t="shared" si="118"/>
        <v>ABBA FATIMA KYARI</v>
      </c>
      <c r="JS34" s="140"/>
      <c r="JT34" s="140"/>
      <c r="JU34" s="140"/>
      <c r="JV34" s="140"/>
      <c r="JW34" s="111">
        <f t="shared" si="119"/>
        <v>0</v>
      </c>
      <c r="JX34" s="141"/>
      <c r="JY34" s="111">
        <f t="shared" si="0"/>
        <v>0</v>
      </c>
      <c r="JZ34" s="111" t="str">
        <f t="shared" si="120"/>
        <v/>
      </c>
      <c r="KA34" s="111" t="str">
        <f t="shared" si="121"/>
        <v/>
      </c>
      <c r="KB34" s="111" t="str">
        <f t="shared" si="122"/>
        <v/>
      </c>
      <c r="KD34" s="47"/>
      <c r="KE34" s="47"/>
      <c r="KF34" s="47"/>
      <c r="KG34" s="47"/>
      <c r="KH34" s="47"/>
      <c r="KI34" s="47"/>
      <c r="KJ34" s="47"/>
      <c r="KK34" s="47"/>
      <c r="KM34" s="47"/>
      <c r="KN34" s="47"/>
      <c r="KO34" s="47"/>
      <c r="KP34" s="47"/>
      <c r="KQ34" s="47"/>
      <c r="KR34" s="47"/>
      <c r="KS34" s="47"/>
      <c r="KT34" s="47"/>
      <c r="KU34" s="47"/>
      <c r="KV34" s="47"/>
    </row>
    <row r="35" spans="1:308" ht="23.25">
      <c r="A35" s="211">
        <v>32</v>
      </c>
      <c r="B35" s="108" t="str">
        <f>Data!B33</f>
        <v>AHMED FATIMA JIME</v>
      </c>
      <c r="C35" s="109">
        <v>7</v>
      </c>
      <c r="D35" s="109">
        <v>4</v>
      </c>
      <c r="E35" s="109">
        <v>10</v>
      </c>
      <c r="F35" s="109">
        <v>10</v>
      </c>
      <c r="G35" s="111">
        <f t="shared" si="123"/>
        <v>31</v>
      </c>
      <c r="H35" s="111">
        <v>23</v>
      </c>
      <c r="I35" s="111">
        <f t="shared" si="2"/>
        <v>54</v>
      </c>
      <c r="J35" s="110">
        <f t="shared" si="3"/>
        <v>7</v>
      </c>
      <c r="K35" s="110" t="str">
        <f t="shared" si="4"/>
        <v>C6</v>
      </c>
      <c r="L35" s="110" t="str">
        <f t="shared" si="5"/>
        <v>Credit</v>
      </c>
      <c r="M35" s="48">
        <v>32</v>
      </c>
      <c r="N35" s="108" t="str">
        <f>Data!B33</f>
        <v>AHMED FATIMA JIME</v>
      </c>
      <c r="O35" s="109">
        <v>7</v>
      </c>
      <c r="P35" s="109">
        <v>4</v>
      </c>
      <c r="Q35" s="109">
        <v>10</v>
      </c>
      <c r="R35" s="109">
        <v>10</v>
      </c>
      <c r="S35" s="111">
        <f t="shared" si="6"/>
        <v>31</v>
      </c>
      <c r="T35" s="111">
        <v>23</v>
      </c>
      <c r="U35" s="111">
        <f t="shared" si="7"/>
        <v>54</v>
      </c>
      <c r="V35" s="111">
        <f t="shared" si="8"/>
        <v>6</v>
      </c>
      <c r="W35" s="111" t="str">
        <f t="shared" si="9"/>
        <v>C6</v>
      </c>
      <c r="X35" s="111" t="str">
        <f t="shared" si="10"/>
        <v>Credit</v>
      </c>
      <c r="Y35" s="42">
        <v>32</v>
      </c>
      <c r="Z35" s="108" t="str">
        <f>Data!B33</f>
        <v>AHMED FATIMA JIME</v>
      </c>
      <c r="AA35" s="109">
        <v>7</v>
      </c>
      <c r="AB35" s="109">
        <v>4</v>
      </c>
      <c r="AC35" s="109">
        <v>10</v>
      </c>
      <c r="AD35" s="109">
        <v>10</v>
      </c>
      <c r="AE35" s="111">
        <f t="shared" si="124"/>
        <v>31</v>
      </c>
      <c r="AF35" s="112">
        <v>42</v>
      </c>
      <c r="AG35" s="113">
        <f t="shared" si="12"/>
        <v>73</v>
      </c>
      <c r="AH35" s="113">
        <f t="shared" si="13"/>
        <v>3</v>
      </c>
      <c r="AI35" s="113" t="str">
        <f t="shared" si="14"/>
        <v>B2</v>
      </c>
      <c r="AJ35" s="113" t="str">
        <f t="shared" si="15"/>
        <v>V.Good</v>
      </c>
      <c r="AK35" s="42">
        <v>32</v>
      </c>
      <c r="AL35" s="108" t="str">
        <f>Data!B33</f>
        <v>AHMED FATIMA JIME</v>
      </c>
      <c r="AM35" s="114"/>
      <c r="AN35" s="114"/>
      <c r="AO35" s="114"/>
      <c r="AP35" s="114"/>
      <c r="AQ35" s="115">
        <f t="shared" si="16"/>
        <v>0</v>
      </c>
      <c r="AR35" s="114"/>
      <c r="AS35" s="115">
        <f t="shared" si="17"/>
        <v>0</v>
      </c>
      <c r="AT35" s="115" t="str">
        <f t="shared" si="18"/>
        <v/>
      </c>
      <c r="AU35" s="115" t="str">
        <f t="shared" si="19"/>
        <v/>
      </c>
      <c r="AV35" s="115" t="str">
        <f t="shared" si="20"/>
        <v/>
      </c>
      <c r="AW35" s="42">
        <v>32</v>
      </c>
      <c r="AX35" s="108" t="str">
        <f>Data!B33</f>
        <v>AHMED FATIMA JIME</v>
      </c>
      <c r="AY35" s="116"/>
      <c r="AZ35" s="116"/>
      <c r="BA35" s="116"/>
      <c r="BB35" s="116"/>
      <c r="BC35" s="117">
        <f t="shared" si="21"/>
        <v>0</v>
      </c>
      <c r="BD35" s="116"/>
      <c r="BE35" s="117">
        <f t="shared" si="22"/>
        <v>0</v>
      </c>
      <c r="BF35" s="117" t="str">
        <f t="shared" si="23"/>
        <v/>
      </c>
      <c r="BG35" s="117" t="str">
        <f t="shared" si="24"/>
        <v/>
      </c>
      <c r="BH35" s="117" t="str">
        <f t="shared" si="25"/>
        <v/>
      </c>
      <c r="BI35" s="67">
        <v>32</v>
      </c>
      <c r="BJ35" s="108" t="str">
        <f>Data!B33</f>
        <v>AHMED FATIMA JIME</v>
      </c>
      <c r="BK35" s="110">
        <v>7</v>
      </c>
      <c r="BL35" s="110">
        <v>4</v>
      </c>
      <c r="BM35" s="110">
        <v>10</v>
      </c>
      <c r="BN35" s="110">
        <v>10</v>
      </c>
      <c r="BO35" s="111">
        <f t="shared" si="26"/>
        <v>31</v>
      </c>
      <c r="BP35" s="113">
        <v>42</v>
      </c>
      <c r="BQ35" s="119">
        <f t="shared" si="27"/>
        <v>73</v>
      </c>
      <c r="BR35" s="119">
        <f t="shared" si="28"/>
        <v>3</v>
      </c>
      <c r="BS35" s="119" t="str">
        <f t="shared" si="29"/>
        <v>B2</v>
      </c>
      <c r="BT35" s="119" t="str">
        <f t="shared" si="30"/>
        <v>V.Good</v>
      </c>
      <c r="BU35">
        <v>32</v>
      </c>
      <c r="BV35" s="108" t="str">
        <f>Data!B33</f>
        <v>AHMED FATIMA JIME</v>
      </c>
      <c r="BW35" s="120">
        <v>6</v>
      </c>
      <c r="BX35" s="120">
        <v>6</v>
      </c>
      <c r="BY35" s="120">
        <v>9</v>
      </c>
      <c r="BZ35" s="120">
        <v>7</v>
      </c>
      <c r="CA35" s="121">
        <f t="shared" si="31"/>
        <v>28</v>
      </c>
      <c r="CB35" s="120">
        <v>17</v>
      </c>
      <c r="CC35" s="121">
        <f t="shared" si="32"/>
        <v>45</v>
      </c>
      <c r="CD35" s="121">
        <f t="shared" si="33"/>
        <v>31</v>
      </c>
      <c r="CE35" s="121" t="str">
        <f t="shared" si="34"/>
        <v>D7</v>
      </c>
      <c r="CF35" s="121" t="str">
        <f t="shared" si="35"/>
        <v>Pass</v>
      </c>
      <c r="CG35">
        <v>32</v>
      </c>
      <c r="CH35" s="108" t="str">
        <f>Data!B33</f>
        <v>AHMED FATIMA JIME</v>
      </c>
      <c r="CI35" s="109"/>
      <c r="CJ35" s="109"/>
      <c r="CK35" s="109"/>
      <c r="CL35" s="109"/>
      <c r="CM35" s="122">
        <f t="shared" si="36"/>
        <v>0</v>
      </c>
      <c r="CN35" s="122"/>
      <c r="CO35" s="122">
        <f t="shared" si="37"/>
        <v>0</v>
      </c>
      <c r="CP35" s="122" t="str">
        <f t="shared" si="38"/>
        <v/>
      </c>
      <c r="CQ35" s="122" t="str">
        <f t="shared" si="39"/>
        <v/>
      </c>
      <c r="CR35" s="122" t="str">
        <f t="shared" si="40"/>
        <v/>
      </c>
      <c r="CS35">
        <v>32</v>
      </c>
      <c r="CT35" s="108" t="str">
        <f>Data!B33</f>
        <v>AHMED FATIMA JIME</v>
      </c>
      <c r="CU35" s="43"/>
      <c r="CV35" s="43"/>
      <c r="CW35" s="43"/>
      <c r="CX35" s="43"/>
      <c r="CY35" s="123">
        <f t="shared" si="41"/>
        <v>0</v>
      </c>
      <c r="CZ35" s="43"/>
      <c r="DA35" s="123">
        <f t="shared" si="42"/>
        <v>0</v>
      </c>
      <c r="DB35" s="123" t="str">
        <f t="shared" si="43"/>
        <v/>
      </c>
      <c r="DC35" s="123" t="str">
        <f t="shared" si="44"/>
        <v/>
      </c>
      <c r="DD35" s="123" t="str">
        <f t="shared" si="45"/>
        <v/>
      </c>
      <c r="DE35">
        <v>32</v>
      </c>
      <c r="DF35" s="108" t="str">
        <f>Data!B33</f>
        <v>AHMED FATIMA JIME</v>
      </c>
      <c r="DG35" s="109"/>
      <c r="DH35" s="109"/>
      <c r="DI35" s="109"/>
      <c r="DJ35" s="109"/>
      <c r="DK35" s="117">
        <f t="shared" si="46"/>
        <v>0</v>
      </c>
      <c r="DL35" s="116"/>
      <c r="DM35" s="117">
        <f t="shared" si="47"/>
        <v>0</v>
      </c>
      <c r="DN35" s="117" t="str">
        <f t="shared" si="48"/>
        <v/>
      </c>
      <c r="DO35" s="117" t="str">
        <f t="shared" si="49"/>
        <v/>
      </c>
      <c r="DP35" s="117" t="str">
        <f t="shared" si="50"/>
        <v/>
      </c>
      <c r="DQ35">
        <v>32</v>
      </c>
      <c r="DR35" s="108" t="str">
        <f>Data!B33</f>
        <v>AHMED FATIMA JIME</v>
      </c>
      <c r="DS35" s="124"/>
      <c r="DT35" s="124"/>
      <c r="DU35" s="124"/>
      <c r="DV35" s="124"/>
      <c r="DW35" s="125">
        <f t="shared" si="51"/>
        <v>0</v>
      </c>
      <c r="DX35" s="126"/>
      <c r="DY35" s="125">
        <f t="shared" si="52"/>
        <v>0</v>
      </c>
      <c r="DZ35" s="125" t="str">
        <f t="shared" si="53"/>
        <v/>
      </c>
      <c r="EA35" s="125" t="str">
        <f t="shared" si="54"/>
        <v/>
      </c>
      <c r="EB35" s="125" t="str">
        <f t="shared" si="55"/>
        <v/>
      </c>
      <c r="EC35">
        <v>32</v>
      </c>
      <c r="ED35" s="108" t="str">
        <f>Data!B33</f>
        <v>AHMED FATIMA JIME</v>
      </c>
      <c r="EE35" s="109"/>
      <c r="EF35" s="109"/>
      <c r="EG35" s="109"/>
      <c r="EH35" s="109"/>
      <c r="EI35" s="127">
        <f t="shared" si="56"/>
        <v>0</v>
      </c>
      <c r="EJ35" s="127"/>
      <c r="EK35" s="127">
        <f t="shared" si="57"/>
        <v>0</v>
      </c>
      <c r="EL35" s="127" t="str">
        <f t="shared" si="58"/>
        <v/>
      </c>
      <c r="EM35" s="127" t="str">
        <f t="shared" si="59"/>
        <v/>
      </c>
      <c r="EN35" s="127" t="str">
        <f t="shared" si="60"/>
        <v/>
      </c>
      <c r="EO35">
        <v>32</v>
      </c>
      <c r="EP35" s="128" t="str">
        <f>Data!B33</f>
        <v>AHMED FATIMA JIME</v>
      </c>
      <c r="EQ35" s="109"/>
      <c r="ER35" s="109"/>
      <c r="ES35" s="109"/>
      <c r="ET35" s="109"/>
      <c r="EU35" s="123">
        <f t="shared" si="61"/>
        <v>0</v>
      </c>
      <c r="EV35" s="123"/>
      <c r="EW35" s="123">
        <f t="shared" si="62"/>
        <v>0</v>
      </c>
      <c r="EX35" s="123" t="str">
        <f t="shared" si="63"/>
        <v/>
      </c>
      <c r="EY35" s="123" t="str">
        <f t="shared" si="64"/>
        <v/>
      </c>
      <c r="EZ35" s="123" t="str">
        <f t="shared" si="65"/>
        <v/>
      </c>
      <c r="FA35">
        <v>32</v>
      </c>
      <c r="FB35" s="108" t="str">
        <f>Data!B33</f>
        <v>AHMED FATIMA JIME</v>
      </c>
      <c r="FC35" s="109"/>
      <c r="FD35" s="109"/>
      <c r="FE35" s="109"/>
      <c r="FF35" s="109"/>
      <c r="FG35" s="129">
        <f t="shared" si="66"/>
        <v>0</v>
      </c>
      <c r="FH35" s="129"/>
      <c r="FI35" s="129">
        <f t="shared" si="67"/>
        <v>0</v>
      </c>
      <c r="FJ35" s="129" t="str">
        <f t="shared" si="68"/>
        <v/>
      </c>
      <c r="FK35" s="129" t="str">
        <f t="shared" si="69"/>
        <v/>
      </c>
      <c r="FL35" s="129" t="str">
        <f t="shared" si="70"/>
        <v/>
      </c>
      <c r="FM35">
        <v>32</v>
      </c>
      <c r="FN35" s="108" t="str">
        <f>Data!B33</f>
        <v>AHMED FATIMA JIME</v>
      </c>
      <c r="FO35" s="109"/>
      <c r="FP35" s="109"/>
      <c r="FQ35" s="109"/>
      <c r="FR35" s="109"/>
      <c r="FS35" s="130">
        <f t="shared" si="71"/>
        <v>0</v>
      </c>
      <c r="FT35" s="130"/>
      <c r="FU35" s="130">
        <f t="shared" si="72"/>
        <v>0</v>
      </c>
      <c r="FV35" s="130" t="str">
        <f t="shared" si="73"/>
        <v/>
      </c>
      <c r="FW35" s="130" t="str">
        <f t="shared" si="74"/>
        <v/>
      </c>
      <c r="FX35" s="130" t="str">
        <f t="shared" si="75"/>
        <v/>
      </c>
      <c r="FY35">
        <v>32</v>
      </c>
      <c r="FZ35" s="108" t="str">
        <f>Data!B33</f>
        <v>AHMED FATIMA JIME</v>
      </c>
      <c r="GA35" s="109">
        <v>9</v>
      </c>
      <c r="GB35" s="109">
        <v>8</v>
      </c>
      <c r="GC35" s="109">
        <v>7</v>
      </c>
      <c r="GD35" s="109">
        <v>8</v>
      </c>
      <c r="GE35" s="131">
        <f t="shared" si="76"/>
        <v>32</v>
      </c>
      <c r="GF35" s="131">
        <v>21</v>
      </c>
      <c r="GG35" s="131">
        <f t="shared" si="77"/>
        <v>53</v>
      </c>
      <c r="GH35" s="131">
        <f t="shared" si="78"/>
        <v>27</v>
      </c>
      <c r="GI35" s="131" t="str">
        <f t="shared" si="79"/>
        <v>C</v>
      </c>
      <c r="GJ35" s="131" t="str">
        <f t="shared" si="80"/>
        <v>Credit</v>
      </c>
      <c r="GK35">
        <v>32</v>
      </c>
      <c r="GL35" s="108" t="str">
        <f>Data!B33</f>
        <v>AHMED FATIMA JIME</v>
      </c>
      <c r="GM35" s="132"/>
      <c r="GN35" s="132"/>
      <c r="GO35" s="132"/>
      <c r="GP35" s="132"/>
      <c r="GQ35" s="133">
        <f t="shared" si="81"/>
        <v>0</v>
      </c>
      <c r="GR35" s="132"/>
      <c r="GS35" s="133">
        <f t="shared" si="82"/>
        <v>0</v>
      </c>
      <c r="GT35" s="133" t="str">
        <f t="shared" si="83"/>
        <v/>
      </c>
      <c r="GU35" s="133" t="str">
        <f t="shared" si="84"/>
        <v/>
      </c>
      <c r="GV35" s="133" t="str">
        <f t="shared" si="85"/>
        <v/>
      </c>
      <c r="GW35">
        <v>32</v>
      </c>
      <c r="GX35" s="108" t="str">
        <f>Data!B33</f>
        <v>AHMED FATIMA JIME</v>
      </c>
      <c r="GY35" s="109">
        <v>7</v>
      </c>
      <c r="GZ35" s="109">
        <v>10</v>
      </c>
      <c r="HA35" s="109">
        <v>9</v>
      </c>
      <c r="HB35" s="109">
        <v>10</v>
      </c>
      <c r="HC35" s="119">
        <f t="shared" si="86"/>
        <v>36</v>
      </c>
      <c r="HD35" s="119"/>
      <c r="HE35" s="119">
        <f t="shared" si="87"/>
        <v>36</v>
      </c>
      <c r="HF35" s="119">
        <f t="shared" si="88"/>
        <v>3</v>
      </c>
      <c r="HG35" s="119" t="str">
        <f t="shared" si="89"/>
        <v>F</v>
      </c>
      <c r="HH35" s="119" t="str">
        <f t="shared" si="90"/>
        <v>Fail</v>
      </c>
      <c r="HI35">
        <v>32</v>
      </c>
      <c r="HJ35" s="108" t="str">
        <f>Data!B33</f>
        <v>AHMED FATIMA JIME</v>
      </c>
      <c r="HK35" s="144"/>
      <c r="HL35" s="145"/>
      <c r="HM35" s="145"/>
      <c r="HN35" s="145"/>
      <c r="HO35" s="136">
        <f t="shared" si="91"/>
        <v>0</v>
      </c>
      <c r="HP35" s="144"/>
      <c r="HQ35" s="136">
        <f t="shared" si="92"/>
        <v>0</v>
      </c>
      <c r="HR35" s="136" t="str">
        <f t="shared" si="93"/>
        <v/>
      </c>
      <c r="HS35" s="136" t="str">
        <f t="shared" si="94"/>
        <v/>
      </c>
      <c r="HT35" s="136" t="str">
        <f t="shared" si="95"/>
        <v/>
      </c>
      <c r="HU35">
        <v>32</v>
      </c>
      <c r="HV35" s="108" t="str">
        <f>Data!B33</f>
        <v>AHMED FATIMA JIME</v>
      </c>
      <c r="HW35" s="109"/>
      <c r="HX35" s="109"/>
      <c r="HY35" s="109"/>
      <c r="HZ35" s="109"/>
      <c r="IA35" s="117">
        <f t="shared" si="96"/>
        <v>0</v>
      </c>
      <c r="IB35" s="117"/>
      <c r="IC35" s="117">
        <f t="shared" si="97"/>
        <v>0</v>
      </c>
      <c r="ID35" s="117" t="str">
        <f t="shared" si="98"/>
        <v/>
      </c>
      <c r="IE35" s="117" t="str">
        <f t="shared" si="99"/>
        <v/>
      </c>
      <c r="IF35" s="117" t="str">
        <f t="shared" si="100"/>
        <v/>
      </c>
      <c r="IG35">
        <v>32</v>
      </c>
      <c r="IH35" s="108" t="str">
        <f>Data!B33</f>
        <v>AHMED FATIMA JIME</v>
      </c>
      <c r="II35" s="109"/>
      <c r="IJ35" s="109"/>
      <c r="IK35" s="109"/>
      <c r="IL35" s="109"/>
      <c r="IM35" s="137">
        <f t="shared" si="101"/>
        <v>0</v>
      </c>
      <c r="IN35" s="137"/>
      <c r="IO35" s="137">
        <f t="shared" si="102"/>
        <v>0</v>
      </c>
      <c r="IP35" s="137" t="str">
        <f t="shared" si="103"/>
        <v/>
      </c>
      <c r="IQ35" s="137" t="str">
        <f t="shared" si="104"/>
        <v/>
      </c>
      <c r="IR35" s="137" t="str">
        <f t="shared" si="105"/>
        <v/>
      </c>
      <c r="IS35">
        <v>32</v>
      </c>
      <c r="IT35" s="108" t="str">
        <f t="shared" si="106"/>
        <v>AHMED FATIMA JIME</v>
      </c>
      <c r="IU35" s="110">
        <v>7</v>
      </c>
      <c r="IV35" s="110">
        <v>4</v>
      </c>
      <c r="IW35" s="110">
        <v>10</v>
      </c>
      <c r="IX35" s="110">
        <v>10</v>
      </c>
      <c r="IY35" s="111">
        <f t="shared" si="107"/>
        <v>31</v>
      </c>
      <c r="IZ35" s="113">
        <v>42</v>
      </c>
      <c r="JA35" s="131">
        <f t="shared" si="108"/>
        <v>73</v>
      </c>
      <c r="JB35" s="131">
        <f t="shared" si="109"/>
        <v>3</v>
      </c>
      <c r="JC35" s="131" t="str">
        <f t="shared" si="110"/>
        <v>B2</v>
      </c>
      <c r="JD35" s="131" t="str">
        <f t="shared" si="111"/>
        <v>V.Good</v>
      </c>
      <c r="JE35">
        <v>32</v>
      </c>
      <c r="JF35" s="108" t="str">
        <f t="shared" si="112"/>
        <v>AHMED FATIMA JIME</v>
      </c>
      <c r="JG35" s="147"/>
      <c r="JH35" s="147"/>
      <c r="JI35" s="147"/>
      <c r="JJ35" s="147"/>
      <c r="JK35" s="113">
        <f t="shared" si="113"/>
        <v>0</v>
      </c>
      <c r="JL35" s="147"/>
      <c r="JM35" s="113">
        <f t="shared" si="114"/>
        <v>0</v>
      </c>
      <c r="JN35" s="113" t="str">
        <f t="shared" si="115"/>
        <v/>
      </c>
      <c r="JO35" s="113" t="str">
        <f t="shared" si="116"/>
        <v/>
      </c>
      <c r="JP35" s="113" t="str">
        <f t="shared" si="117"/>
        <v/>
      </c>
      <c r="JQ35">
        <v>32</v>
      </c>
      <c r="JR35" s="108" t="str">
        <f t="shared" si="118"/>
        <v>AHMED FATIMA JIME</v>
      </c>
      <c r="JS35" s="140"/>
      <c r="JT35" s="140"/>
      <c r="JU35" s="140"/>
      <c r="JV35" s="140"/>
      <c r="JW35" s="111">
        <f t="shared" si="119"/>
        <v>0</v>
      </c>
      <c r="JX35" s="141"/>
      <c r="JY35" s="111">
        <f t="shared" si="0"/>
        <v>0</v>
      </c>
      <c r="JZ35" s="111" t="str">
        <f t="shared" si="120"/>
        <v/>
      </c>
      <c r="KA35" s="111" t="str">
        <f t="shared" si="121"/>
        <v/>
      </c>
      <c r="KB35" s="111" t="str">
        <f t="shared" si="122"/>
        <v/>
      </c>
      <c r="KD35" s="47"/>
      <c r="KE35" s="47"/>
      <c r="KF35" s="47"/>
      <c r="KG35" s="47"/>
      <c r="KH35" s="47"/>
      <c r="KI35" s="47"/>
      <c r="KJ35" s="47"/>
      <c r="KK35" s="47"/>
      <c r="KM35" s="47"/>
      <c r="KN35" s="47"/>
      <c r="KO35" s="47"/>
      <c r="KP35" s="47"/>
      <c r="KQ35" s="47"/>
      <c r="KR35" s="47"/>
      <c r="KS35" s="47"/>
      <c r="KT35" s="47"/>
      <c r="KU35" s="47"/>
      <c r="KV35" s="47"/>
    </row>
    <row r="36" spans="1:308" ht="23.25">
      <c r="A36" s="211">
        <v>33</v>
      </c>
      <c r="B36" s="108" t="str">
        <f>Data!B34</f>
        <v>ADAMU HASAT ISAH</v>
      </c>
      <c r="C36" s="109"/>
      <c r="D36" s="109"/>
      <c r="E36" s="109"/>
      <c r="F36" s="109"/>
      <c r="G36" s="111">
        <f t="shared" si="123"/>
        <v>0</v>
      </c>
      <c r="H36" s="111"/>
      <c r="I36" s="111">
        <f t="shared" si="2"/>
        <v>0</v>
      </c>
      <c r="J36" s="110" t="str">
        <f t="shared" si="3"/>
        <v/>
      </c>
      <c r="K36" s="110" t="str">
        <f t="shared" si="4"/>
        <v/>
      </c>
      <c r="L36" s="110" t="str">
        <f t="shared" si="5"/>
        <v/>
      </c>
      <c r="M36" s="48">
        <v>33</v>
      </c>
      <c r="N36" s="108" t="str">
        <f>Data!B34</f>
        <v>ADAMU HASAT ISAH</v>
      </c>
      <c r="O36" s="109"/>
      <c r="P36" s="109"/>
      <c r="Q36" s="109"/>
      <c r="R36" s="109"/>
      <c r="S36" s="111">
        <f t="shared" si="6"/>
        <v>0</v>
      </c>
      <c r="T36" s="111"/>
      <c r="U36" s="111">
        <f t="shared" si="7"/>
        <v>0</v>
      </c>
      <c r="V36" s="111" t="str">
        <f t="shared" si="8"/>
        <v/>
      </c>
      <c r="W36" s="111" t="str">
        <f t="shared" si="9"/>
        <v/>
      </c>
      <c r="X36" s="111" t="str">
        <f t="shared" si="10"/>
        <v/>
      </c>
      <c r="Y36" s="42">
        <v>33</v>
      </c>
      <c r="Z36" s="108" t="str">
        <f>Data!B34</f>
        <v>ADAMU HASAT ISAH</v>
      </c>
      <c r="AA36" s="109"/>
      <c r="AB36" s="109"/>
      <c r="AC36" s="109"/>
      <c r="AD36" s="109"/>
      <c r="AE36" s="111">
        <f t="shared" si="124"/>
        <v>0</v>
      </c>
      <c r="AF36" s="112">
        <v>42</v>
      </c>
      <c r="AG36" s="113">
        <f t="shared" si="12"/>
        <v>42</v>
      </c>
      <c r="AH36" s="113">
        <f t="shared" si="13"/>
        <v>40</v>
      </c>
      <c r="AI36" s="113" t="str">
        <f t="shared" si="14"/>
        <v>E8</v>
      </c>
      <c r="AJ36" s="113" t="str">
        <f t="shared" si="15"/>
        <v>Pass</v>
      </c>
      <c r="AK36" s="42">
        <v>33</v>
      </c>
      <c r="AL36" s="108" t="str">
        <f>Data!B34</f>
        <v>ADAMU HASAT ISAH</v>
      </c>
      <c r="AM36" s="114"/>
      <c r="AN36" s="114"/>
      <c r="AO36" s="114"/>
      <c r="AP36" s="114"/>
      <c r="AQ36" s="115">
        <f t="shared" si="16"/>
        <v>0</v>
      </c>
      <c r="AR36" s="114"/>
      <c r="AS36" s="115">
        <f t="shared" si="17"/>
        <v>0</v>
      </c>
      <c r="AT36" s="115" t="str">
        <f t="shared" si="18"/>
        <v/>
      </c>
      <c r="AU36" s="115" t="str">
        <f t="shared" si="19"/>
        <v/>
      </c>
      <c r="AV36" s="115" t="str">
        <f t="shared" si="20"/>
        <v/>
      </c>
      <c r="AW36" s="42">
        <v>33</v>
      </c>
      <c r="AX36" s="108" t="str">
        <f>Data!B34</f>
        <v>ADAMU HASAT ISAH</v>
      </c>
      <c r="AY36" s="116"/>
      <c r="AZ36" s="116"/>
      <c r="BA36" s="116"/>
      <c r="BB36" s="116"/>
      <c r="BC36" s="117">
        <f t="shared" si="21"/>
        <v>0</v>
      </c>
      <c r="BD36" s="116"/>
      <c r="BE36" s="117">
        <f t="shared" si="22"/>
        <v>0</v>
      </c>
      <c r="BF36" s="117" t="str">
        <f t="shared" si="23"/>
        <v/>
      </c>
      <c r="BG36" s="117" t="str">
        <f t="shared" si="24"/>
        <v/>
      </c>
      <c r="BH36" s="117" t="str">
        <f t="shared" si="25"/>
        <v/>
      </c>
      <c r="BI36" s="67">
        <v>33</v>
      </c>
      <c r="BJ36" s="108" t="str">
        <f>Data!B34</f>
        <v>ADAMU HASAT ISAH</v>
      </c>
      <c r="BK36" s="110"/>
      <c r="BL36" s="110"/>
      <c r="BM36" s="110"/>
      <c r="BN36" s="110"/>
      <c r="BO36" s="111">
        <f t="shared" si="26"/>
        <v>0</v>
      </c>
      <c r="BP36" s="113">
        <v>42</v>
      </c>
      <c r="BQ36" s="119">
        <f t="shared" si="27"/>
        <v>42</v>
      </c>
      <c r="BR36" s="119">
        <f t="shared" si="28"/>
        <v>28</v>
      </c>
      <c r="BS36" s="119" t="str">
        <f t="shared" si="29"/>
        <v>E8</v>
      </c>
      <c r="BT36" s="119" t="str">
        <f t="shared" si="30"/>
        <v>Pass</v>
      </c>
      <c r="BU36">
        <v>33</v>
      </c>
      <c r="BV36" s="108" t="str">
        <f>Data!B34</f>
        <v>ADAMU HASAT ISAH</v>
      </c>
      <c r="BW36" s="120">
        <v>10</v>
      </c>
      <c r="BX36" s="120">
        <v>8</v>
      </c>
      <c r="BY36" s="120">
        <v>10</v>
      </c>
      <c r="BZ36" s="120">
        <v>9</v>
      </c>
      <c r="CA36" s="121">
        <f t="shared" si="31"/>
        <v>37</v>
      </c>
      <c r="CB36" s="120">
        <v>42</v>
      </c>
      <c r="CC36" s="121">
        <f t="shared" si="32"/>
        <v>79</v>
      </c>
      <c r="CD36" s="121">
        <f t="shared" si="33"/>
        <v>6</v>
      </c>
      <c r="CE36" s="121" t="str">
        <f t="shared" si="34"/>
        <v>A1</v>
      </c>
      <c r="CF36" s="121" t="str">
        <f t="shared" si="35"/>
        <v>Excellent</v>
      </c>
      <c r="CG36">
        <v>33</v>
      </c>
      <c r="CH36" s="108" t="str">
        <f>Data!B34</f>
        <v>ADAMU HASAT ISAH</v>
      </c>
      <c r="CI36" s="109"/>
      <c r="CJ36" s="109"/>
      <c r="CK36" s="109"/>
      <c r="CL36" s="109"/>
      <c r="CM36" s="122">
        <f t="shared" si="36"/>
        <v>0</v>
      </c>
      <c r="CN36" s="122"/>
      <c r="CO36" s="122">
        <f t="shared" si="37"/>
        <v>0</v>
      </c>
      <c r="CP36" s="122" t="str">
        <f t="shared" si="38"/>
        <v/>
      </c>
      <c r="CQ36" s="122" t="str">
        <f t="shared" si="39"/>
        <v/>
      </c>
      <c r="CR36" s="122" t="str">
        <f t="shared" si="40"/>
        <v/>
      </c>
      <c r="CS36">
        <v>33</v>
      </c>
      <c r="CT36" s="108" t="str">
        <f>Data!B34</f>
        <v>ADAMU HASAT ISAH</v>
      </c>
      <c r="CU36" s="43"/>
      <c r="CV36" s="43"/>
      <c r="CW36" s="43"/>
      <c r="CX36" s="43"/>
      <c r="CY36" s="123">
        <f t="shared" si="41"/>
        <v>0</v>
      </c>
      <c r="CZ36" s="43"/>
      <c r="DA36" s="123">
        <f t="shared" si="42"/>
        <v>0</v>
      </c>
      <c r="DB36" s="123" t="str">
        <f t="shared" si="43"/>
        <v/>
      </c>
      <c r="DC36" s="123" t="str">
        <f t="shared" si="44"/>
        <v/>
      </c>
      <c r="DD36" s="123" t="str">
        <f t="shared" si="45"/>
        <v/>
      </c>
      <c r="DE36">
        <v>33</v>
      </c>
      <c r="DF36" s="108" t="str">
        <f>Data!B34</f>
        <v>ADAMU HASAT ISAH</v>
      </c>
      <c r="DG36" s="109"/>
      <c r="DH36" s="109"/>
      <c r="DI36" s="109"/>
      <c r="DJ36" s="109"/>
      <c r="DK36" s="117">
        <f t="shared" si="46"/>
        <v>0</v>
      </c>
      <c r="DL36" s="116"/>
      <c r="DM36" s="117">
        <f t="shared" si="47"/>
        <v>0</v>
      </c>
      <c r="DN36" s="117" t="str">
        <f t="shared" si="48"/>
        <v/>
      </c>
      <c r="DO36" s="117" t="str">
        <f t="shared" si="49"/>
        <v/>
      </c>
      <c r="DP36" s="117" t="str">
        <f t="shared" si="50"/>
        <v/>
      </c>
      <c r="DQ36">
        <v>33</v>
      </c>
      <c r="DR36" s="108" t="str">
        <f>Data!B34</f>
        <v>ADAMU HASAT ISAH</v>
      </c>
      <c r="DS36" s="124"/>
      <c r="DT36" s="124"/>
      <c r="DU36" s="124"/>
      <c r="DV36" s="124"/>
      <c r="DW36" s="125">
        <f t="shared" si="51"/>
        <v>0</v>
      </c>
      <c r="DX36" s="126"/>
      <c r="DY36" s="125">
        <f t="shared" si="52"/>
        <v>0</v>
      </c>
      <c r="DZ36" s="125" t="str">
        <f t="shared" si="53"/>
        <v/>
      </c>
      <c r="EA36" s="125" t="str">
        <f t="shared" si="54"/>
        <v/>
      </c>
      <c r="EB36" s="125" t="str">
        <f t="shared" si="55"/>
        <v/>
      </c>
      <c r="EC36">
        <v>33</v>
      </c>
      <c r="ED36" s="108" t="str">
        <f>Data!B34</f>
        <v>ADAMU HASAT ISAH</v>
      </c>
      <c r="EE36" s="109"/>
      <c r="EF36" s="109"/>
      <c r="EG36" s="109"/>
      <c r="EH36" s="109"/>
      <c r="EI36" s="127">
        <f t="shared" si="56"/>
        <v>0</v>
      </c>
      <c r="EJ36" s="127"/>
      <c r="EK36" s="127">
        <f t="shared" si="57"/>
        <v>0</v>
      </c>
      <c r="EL36" s="127" t="str">
        <f t="shared" si="58"/>
        <v/>
      </c>
      <c r="EM36" s="127" t="str">
        <f t="shared" si="59"/>
        <v/>
      </c>
      <c r="EN36" s="127" t="str">
        <f t="shared" si="60"/>
        <v/>
      </c>
      <c r="EO36">
        <v>33</v>
      </c>
      <c r="EP36" s="128" t="str">
        <f>Data!B34</f>
        <v>ADAMU HASAT ISAH</v>
      </c>
      <c r="EQ36" s="109"/>
      <c r="ER36" s="109"/>
      <c r="ES36" s="109"/>
      <c r="ET36" s="109"/>
      <c r="EU36" s="123">
        <f t="shared" si="61"/>
        <v>0</v>
      </c>
      <c r="EV36" s="123"/>
      <c r="EW36" s="123">
        <f t="shared" si="62"/>
        <v>0</v>
      </c>
      <c r="EX36" s="123" t="str">
        <f t="shared" si="63"/>
        <v/>
      </c>
      <c r="EY36" s="123" t="str">
        <f t="shared" si="64"/>
        <v/>
      </c>
      <c r="EZ36" s="123" t="str">
        <f t="shared" si="65"/>
        <v/>
      </c>
      <c r="FA36">
        <v>33</v>
      </c>
      <c r="FB36" s="108" t="str">
        <f>Data!B34</f>
        <v>ADAMU HASAT ISAH</v>
      </c>
      <c r="FC36" s="109"/>
      <c r="FD36" s="109"/>
      <c r="FE36" s="109"/>
      <c r="FF36" s="109"/>
      <c r="FG36" s="129">
        <f t="shared" si="66"/>
        <v>0</v>
      </c>
      <c r="FH36" s="129"/>
      <c r="FI36" s="129">
        <f t="shared" si="67"/>
        <v>0</v>
      </c>
      <c r="FJ36" s="129" t="str">
        <f t="shared" si="68"/>
        <v/>
      </c>
      <c r="FK36" s="129" t="str">
        <f t="shared" si="69"/>
        <v/>
      </c>
      <c r="FL36" s="129" t="str">
        <f t="shared" si="70"/>
        <v/>
      </c>
      <c r="FM36">
        <v>33</v>
      </c>
      <c r="FN36" s="108" t="str">
        <f>Data!B34</f>
        <v>ADAMU HASAT ISAH</v>
      </c>
      <c r="FO36" s="109"/>
      <c r="FP36" s="109"/>
      <c r="FQ36" s="109"/>
      <c r="FR36" s="109"/>
      <c r="FS36" s="130">
        <f t="shared" si="71"/>
        <v>0</v>
      </c>
      <c r="FT36" s="130"/>
      <c r="FU36" s="130">
        <f t="shared" si="72"/>
        <v>0</v>
      </c>
      <c r="FV36" s="130" t="str">
        <f t="shared" si="73"/>
        <v/>
      </c>
      <c r="FW36" s="130" t="str">
        <f t="shared" si="74"/>
        <v/>
      </c>
      <c r="FX36" s="130" t="str">
        <f t="shared" si="75"/>
        <v/>
      </c>
      <c r="FY36">
        <v>33</v>
      </c>
      <c r="FZ36" s="108" t="str">
        <f>Data!B34</f>
        <v>ADAMU HASAT ISAH</v>
      </c>
      <c r="GA36" s="109">
        <v>8</v>
      </c>
      <c r="GB36" s="109">
        <v>10</v>
      </c>
      <c r="GC36" s="109">
        <v>9</v>
      </c>
      <c r="GD36" s="109">
        <v>9</v>
      </c>
      <c r="GE36" s="131">
        <f t="shared" si="76"/>
        <v>36</v>
      </c>
      <c r="GF36" s="131">
        <v>40</v>
      </c>
      <c r="GG36" s="131">
        <f t="shared" si="77"/>
        <v>76</v>
      </c>
      <c r="GH36" s="131">
        <f t="shared" si="78"/>
        <v>2</v>
      </c>
      <c r="GI36" s="131" t="str">
        <f t="shared" si="79"/>
        <v>A</v>
      </c>
      <c r="GJ36" s="131" t="str">
        <f t="shared" si="80"/>
        <v>Excellent</v>
      </c>
      <c r="GK36">
        <v>33</v>
      </c>
      <c r="GL36" s="108" t="str">
        <f>Data!B34</f>
        <v>ADAMU HASAT ISAH</v>
      </c>
      <c r="GM36" s="132"/>
      <c r="GN36" s="132"/>
      <c r="GO36" s="132"/>
      <c r="GP36" s="132"/>
      <c r="GQ36" s="133">
        <f t="shared" si="81"/>
        <v>0</v>
      </c>
      <c r="GR36" s="132"/>
      <c r="GS36" s="133">
        <f t="shared" si="82"/>
        <v>0</v>
      </c>
      <c r="GT36" s="133" t="str">
        <f t="shared" si="83"/>
        <v/>
      </c>
      <c r="GU36" s="133" t="str">
        <f t="shared" si="84"/>
        <v/>
      </c>
      <c r="GV36" s="133" t="str">
        <f t="shared" si="85"/>
        <v/>
      </c>
      <c r="GW36">
        <v>33</v>
      </c>
      <c r="GX36" s="108" t="str">
        <f>Data!B34</f>
        <v>ADAMU HASAT ISAH</v>
      </c>
      <c r="GY36" s="109"/>
      <c r="GZ36" s="109"/>
      <c r="HA36" s="109"/>
      <c r="HB36" s="109"/>
      <c r="HC36" s="119">
        <f t="shared" si="86"/>
        <v>0</v>
      </c>
      <c r="HD36" s="119"/>
      <c r="HE36" s="119">
        <f t="shared" si="87"/>
        <v>0</v>
      </c>
      <c r="HF36" s="119" t="str">
        <f t="shared" si="88"/>
        <v/>
      </c>
      <c r="HG36" s="119" t="str">
        <f t="shared" si="89"/>
        <v/>
      </c>
      <c r="HH36" s="119" t="str">
        <f t="shared" si="90"/>
        <v/>
      </c>
      <c r="HI36">
        <v>33</v>
      </c>
      <c r="HJ36" s="108" t="str">
        <f>Data!B34</f>
        <v>ADAMU HASAT ISAH</v>
      </c>
      <c r="HK36" s="144"/>
      <c r="HL36" s="145"/>
      <c r="HM36" s="145"/>
      <c r="HN36" s="145"/>
      <c r="HO36" s="136">
        <f t="shared" si="91"/>
        <v>0</v>
      </c>
      <c r="HP36" s="144"/>
      <c r="HQ36" s="136">
        <f t="shared" si="92"/>
        <v>0</v>
      </c>
      <c r="HR36" s="136" t="str">
        <f t="shared" si="93"/>
        <v/>
      </c>
      <c r="HS36" s="136" t="str">
        <f t="shared" si="94"/>
        <v/>
      </c>
      <c r="HT36" s="136" t="str">
        <f t="shared" si="95"/>
        <v/>
      </c>
      <c r="HU36">
        <v>33</v>
      </c>
      <c r="HV36" s="108" t="str">
        <f>Data!B34</f>
        <v>ADAMU HASAT ISAH</v>
      </c>
      <c r="HW36" s="109"/>
      <c r="HX36" s="109"/>
      <c r="HY36" s="109"/>
      <c r="HZ36" s="109"/>
      <c r="IA36" s="117">
        <f t="shared" si="96"/>
        <v>0</v>
      </c>
      <c r="IB36" s="117"/>
      <c r="IC36" s="117">
        <f t="shared" si="97"/>
        <v>0</v>
      </c>
      <c r="ID36" s="117" t="str">
        <f t="shared" si="98"/>
        <v/>
      </c>
      <c r="IE36" s="117" t="str">
        <f t="shared" si="99"/>
        <v/>
      </c>
      <c r="IF36" s="117" t="str">
        <f t="shared" si="100"/>
        <v/>
      </c>
      <c r="IG36">
        <v>33</v>
      </c>
      <c r="IH36" s="108" t="str">
        <f>Data!B34</f>
        <v>ADAMU HASAT ISAH</v>
      </c>
      <c r="II36" s="109"/>
      <c r="IJ36" s="109"/>
      <c r="IK36" s="109"/>
      <c r="IL36" s="109"/>
      <c r="IM36" s="137">
        <f t="shared" si="101"/>
        <v>0</v>
      </c>
      <c r="IN36" s="137"/>
      <c r="IO36" s="137">
        <f t="shared" si="102"/>
        <v>0</v>
      </c>
      <c r="IP36" s="137" t="str">
        <f t="shared" si="103"/>
        <v/>
      </c>
      <c r="IQ36" s="137" t="str">
        <f t="shared" si="104"/>
        <v/>
      </c>
      <c r="IR36" s="137" t="str">
        <f t="shared" si="105"/>
        <v/>
      </c>
      <c r="IS36">
        <v>33</v>
      </c>
      <c r="IT36" s="108" t="str">
        <f t="shared" si="106"/>
        <v>ADAMU HASAT ISAH</v>
      </c>
      <c r="IU36" s="110"/>
      <c r="IV36" s="110"/>
      <c r="IW36" s="110"/>
      <c r="IX36" s="110"/>
      <c r="IY36" s="111">
        <f t="shared" si="107"/>
        <v>0</v>
      </c>
      <c r="IZ36" s="113">
        <v>42</v>
      </c>
      <c r="JA36" s="131">
        <f t="shared" si="108"/>
        <v>42</v>
      </c>
      <c r="JB36" s="131">
        <f t="shared" si="109"/>
        <v>28</v>
      </c>
      <c r="JC36" s="131" t="str">
        <f t="shared" si="110"/>
        <v>E</v>
      </c>
      <c r="JD36" s="131" t="str">
        <f t="shared" si="111"/>
        <v>Pass</v>
      </c>
      <c r="JE36">
        <v>33</v>
      </c>
      <c r="JF36" s="108" t="str">
        <f t="shared" si="112"/>
        <v>ADAMU HASAT ISAH</v>
      </c>
      <c r="JG36" s="147"/>
      <c r="JH36" s="147"/>
      <c r="JI36" s="147"/>
      <c r="JJ36" s="147"/>
      <c r="JK36" s="113">
        <f t="shared" si="113"/>
        <v>0</v>
      </c>
      <c r="JL36" s="147"/>
      <c r="JM36" s="113">
        <f t="shared" si="114"/>
        <v>0</v>
      </c>
      <c r="JN36" s="113" t="str">
        <f t="shared" si="115"/>
        <v/>
      </c>
      <c r="JO36" s="113" t="str">
        <f t="shared" si="116"/>
        <v/>
      </c>
      <c r="JP36" s="113" t="str">
        <f t="shared" si="117"/>
        <v/>
      </c>
      <c r="JQ36">
        <v>33</v>
      </c>
      <c r="JR36" s="108" t="str">
        <f t="shared" si="118"/>
        <v>ADAMU HASAT ISAH</v>
      </c>
      <c r="JS36" s="140"/>
      <c r="JT36" s="140"/>
      <c r="JU36" s="140"/>
      <c r="JV36" s="140"/>
      <c r="JW36" s="111">
        <f t="shared" si="119"/>
        <v>0</v>
      </c>
      <c r="JX36" s="141"/>
      <c r="JY36" s="111">
        <f t="shared" si="0"/>
        <v>0</v>
      </c>
      <c r="JZ36" s="111" t="str">
        <f t="shared" si="120"/>
        <v/>
      </c>
      <c r="KA36" s="111" t="str">
        <f t="shared" si="121"/>
        <v/>
      </c>
      <c r="KB36" s="111" t="str">
        <f t="shared" si="122"/>
        <v/>
      </c>
      <c r="KD36" s="47"/>
      <c r="KE36" s="47"/>
      <c r="KF36" s="47"/>
      <c r="KG36" s="47"/>
      <c r="KH36" s="47"/>
      <c r="KI36" s="47"/>
      <c r="KJ36" s="47"/>
      <c r="KK36" s="47"/>
      <c r="KM36" s="47"/>
      <c r="KN36" s="47"/>
      <c r="KO36" s="47"/>
      <c r="KP36" s="47"/>
      <c r="KQ36" s="47"/>
      <c r="KR36" s="47"/>
      <c r="KS36" s="47"/>
      <c r="KT36" s="47"/>
      <c r="KU36" s="47"/>
      <c r="KV36" s="47"/>
    </row>
    <row r="37" spans="1:308" ht="23.25">
      <c r="A37" s="211">
        <v>34</v>
      </c>
      <c r="B37" s="108" t="str">
        <f>Data!B35</f>
        <v>BABAGANA AISHA ARFO</v>
      </c>
      <c r="C37" s="109">
        <v>9</v>
      </c>
      <c r="D37" s="109">
        <v>3</v>
      </c>
      <c r="E37" s="109">
        <v>10</v>
      </c>
      <c r="F37" s="109">
        <v>5</v>
      </c>
      <c r="G37" s="111">
        <f t="shared" si="123"/>
        <v>27</v>
      </c>
      <c r="H37" s="111">
        <v>28</v>
      </c>
      <c r="I37" s="111">
        <f t="shared" si="2"/>
        <v>55</v>
      </c>
      <c r="J37" s="110">
        <f t="shared" si="3"/>
        <v>6</v>
      </c>
      <c r="K37" s="110" t="str">
        <f t="shared" si="4"/>
        <v>C5</v>
      </c>
      <c r="L37" s="110" t="str">
        <f t="shared" si="5"/>
        <v>Credit</v>
      </c>
      <c r="M37" s="48">
        <v>34</v>
      </c>
      <c r="N37" s="108" t="str">
        <f>Data!B35</f>
        <v>BABAGANA AISHA ARFO</v>
      </c>
      <c r="O37" s="109">
        <v>9</v>
      </c>
      <c r="P37" s="109">
        <v>3</v>
      </c>
      <c r="Q37" s="109">
        <v>10</v>
      </c>
      <c r="R37" s="109">
        <v>5</v>
      </c>
      <c r="S37" s="111">
        <f t="shared" si="6"/>
        <v>27</v>
      </c>
      <c r="T37" s="111">
        <v>28</v>
      </c>
      <c r="U37" s="111">
        <f t="shared" si="7"/>
        <v>55</v>
      </c>
      <c r="V37" s="111">
        <f t="shared" si="8"/>
        <v>5</v>
      </c>
      <c r="W37" s="111" t="str">
        <f t="shared" si="9"/>
        <v>C5</v>
      </c>
      <c r="X37" s="111" t="str">
        <f t="shared" si="10"/>
        <v>Credit</v>
      </c>
      <c r="Y37" s="42">
        <v>34</v>
      </c>
      <c r="Z37" s="108" t="str">
        <f>Data!B35</f>
        <v>BABAGANA AISHA ARFO</v>
      </c>
      <c r="AA37" s="109">
        <v>9</v>
      </c>
      <c r="AB37" s="109">
        <v>3</v>
      </c>
      <c r="AC37" s="109">
        <v>10</v>
      </c>
      <c r="AD37" s="109">
        <v>5</v>
      </c>
      <c r="AE37" s="111">
        <f t="shared" si="124"/>
        <v>27</v>
      </c>
      <c r="AF37" s="112">
        <v>42</v>
      </c>
      <c r="AG37" s="113">
        <f t="shared" si="12"/>
        <v>69</v>
      </c>
      <c r="AH37" s="113">
        <f t="shared" si="13"/>
        <v>7</v>
      </c>
      <c r="AI37" s="113" t="str">
        <f t="shared" si="14"/>
        <v>B3</v>
      </c>
      <c r="AJ37" s="113" t="str">
        <f t="shared" si="15"/>
        <v>Good</v>
      </c>
      <c r="AK37" s="42">
        <v>34</v>
      </c>
      <c r="AL37" s="108" t="str">
        <f>Data!B35</f>
        <v>BABAGANA AISHA ARFO</v>
      </c>
      <c r="AM37" s="114"/>
      <c r="AN37" s="114"/>
      <c r="AO37" s="114"/>
      <c r="AP37" s="114"/>
      <c r="AQ37" s="115">
        <f t="shared" si="16"/>
        <v>0</v>
      </c>
      <c r="AR37" s="114"/>
      <c r="AS37" s="115">
        <f t="shared" si="17"/>
        <v>0</v>
      </c>
      <c r="AT37" s="115" t="str">
        <f t="shared" si="18"/>
        <v/>
      </c>
      <c r="AU37" s="115" t="str">
        <f t="shared" si="19"/>
        <v/>
      </c>
      <c r="AV37" s="115" t="str">
        <f t="shared" si="20"/>
        <v/>
      </c>
      <c r="AW37" s="42">
        <v>34</v>
      </c>
      <c r="AX37" s="108" t="str">
        <f>Data!B35</f>
        <v>BABAGANA AISHA ARFO</v>
      </c>
      <c r="AY37" s="116"/>
      <c r="AZ37" s="116"/>
      <c r="BA37" s="116"/>
      <c r="BB37" s="116"/>
      <c r="BC37" s="117">
        <f t="shared" si="21"/>
        <v>0</v>
      </c>
      <c r="BD37" s="116"/>
      <c r="BE37" s="117">
        <f t="shared" si="22"/>
        <v>0</v>
      </c>
      <c r="BF37" s="117" t="str">
        <f t="shared" si="23"/>
        <v/>
      </c>
      <c r="BG37" s="117" t="str">
        <f t="shared" si="24"/>
        <v/>
      </c>
      <c r="BH37" s="117" t="str">
        <f t="shared" si="25"/>
        <v/>
      </c>
      <c r="BI37" s="67">
        <v>34</v>
      </c>
      <c r="BJ37" s="108" t="str">
        <f>Data!B35</f>
        <v>BABAGANA AISHA ARFO</v>
      </c>
      <c r="BK37" s="110">
        <v>9</v>
      </c>
      <c r="BL37" s="110">
        <v>3</v>
      </c>
      <c r="BM37" s="110">
        <v>10</v>
      </c>
      <c r="BN37" s="110">
        <v>5</v>
      </c>
      <c r="BO37" s="111">
        <f t="shared" si="26"/>
        <v>27</v>
      </c>
      <c r="BP37" s="113">
        <v>42</v>
      </c>
      <c r="BQ37" s="119">
        <f t="shared" si="27"/>
        <v>69</v>
      </c>
      <c r="BR37" s="119">
        <f t="shared" si="28"/>
        <v>6</v>
      </c>
      <c r="BS37" s="119" t="str">
        <f t="shared" si="29"/>
        <v>B3</v>
      </c>
      <c r="BT37" s="119" t="str">
        <f t="shared" si="30"/>
        <v>Good</v>
      </c>
      <c r="BU37">
        <v>34</v>
      </c>
      <c r="BV37" s="108" t="str">
        <f>Data!B35</f>
        <v>BABAGANA AISHA ARFO</v>
      </c>
      <c r="BW37" s="120">
        <v>8</v>
      </c>
      <c r="BX37" s="120">
        <v>7</v>
      </c>
      <c r="BY37" s="120">
        <v>9</v>
      </c>
      <c r="BZ37" s="120">
        <v>7</v>
      </c>
      <c r="CA37" s="121">
        <f t="shared" si="31"/>
        <v>31</v>
      </c>
      <c r="CB37" s="120">
        <v>31</v>
      </c>
      <c r="CC37" s="121">
        <f t="shared" si="32"/>
        <v>62</v>
      </c>
      <c r="CD37" s="121">
        <f t="shared" si="33"/>
        <v>12</v>
      </c>
      <c r="CE37" s="121" t="str">
        <f t="shared" si="34"/>
        <v>C4</v>
      </c>
      <c r="CF37" s="121" t="str">
        <f t="shared" si="35"/>
        <v>Credit</v>
      </c>
      <c r="CG37">
        <v>34</v>
      </c>
      <c r="CH37" s="108" t="str">
        <f>Data!B35</f>
        <v>BABAGANA AISHA ARFO</v>
      </c>
      <c r="CI37" s="109"/>
      <c r="CJ37" s="109"/>
      <c r="CK37" s="109"/>
      <c r="CL37" s="109"/>
      <c r="CM37" s="122">
        <f t="shared" si="36"/>
        <v>0</v>
      </c>
      <c r="CN37" s="122"/>
      <c r="CO37" s="122">
        <f t="shared" si="37"/>
        <v>0</v>
      </c>
      <c r="CP37" s="122" t="str">
        <f t="shared" si="38"/>
        <v/>
      </c>
      <c r="CQ37" s="122" t="str">
        <f t="shared" si="39"/>
        <v/>
      </c>
      <c r="CR37" s="122" t="str">
        <f t="shared" si="40"/>
        <v/>
      </c>
      <c r="CS37">
        <v>34</v>
      </c>
      <c r="CT37" s="108" t="str">
        <f>Data!B35</f>
        <v>BABAGANA AISHA ARFO</v>
      </c>
      <c r="CU37" s="43"/>
      <c r="CV37" s="43"/>
      <c r="CW37" s="43"/>
      <c r="CX37" s="43"/>
      <c r="CY37" s="123">
        <f t="shared" si="41"/>
        <v>0</v>
      </c>
      <c r="CZ37" s="43"/>
      <c r="DA37" s="123">
        <f t="shared" si="42"/>
        <v>0</v>
      </c>
      <c r="DB37" s="123" t="str">
        <f t="shared" si="43"/>
        <v/>
      </c>
      <c r="DC37" s="123" t="str">
        <f t="shared" si="44"/>
        <v/>
      </c>
      <c r="DD37" s="123" t="str">
        <f t="shared" si="45"/>
        <v/>
      </c>
      <c r="DE37">
        <v>34</v>
      </c>
      <c r="DF37" s="108" t="str">
        <f>Data!B35</f>
        <v>BABAGANA AISHA ARFO</v>
      </c>
      <c r="DG37" s="109"/>
      <c r="DH37" s="109"/>
      <c r="DI37" s="109"/>
      <c r="DJ37" s="109"/>
      <c r="DK37" s="117">
        <f t="shared" si="46"/>
        <v>0</v>
      </c>
      <c r="DL37" s="116"/>
      <c r="DM37" s="117">
        <f t="shared" si="47"/>
        <v>0</v>
      </c>
      <c r="DN37" s="117" t="str">
        <f t="shared" si="48"/>
        <v/>
      </c>
      <c r="DO37" s="117" t="str">
        <f t="shared" si="49"/>
        <v/>
      </c>
      <c r="DP37" s="117" t="str">
        <f t="shared" si="50"/>
        <v/>
      </c>
      <c r="DQ37">
        <v>34</v>
      </c>
      <c r="DR37" s="108" t="str">
        <f>Data!B35</f>
        <v>BABAGANA AISHA ARFO</v>
      </c>
      <c r="DS37" s="124"/>
      <c r="DT37" s="124"/>
      <c r="DU37" s="124"/>
      <c r="DV37" s="124"/>
      <c r="DW37" s="125">
        <f t="shared" si="51"/>
        <v>0</v>
      </c>
      <c r="DX37" s="126"/>
      <c r="DY37" s="125">
        <f t="shared" si="52"/>
        <v>0</v>
      </c>
      <c r="DZ37" s="125" t="str">
        <f t="shared" si="53"/>
        <v/>
      </c>
      <c r="EA37" s="125" t="str">
        <f t="shared" si="54"/>
        <v/>
      </c>
      <c r="EB37" s="125" t="str">
        <f t="shared" si="55"/>
        <v/>
      </c>
      <c r="EC37">
        <v>34</v>
      </c>
      <c r="ED37" s="108" t="str">
        <f>Data!B35</f>
        <v>BABAGANA AISHA ARFO</v>
      </c>
      <c r="EE37" s="109"/>
      <c r="EF37" s="109"/>
      <c r="EG37" s="109"/>
      <c r="EH37" s="109"/>
      <c r="EI37" s="127">
        <f t="shared" si="56"/>
        <v>0</v>
      </c>
      <c r="EJ37" s="127"/>
      <c r="EK37" s="127">
        <f t="shared" si="57"/>
        <v>0</v>
      </c>
      <c r="EL37" s="127" t="str">
        <f t="shared" si="58"/>
        <v/>
      </c>
      <c r="EM37" s="127" t="str">
        <f t="shared" si="59"/>
        <v/>
      </c>
      <c r="EN37" s="127" t="str">
        <f t="shared" si="60"/>
        <v/>
      </c>
      <c r="EO37">
        <v>34</v>
      </c>
      <c r="EP37" s="128" t="str">
        <f>Data!B35</f>
        <v>BABAGANA AISHA ARFO</v>
      </c>
      <c r="EQ37" s="109"/>
      <c r="ER37" s="109"/>
      <c r="ES37" s="109"/>
      <c r="ET37" s="109"/>
      <c r="EU37" s="123">
        <f t="shared" si="61"/>
        <v>0</v>
      </c>
      <c r="EV37" s="123"/>
      <c r="EW37" s="123">
        <f t="shared" si="62"/>
        <v>0</v>
      </c>
      <c r="EX37" s="123" t="str">
        <f t="shared" si="63"/>
        <v/>
      </c>
      <c r="EY37" s="123" t="str">
        <f t="shared" si="64"/>
        <v/>
      </c>
      <c r="EZ37" s="123" t="str">
        <f t="shared" si="65"/>
        <v/>
      </c>
      <c r="FA37">
        <v>34</v>
      </c>
      <c r="FB37" s="108" t="str">
        <f>Data!B35</f>
        <v>BABAGANA AISHA ARFO</v>
      </c>
      <c r="FC37" s="109"/>
      <c r="FD37" s="109"/>
      <c r="FE37" s="109"/>
      <c r="FF37" s="109"/>
      <c r="FG37" s="129">
        <f t="shared" si="66"/>
        <v>0</v>
      </c>
      <c r="FH37" s="129"/>
      <c r="FI37" s="129">
        <f t="shared" si="67"/>
        <v>0</v>
      </c>
      <c r="FJ37" s="129" t="str">
        <f t="shared" si="68"/>
        <v/>
      </c>
      <c r="FK37" s="129" t="str">
        <f t="shared" si="69"/>
        <v/>
      </c>
      <c r="FL37" s="129" t="str">
        <f t="shared" si="70"/>
        <v/>
      </c>
      <c r="FM37">
        <v>34</v>
      </c>
      <c r="FN37" s="108" t="str">
        <f>Data!B35</f>
        <v>BABAGANA AISHA ARFO</v>
      </c>
      <c r="FO37" s="109"/>
      <c r="FP37" s="109"/>
      <c r="FQ37" s="109"/>
      <c r="FR37" s="109"/>
      <c r="FS37" s="130">
        <f t="shared" si="71"/>
        <v>0</v>
      </c>
      <c r="FT37" s="130"/>
      <c r="FU37" s="130">
        <f t="shared" si="72"/>
        <v>0</v>
      </c>
      <c r="FV37" s="130" t="str">
        <f t="shared" si="73"/>
        <v/>
      </c>
      <c r="FW37" s="130" t="str">
        <f t="shared" si="74"/>
        <v/>
      </c>
      <c r="FX37" s="130" t="str">
        <f t="shared" si="75"/>
        <v/>
      </c>
      <c r="FY37">
        <v>34</v>
      </c>
      <c r="FZ37" s="108" t="str">
        <f>Data!B35</f>
        <v>BABAGANA AISHA ARFO</v>
      </c>
      <c r="GA37" s="109">
        <v>7</v>
      </c>
      <c r="GB37" s="109">
        <v>8</v>
      </c>
      <c r="GC37" s="109">
        <v>6</v>
      </c>
      <c r="GD37" s="109">
        <v>8</v>
      </c>
      <c r="GE37" s="131">
        <f t="shared" si="76"/>
        <v>29</v>
      </c>
      <c r="GF37" s="131">
        <v>27</v>
      </c>
      <c r="GG37" s="131">
        <f t="shared" si="77"/>
        <v>56</v>
      </c>
      <c r="GH37" s="131">
        <f t="shared" si="78"/>
        <v>19</v>
      </c>
      <c r="GI37" s="131" t="str">
        <f t="shared" si="79"/>
        <v>C</v>
      </c>
      <c r="GJ37" s="131" t="str">
        <f t="shared" si="80"/>
        <v>Credit</v>
      </c>
      <c r="GK37">
        <v>34</v>
      </c>
      <c r="GL37" s="108" t="str">
        <f>Data!B35</f>
        <v>BABAGANA AISHA ARFO</v>
      </c>
      <c r="GM37" s="132"/>
      <c r="GN37" s="132"/>
      <c r="GO37" s="132"/>
      <c r="GP37" s="132"/>
      <c r="GQ37" s="133">
        <f t="shared" si="81"/>
        <v>0</v>
      </c>
      <c r="GR37" s="132"/>
      <c r="GS37" s="133">
        <f t="shared" si="82"/>
        <v>0</v>
      </c>
      <c r="GT37" s="133" t="str">
        <f t="shared" si="83"/>
        <v/>
      </c>
      <c r="GU37" s="133" t="str">
        <f t="shared" si="84"/>
        <v/>
      </c>
      <c r="GV37" s="133" t="str">
        <f t="shared" si="85"/>
        <v/>
      </c>
      <c r="GW37">
        <v>34</v>
      </c>
      <c r="GX37" s="108" t="str">
        <f>Data!B35</f>
        <v>BABAGANA AISHA ARFO</v>
      </c>
      <c r="GY37" s="109"/>
      <c r="GZ37" s="109"/>
      <c r="HA37" s="109"/>
      <c r="HB37" s="109"/>
      <c r="HC37" s="119">
        <f t="shared" si="86"/>
        <v>0</v>
      </c>
      <c r="HD37" s="119"/>
      <c r="HE37" s="119">
        <f t="shared" si="87"/>
        <v>0</v>
      </c>
      <c r="HF37" s="119" t="str">
        <f t="shared" si="88"/>
        <v/>
      </c>
      <c r="HG37" s="119" t="str">
        <f t="shared" si="89"/>
        <v/>
      </c>
      <c r="HH37" s="119" t="str">
        <f t="shared" si="90"/>
        <v/>
      </c>
      <c r="HI37">
        <v>34</v>
      </c>
      <c r="HJ37" s="108" t="str">
        <f>Data!B35</f>
        <v>BABAGANA AISHA ARFO</v>
      </c>
      <c r="HK37" s="144">
        <v>2</v>
      </c>
      <c r="HL37" s="145">
        <v>8</v>
      </c>
      <c r="HM37" s="145">
        <v>8</v>
      </c>
      <c r="HN37" s="145">
        <v>10</v>
      </c>
      <c r="HO37" s="136">
        <f t="shared" si="91"/>
        <v>28</v>
      </c>
      <c r="HP37" s="144"/>
      <c r="HQ37" s="136">
        <f t="shared" si="92"/>
        <v>28</v>
      </c>
      <c r="HR37" s="136">
        <f t="shared" si="93"/>
        <v>4</v>
      </c>
      <c r="HS37" s="136" t="str">
        <f t="shared" si="94"/>
        <v>F</v>
      </c>
      <c r="HT37" s="136" t="str">
        <f t="shared" si="95"/>
        <v>Fail</v>
      </c>
      <c r="HU37">
        <v>34</v>
      </c>
      <c r="HV37" s="108" t="str">
        <f>Data!B35</f>
        <v>BABAGANA AISHA ARFO</v>
      </c>
      <c r="HW37" s="109"/>
      <c r="HX37" s="109"/>
      <c r="HY37" s="109"/>
      <c r="HZ37" s="109"/>
      <c r="IA37" s="117">
        <f t="shared" si="96"/>
        <v>0</v>
      </c>
      <c r="IB37" s="117"/>
      <c r="IC37" s="117">
        <f t="shared" si="97"/>
        <v>0</v>
      </c>
      <c r="ID37" s="117" t="str">
        <f t="shared" si="98"/>
        <v/>
      </c>
      <c r="IE37" s="117" t="str">
        <f t="shared" si="99"/>
        <v/>
      </c>
      <c r="IF37" s="117" t="str">
        <f t="shared" si="100"/>
        <v/>
      </c>
      <c r="IG37">
        <v>34</v>
      </c>
      <c r="IH37" s="108" t="str">
        <f>Data!B35</f>
        <v>BABAGANA AISHA ARFO</v>
      </c>
      <c r="II37" s="109"/>
      <c r="IJ37" s="109"/>
      <c r="IK37" s="109"/>
      <c r="IL37" s="109"/>
      <c r="IM37" s="137">
        <f t="shared" si="101"/>
        <v>0</v>
      </c>
      <c r="IN37" s="137"/>
      <c r="IO37" s="137">
        <f t="shared" si="102"/>
        <v>0</v>
      </c>
      <c r="IP37" s="137" t="str">
        <f t="shared" si="103"/>
        <v/>
      </c>
      <c r="IQ37" s="137" t="str">
        <f t="shared" si="104"/>
        <v/>
      </c>
      <c r="IR37" s="137" t="str">
        <f t="shared" si="105"/>
        <v/>
      </c>
      <c r="IS37">
        <v>34</v>
      </c>
      <c r="IT37" s="108" t="str">
        <f t="shared" si="106"/>
        <v>BABAGANA AISHA ARFO</v>
      </c>
      <c r="IU37" s="110">
        <v>9</v>
      </c>
      <c r="IV37" s="110">
        <v>3</v>
      </c>
      <c r="IW37" s="110">
        <v>10</v>
      </c>
      <c r="IX37" s="110">
        <v>5</v>
      </c>
      <c r="IY37" s="111">
        <f t="shared" si="107"/>
        <v>27</v>
      </c>
      <c r="IZ37" s="113">
        <v>42</v>
      </c>
      <c r="JA37" s="131">
        <f t="shared" si="108"/>
        <v>69</v>
      </c>
      <c r="JB37" s="131">
        <f t="shared" si="109"/>
        <v>6</v>
      </c>
      <c r="JC37" s="131" t="str">
        <f t="shared" si="110"/>
        <v>C</v>
      </c>
      <c r="JD37" s="131" t="str">
        <f t="shared" si="111"/>
        <v>Good</v>
      </c>
      <c r="JE37">
        <v>34</v>
      </c>
      <c r="JF37" s="108" t="str">
        <f t="shared" si="112"/>
        <v>BABAGANA AISHA ARFO</v>
      </c>
      <c r="JG37" s="147"/>
      <c r="JH37" s="147"/>
      <c r="JI37" s="147"/>
      <c r="JJ37" s="147"/>
      <c r="JK37" s="113">
        <f t="shared" si="113"/>
        <v>0</v>
      </c>
      <c r="JL37" s="147"/>
      <c r="JM37" s="113">
        <f t="shared" si="114"/>
        <v>0</v>
      </c>
      <c r="JN37" s="113" t="str">
        <f t="shared" si="115"/>
        <v/>
      </c>
      <c r="JO37" s="113" t="str">
        <f t="shared" si="116"/>
        <v/>
      </c>
      <c r="JP37" s="113" t="str">
        <f t="shared" si="117"/>
        <v/>
      </c>
      <c r="JQ37">
        <v>34</v>
      </c>
      <c r="JR37" s="108" t="str">
        <f t="shared" si="118"/>
        <v>BABAGANA AISHA ARFO</v>
      </c>
      <c r="JS37" s="140"/>
      <c r="JT37" s="140"/>
      <c r="JU37" s="140"/>
      <c r="JV37" s="140"/>
      <c r="JW37" s="111">
        <f t="shared" si="119"/>
        <v>0</v>
      </c>
      <c r="JX37" s="141"/>
      <c r="JY37" s="111">
        <f t="shared" si="0"/>
        <v>0</v>
      </c>
      <c r="JZ37" s="111" t="str">
        <f t="shared" si="120"/>
        <v/>
      </c>
      <c r="KA37" s="111" t="str">
        <f t="shared" si="121"/>
        <v/>
      </c>
      <c r="KB37" s="111" t="str">
        <f t="shared" si="122"/>
        <v/>
      </c>
      <c r="KD37" s="47"/>
      <c r="KE37" s="47"/>
      <c r="KF37" s="47"/>
      <c r="KG37" s="47"/>
      <c r="KH37" s="47"/>
      <c r="KI37" s="47"/>
      <c r="KJ37" s="47"/>
      <c r="KK37" s="47"/>
      <c r="KM37" s="47"/>
      <c r="KN37" s="47"/>
      <c r="KO37" s="47"/>
      <c r="KP37" s="47"/>
      <c r="KQ37" s="47"/>
      <c r="KR37" s="47"/>
      <c r="KS37" s="47"/>
      <c r="KT37" s="47"/>
      <c r="KU37" s="47"/>
      <c r="KV37" s="47"/>
    </row>
    <row r="38" spans="1:308" ht="23.25">
      <c r="A38" s="211">
        <v>35</v>
      </c>
      <c r="B38" s="108" t="str">
        <f>Data!B36</f>
        <v>BABA AMINA ZANNAH</v>
      </c>
      <c r="C38" s="109">
        <v>7</v>
      </c>
      <c r="D38" s="109">
        <v>1</v>
      </c>
      <c r="E38" s="109">
        <v>1</v>
      </c>
      <c r="F38" s="109">
        <v>1</v>
      </c>
      <c r="G38" s="111">
        <f t="shared" si="123"/>
        <v>10</v>
      </c>
      <c r="H38" s="111">
        <v>25</v>
      </c>
      <c r="I38" s="111">
        <f t="shared" si="2"/>
        <v>35</v>
      </c>
      <c r="J38" s="110">
        <f t="shared" si="3"/>
        <v>27</v>
      </c>
      <c r="K38" s="110" t="str">
        <f t="shared" si="4"/>
        <v>F</v>
      </c>
      <c r="L38" s="110" t="str">
        <f t="shared" si="5"/>
        <v>Fail</v>
      </c>
      <c r="M38" s="48">
        <v>35</v>
      </c>
      <c r="N38" s="108" t="str">
        <f>Data!B36</f>
        <v>BABA AMINA ZANNAH</v>
      </c>
      <c r="O38" s="109">
        <v>7</v>
      </c>
      <c r="P38" s="109">
        <v>1</v>
      </c>
      <c r="Q38" s="109">
        <v>1</v>
      </c>
      <c r="R38" s="109">
        <v>1</v>
      </c>
      <c r="S38" s="111">
        <f t="shared" si="6"/>
        <v>10</v>
      </c>
      <c r="T38" s="111">
        <v>25</v>
      </c>
      <c r="U38" s="111">
        <f t="shared" si="7"/>
        <v>35</v>
      </c>
      <c r="V38" s="111">
        <f t="shared" si="8"/>
        <v>18</v>
      </c>
      <c r="W38" s="111" t="str">
        <f t="shared" si="9"/>
        <v>F</v>
      </c>
      <c r="X38" s="111" t="str">
        <f t="shared" si="10"/>
        <v>Fail</v>
      </c>
      <c r="Y38" s="42">
        <v>35</v>
      </c>
      <c r="Z38" s="108" t="str">
        <f>Data!B36</f>
        <v>BABA AMINA ZANNAH</v>
      </c>
      <c r="AA38" s="109">
        <v>7</v>
      </c>
      <c r="AB38" s="109">
        <v>1</v>
      </c>
      <c r="AC38" s="109">
        <v>1</v>
      </c>
      <c r="AD38" s="109">
        <v>1</v>
      </c>
      <c r="AE38" s="111">
        <f t="shared" si="124"/>
        <v>10</v>
      </c>
      <c r="AF38" s="112">
        <v>42</v>
      </c>
      <c r="AG38" s="113">
        <f t="shared" si="12"/>
        <v>52</v>
      </c>
      <c r="AH38" s="113">
        <f t="shared" si="13"/>
        <v>31</v>
      </c>
      <c r="AI38" s="113" t="str">
        <f t="shared" si="14"/>
        <v>C6</v>
      </c>
      <c r="AJ38" s="113" t="str">
        <f t="shared" si="15"/>
        <v>Credit</v>
      </c>
      <c r="AK38" s="42">
        <v>35</v>
      </c>
      <c r="AL38" s="108" t="str">
        <f>Data!B36</f>
        <v>BABA AMINA ZANNAH</v>
      </c>
      <c r="AM38" s="114"/>
      <c r="AN38" s="114"/>
      <c r="AO38" s="114"/>
      <c r="AP38" s="114"/>
      <c r="AQ38" s="115">
        <f t="shared" si="16"/>
        <v>0</v>
      </c>
      <c r="AR38" s="114"/>
      <c r="AS38" s="115">
        <f t="shared" si="17"/>
        <v>0</v>
      </c>
      <c r="AT38" s="115" t="str">
        <f t="shared" si="18"/>
        <v/>
      </c>
      <c r="AU38" s="115" t="str">
        <f t="shared" si="19"/>
        <v/>
      </c>
      <c r="AV38" s="115" t="str">
        <f t="shared" si="20"/>
        <v/>
      </c>
      <c r="AW38" s="42">
        <v>35</v>
      </c>
      <c r="AX38" s="108" t="str">
        <f>Data!B36</f>
        <v>BABA AMINA ZANNAH</v>
      </c>
      <c r="AY38" s="116"/>
      <c r="AZ38" s="116"/>
      <c r="BA38" s="116"/>
      <c r="BB38" s="116"/>
      <c r="BC38" s="117">
        <f t="shared" si="21"/>
        <v>0</v>
      </c>
      <c r="BD38" s="116"/>
      <c r="BE38" s="117">
        <f t="shared" si="22"/>
        <v>0</v>
      </c>
      <c r="BF38" s="117" t="str">
        <f t="shared" si="23"/>
        <v/>
      </c>
      <c r="BG38" s="117" t="str">
        <f t="shared" si="24"/>
        <v/>
      </c>
      <c r="BH38" s="117" t="str">
        <f t="shared" si="25"/>
        <v/>
      </c>
      <c r="BI38" s="67">
        <v>35</v>
      </c>
      <c r="BJ38" s="108" t="str">
        <f>Data!B36</f>
        <v>BABA AMINA ZANNAH</v>
      </c>
      <c r="BK38" s="110">
        <v>7</v>
      </c>
      <c r="BL38" s="110">
        <v>1</v>
      </c>
      <c r="BM38" s="110">
        <v>1</v>
      </c>
      <c r="BN38" s="110">
        <v>1</v>
      </c>
      <c r="BO38" s="111">
        <f t="shared" si="26"/>
        <v>10</v>
      </c>
      <c r="BP38" s="113">
        <v>42</v>
      </c>
      <c r="BQ38" s="119">
        <f t="shared" si="27"/>
        <v>52</v>
      </c>
      <c r="BR38" s="119">
        <f t="shared" si="28"/>
        <v>22</v>
      </c>
      <c r="BS38" s="119" t="str">
        <f t="shared" si="29"/>
        <v>C6</v>
      </c>
      <c r="BT38" s="119" t="str">
        <f t="shared" si="30"/>
        <v>Credit</v>
      </c>
      <c r="BU38">
        <v>35</v>
      </c>
      <c r="BV38" s="108" t="str">
        <f>Data!B36</f>
        <v>BABA AMINA ZANNAH</v>
      </c>
      <c r="BW38" s="120">
        <v>8</v>
      </c>
      <c r="BX38" s="120">
        <v>4</v>
      </c>
      <c r="BY38" s="120">
        <v>8</v>
      </c>
      <c r="BZ38" s="120">
        <v>7</v>
      </c>
      <c r="CA38" s="121">
        <f t="shared" si="31"/>
        <v>27</v>
      </c>
      <c r="CB38" s="120">
        <v>23</v>
      </c>
      <c r="CC38" s="121">
        <f t="shared" si="32"/>
        <v>50</v>
      </c>
      <c r="CD38" s="121">
        <f t="shared" si="33"/>
        <v>23</v>
      </c>
      <c r="CE38" s="121" t="str">
        <f t="shared" si="34"/>
        <v>C6</v>
      </c>
      <c r="CF38" s="121" t="str">
        <f t="shared" si="35"/>
        <v>Credit</v>
      </c>
      <c r="CG38">
        <v>35</v>
      </c>
      <c r="CH38" s="108" t="str">
        <f>Data!B36</f>
        <v>BABA AMINA ZANNAH</v>
      </c>
      <c r="CI38" s="109"/>
      <c r="CJ38" s="109"/>
      <c r="CK38" s="109"/>
      <c r="CL38" s="109"/>
      <c r="CM38" s="122">
        <f t="shared" si="36"/>
        <v>0</v>
      </c>
      <c r="CN38" s="122"/>
      <c r="CO38" s="122">
        <f t="shared" si="37"/>
        <v>0</v>
      </c>
      <c r="CP38" s="122" t="str">
        <f t="shared" si="38"/>
        <v/>
      </c>
      <c r="CQ38" s="122" t="str">
        <f t="shared" si="39"/>
        <v/>
      </c>
      <c r="CR38" s="122" t="str">
        <f t="shared" si="40"/>
        <v/>
      </c>
      <c r="CS38">
        <v>35</v>
      </c>
      <c r="CT38" s="108" t="str">
        <f>Data!B36</f>
        <v>BABA AMINA ZANNAH</v>
      </c>
      <c r="CU38" s="43"/>
      <c r="CV38" s="43"/>
      <c r="CW38" s="43"/>
      <c r="CX38" s="43"/>
      <c r="CY38" s="123">
        <f t="shared" si="41"/>
        <v>0</v>
      </c>
      <c r="CZ38" s="43"/>
      <c r="DA38" s="123">
        <f t="shared" si="42"/>
        <v>0</v>
      </c>
      <c r="DB38" s="123" t="str">
        <f t="shared" si="43"/>
        <v/>
      </c>
      <c r="DC38" s="123" t="str">
        <f t="shared" si="44"/>
        <v/>
      </c>
      <c r="DD38" s="123" t="str">
        <f t="shared" si="45"/>
        <v/>
      </c>
      <c r="DE38">
        <v>35</v>
      </c>
      <c r="DF38" s="108" t="str">
        <f>Data!B36</f>
        <v>BABA AMINA ZANNAH</v>
      </c>
      <c r="DG38" s="109">
        <v>5</v>
      </c>
      <c r="DH38" s="109">
        <v>2</v>
      </c>
      <c r="DI38" s="109">
        <v>2</v>
      </c>
      <c r="DJ38" s="109">
        <v>5</v>
      </c>
      <c r="DK38" s="117">
        <f t="shared" si="46"/>
        <v>14</v>
      </c>
      <c r="DL38" s="116">
        <v>23</v>
      </c>
      <c r="DM38" s="117">
        <f t="shared" si="47"/>
        <v>37</v>
      </c>
      <c r="DN38" s="117">
        <f t="shared" si="48"/>
        <v>8</v>
      </c>
      <c r="DO38" s="117" t="str">
        <f t="shared" si="49"/>
        <v>F</v>
      </c>
      <c r="DP38" s="117" t="str">
        <f t="shared" si="50"/>
        <v>Fail</v>
      </c>
      <c r="DQ38">
        <v>35</v>
      </c>
      <c r="DR38" s="108" t="str">
        <f>Data!B36</f>
        <v>BABA AMINA ZANNAH</v>
      </c>
      <c r="DS38" s="124"/>
      <c r="DT38" s="124"/>
      <c r="DU38" s="124"/>
      <c r="DV38" s="124"/>
      <c r="DW38" s="125">
        <f t="shared" si="51"/>
        <v>0</v>
      </c>
      <c r="DX38" s="126"/>
      <c r="DY38" s="125">
        <f t="shared" si="52"/>
        <v>0</v>
      </c>
      <c r="DZ38" s="125" t="str">
        <f t="shared" si="53"/>
        <v/>
      </c>
      <c r="EA38" s="125" t="str">
        <f t="shared" si="54"/>
        <v/>
      </c>
      <c r="EB38" s="125" t="str">
        <f t="shared" si="55"/>
        <v/>
      </c>
      <c r="EC38">
        <v>35</v>
      </c>
      <c r="ED38" s="108" t="str">
        <f>Data!B36</f>
        <v>BABA AMINA ZANNAH</v>
      </c>
      <c r="EE38" s="109"/>
      <c r="EF38" s="109"/>
      <c r="EG38" s="109"/>
      <c r="EH38" s="109"/>
      <c r="EI38" s="127">
        <f t="shared" si="56"/>
        <v>0</v>
      </c>
      <c r="EJ38" s="127"/>
      <c r="EK38" s="127">
        <f t="shared" si="57"/>
        <v>0</v>
      </c>
      <c r="EL38" s="127" t="str">
        <f t="shared" si="58"/>
        <v/>
      </c>
      <c r="EM38" s="127" t="str">
        <f t="shared" si="59"/>
        <v/>
      </c>
      <c r="EN38" s="127" t="str">
        <f t="shared" si="60"/>
        <v/>
      </c>
      <c r="EO38">
        <v>35</v>
      </c>
      <c r="EP38" s="128" t="str">
        <f>Data!B36</f>
        <v>BABA AMINA ZANNAH</v>
      </c>
      <c r="EQ38" s="109"/>
      <c r="ER38" s="109"/>
      <c r="ES38" s="109"/>
      <c r="ET38" s="109"/>
      <c r="EU38" s="123">
        <f t="shared" si="61"/>
        <v>0</v>
      </c>
      <c r="EV38" s="123"/>
      <c r="EW38" s="123">
        <f t="shared" si="62"/>
        <v>0</v>
      </c>
      <c r="EX38" s="123" t="str">
        <f t="shared" si="63"/>
        <v/>
      </c>
      <c r="EY38" s="123" t="str">
        <f t="shared" si="64"/>
        <v/>
      </c>
      <c r="EZ38" s="123" t="str">
        <f t="shared" si="65"/>
        <v/>
      </c>
      <c r="FA38">
        <v>35</v>
      </c>
      <c r="FB38" s="108" t="str">
        <f>Data!B36</f>
        <v>BABA AMINA ZANNAH</v>
      </c>
      <c r="FC38" s="109"/>
      <c r="FD38" s="109"/>
      <c r="FE38" s="109"/>
      <c r="FF38" s="109"/>
      <c r="FG38" s="129">
        <f t="shared" si="66"/>
        <v>0</v>
      </c>
      <c r="FH38" s="129"/>
      <c r="FI38" s="129">
        <f t="shared" si="67"/>
        <v>0</v>
      </c>
      <c r="FJ38" s="129" t="str">
        <f t="shared" si="68"/>
        <v/>
      </c>
      <c r="FK38" s="129" t="str">
        <f t="shared" si="69"/>
        <v/>
      </c>
      <c r="FL38" s="129" t="str">
        <f t="shared" si="70"/>
        <v/>
      </c>
      <c r="FM38">
        <v>35</v>
      </c>
      <c r="FN38" s="108" t="str">
        <f>Data!B36</f>
        <v>BABA AMINA ZANNAH</v>
      </c>
      <c r="FO38" s="109"/>
      <c r="FP38" s="109"/>
      <c r="FQ38" s="109"/>
      <c r="FR38" s="109"/>
      <c r="FS38" s="130">
        <f t="shared" si="71"/>
        <v>0</v>
      </c>
      <c r="FT38" s="130"/>
      <c r="FU38" s="130">
        <f t="shared" si="72"/>
        <v>0</v>
      </c>
      <c r="FV38" s="130" t="str">
        <f t="shared" si="73"/>
        <v/>
      </c>
      <c r="FW38" s="130" t="str">
        <f t="shared" si="74"/>
        <v/>
      </c>
      <c r="FX38" s="130" t="str">
        <f t="shared" si="75"/>
        <v/>
      </c>
      <c r="FY38">
        <v>35</v>
      </c>
      <c r="FZ38" s="108" t="str">
        <f>Data!B36</f>
        <v>BABA AMINA ZANNAH</v>
      </c>
      <c r="GA38" s="109">
        <v>7</v>
      </c>
      <c r="GB38" s="109">
        <v>6</v>
      </c>
      <c r="GC38" s="109">
        <v>8</v>
      </c>
      <c r="GD38" s="109">
        <v>9</v>
      </c>
      <c r="GE38" s="131">
        <f t="shared" si="76"/>
        <v>30</v>
      </c>
      <c r="GF38" s="131">
        <v>28</v>
      </c>
      <c r="GG38" s="131">
        <f t="shared" si="77"/>
        <v>58</v>
      </c>
      <c r="GH38" s="131">
        <f t="shared" si="78"/>
        <v>15</v>
      </c>
      <c r="GI38" s="131" t="str">
        <f t="shared" si="79"/>
        <v>C</v>
      </c>
      <c r="GJ38" s="131" t="str">
        <f t="shared" si="80"/>
        <v>Credit</v>
      </c>
      <c r="GK38">
        <v>35</v>
      </c>
      <c r="GL38" s="108" t="str">
        <f>Data!B36</f>
        <v>BABA AMINA ZANNAH</v>
      </c>
      <c r="GM38" s="132"/>
      <c r="GN38" s="132"/>
      <c r="GO38" s="132"/>
      <c r="GP38" s="132"/>
      <c r="GQ38" s="133">
        <f t="shared" si="81"/>
        <v>0</v>
      </c>
      <c r="GR38" s="132"/>
      <c r="GS38" s="133">
        <f t="shared" si="82"/>
        <v>0</v>
      </c>
      <c r="GT38" s="133" t="str">
        <f t="shared" si="83"/>
        <v/>
      </c>
      <c r="GU38" s="133" t="str">
        <f t="shared" si="84"/>
        <v/>
      </c>
      <c r="GV38" s="133" t="str">
        <f t="shared" si="85"/>
        <v/>
      </c>
      <c r="GW38">
        <v>35</v>
      </c>
      <c r="GX38" s="108" t="str">
        <f>Data!B36</f>
        <v>BABA AMINA ZANNAH</v>
      </c>
      <c r="GY38" s="109"/>
      <c r="GZ38" s="109"/>
      <c r="HA38" s="109"/>
      <c r="HB38" s="109"/>
      <c r="HC38" s="119">
        <f t="shared" si="86"/>
        <v>0</v>
      </c>
      <c r="HD38" s="119"/>
      <c r="HE38" s="119">
        <f t="shared" si="87"/>
        <v>0</v>
      </c>
      <c r="HF38" s="119" t="str">
        <f t="shared" si="88"/>
        <v/>
      </c>
      <c r="HG38" s="119" t="str">
        <f t="shared" si="89"/>
        <v/>
      </c>
      <c r="HH38" s="119" t="str">
        <f t="shared" si="90"/>
        <v/>
      </c>
      <c r="HI38">
        <v>35</v>
      </c>
      <c r="HJ38" s="108" t="str">
        <f>Data!B36</f>
        <v>BABA AMINA ZANNAH</v>
      </c>
      <c r="HK38" s="144"/>
      <c r="HL38" s="145"/>
      <c r="HM38" s="145"/>
      <c r="HN38" s="145"/>
      <c r="HO38" s="136">
        <f t="shared" si="91"/>
        <v>0</v>
      </c>
      <c r="HP38" s="144"/>
      <c r="HQ38" s="136">
        <f t="shared" si="92"/>
        <v>0</v>
      </c>
      <c r="HR38" s="136" t="str">
        <f t="shared" si="93"/>
        <v/>
      </c>
      <c r="HS38" s="136" t="str">
        <f t="shared" si="94"/>
        <v/>
      </c>
      <c r="HT38" s="136" t="str">
        <f t="shared" si="95"/>
        <v/>
      </c>
      <c r="HU38">
        <v>35</v>
      </c>
      <c r="HV38" s="108" t="str">
        <f>Data!B36</f>
        <v>BABA AMINA ZANNAH</v>
      </c>
      <c r="HW38" s="109"/>
      <c r="HX38" s="109"/>
      <c r="HY38" s="109"/>
      <c r="HZ38" s="109"/>
      <c r="IA38" s="117">
        <f t="shared" si="96"/>
        <v>0</v>
      </c>
      <c r="IB38" s="117"/>
      <c r="IC38" s="117">
        <f t="shared" si="97"/>
        <v>0</v>
      </c>
      <c r="ID38" s="117" t="str">
        <f t="shared" si="98"/>
        <v/>
      </c>
      <c r="IE38" s="117" t="str">
        <f t="shared" si="99"/>
        <v/>
      </c>
      <c r="IF38" s="117" t="str">
        <f t="shared" si="100"/>
        <v/>
      </c>
      <c r="IG38">
        <v>35</v>
      </c>
      <c r="IH38" s="108" t="str">
        <f>Data!B36</f>
        <v>BABA AMINA ZANNAH</v>
      </c>
      <c r="II38" s="109"/>
      <c r="IJ38" s="109"/>
      <c r="IK38" s="109"/>
      <c r="IL38" s="109"/>
      <c r="IM38" s="137">
        <f t="shared" si="101"/>
        <v>0</v>
      </c>
      <c r="IN38" s="137"/>
      <c r="IO38" s="137">
        <f t="shared" si="102"/>
        <v>0</v>
      </c>
      <c r="IP38" s="137" t="str">
        <f t="shared" si="103"/>
        <v/>
      </c>
      <c r="IQ38" s="137" t="str">
        <f t="shared" si="104"/>
        <v/>
      </c>
      <c r="IR38" s="137" t="str">
        <f t="shared" si="105"/>
        <v/>
      </c>
      <c r="IS38">
        <v>35</v>
      </c>
      <c r="IT38" s="108" t="str">
        <f t="shared" si="106"/>
        <v>BABA AMINA ZANNAH</v>
      </c>
      <c r="IU38" s="110">
        <v>7</v>
      </c>
      <c r="IV38" s="110">
        <v>1</v>
      </c>
      <c r="IW38" s="110">
        <v>1</v>
      </c>
      <c r="IX38" s="110">
        <v>1</v>
      </c>
      <c r="IY38" s="111">
        <f t="shared" si="107"/>
        <v>10</v>
      </c>
      <c r="IZ38" s="113">
        <v>42</v>
      </c>
      <c r="JA38" s="131">
        <f t="shared" si="108"/>
        <v>52</v>
      </c>
      <c r="JB38" s="131">
        <f t="shared" si="109"/>
        <v>22</v>
      </c>
      <c r="JC38" s="131" t="str">
        <f t="shared" si="110"/>
        <v>C</v>
      </c>
      <c r="JD38" s="131" t="str">
        <f t="shared" si="111"/>
        <v>Credit</v>
      </c>
      <c r="JE38">
        <v>35</v>
      </c>
      <c r="JF38" s="108" t="str">
        <f t="shared" si="112"/>
        <v>BABA AMINA ZANNAH</v>
      </c>
      <c r="JG38" s="147"/>
      <c r="JH38" s="147"/>
      <c r="JI38" s="147"/>
      <c r="JJ38" s="147"/>
      <c r="JK38" s="113">
        <f t="shared" si="113"/>
        <v>0</v>
      </c>
      <c r="JL38" s="147"/>
      <c r="JM38" s="113">
        <f t="shared" si="114"/>
        <v>0</v>
      </c>
      <c r="JN38" s="113" t="str">
        <f t="shared" si="115"/>
        <v/>
      </c>
      <c r="JO38" s="113" t="str">
        <f t="shared" si="116"/>
        <v/>
      </c>
      <c r="JP38" s="113" t="str">
        <f t="shared" si="117"/>
        <v/>
      </c>
      <c r="JQ38">
        <v>35</v>
      </c>
      <c r="JR38" s="108" t="str">
        <f t="shared" si="118"/>
        <v>BABA AMINA ZANNAH</v>
      </c>
      <c r="JS38" s="140"/>
      <c r="JT38" s="140"/>
      <c r="JU38" s="140"/>
      <c r="JV38" s="140"/>
      <c r="JW38" s="111">
        <f t="shared" si="119"/>
        <v>0</v>
      </c>
      <c r="JX38" s="141"/>
      <c r="JY38" s="111">
        <f t="shared" si="0"/>
        <v>0</v>
      </c>
      <c r="JZ38" s="111" t="str">
        <f t="shared" si="120"/>
        <v/>
      </c>
      <c r="KA38" s="111" t="str">
        <f t="shared" si="121"/>
        <v/>
      </c>
      <c r="KB38" s="111" t="str">
        <f t="shared" si="122"/>
        <v/>
      </c>
      <c r="KD38" s="47"/>
      <c r="KE38" s="47"/>
      <c r="KF38" s="47"/>
      <c r="KG38" s="47"/>
      <c r="KH38" s="47"/>
      <c r="KI38" s="47"/>
      <c r="KJ38" s="47"/>
      <c r="KK38" s="47"/>
      <c r="KM38" s="47"/>
      <c r="KN38" s="47"/>
      <c r="KO38" s="47"/>
      <c r="KP38" s="47"/>
      <c r="KQ38" s="47"/>
      <c r="KR38" s="47"/>
      <c r="KS38" s="47"/>
      <c r="KT38" s="47"/>
      <c r="KU38" s="47"/>
      <c r="KV38" s="47"/>
    </row>
    <row r="39" spans="1:308" ht="23.25">
      <c r="A39" s="211">
        <v>36</v>
      </c>
      <c r="B39" s="108" t="str">
        <f>Data!B37</f>
        <v>BUKAR FATIMAH ALLAU</v>
      </c>
      <c r="C39" s="109">
        <v>6</v>
      </c>
      <c r="D39" s="109">
        <v>4</v>
      </c>
      <c r="E39" s="109">
        <v>1</v>
      </c>
      <c r="F39" s="109">
        <v>5</v>
      </c>
      <c r="G39" s="111">
        <f>SUM(C39:F39)</f>
        <v>16</v>
      </c>
      <c r="H39" s="111">
        <v>27</v>
      </c>
      <c r="I39" s="111">
        <f>G39+H39</f>
        <v>43</v>
      </c>
      <c r="J39" s="110">
        <f t="shared" si="3"/>
        <v>15</v>
      </c>
      <c r="K39" s="110" t="str">
        <f t="shared" si="4"/>
        <v>E8</v>
      </c>
      <c r="L39" s="110" t="str">
        <f t="shared" si="5"/>
        <v>Pass</v>
      </c>
      <c r="M39" s="48">
        <v>36</v>
      </c>
      <c r="N39" s="108" t="str">
        <f>Data!B37</f>
        <v>BUKAR FATIMAH ALLAU</v>
      </c>
      <c r="O39" s="109"/>
      <c r="P39" s="109"/>
      <c r="Q39" s="109"/>
      <c r="R39" s="109"/>
      <c r="S39" s="111">
        <f t="shared" si="6"/>
        <v>0</v>
      </c>
      <c r="T39" s="111"/>
      <c r="U39" s="111">
        <f t="shared" si="7"/>
        <v>0</v>
      </c>
      <c r="V39" s="111" t="str">
        <f t="shared" si="8"/>
        <v/>
      </c>
      <c r="W39" s="111" t="str">
        <f t="shared" si="9"/>
        <v/>
      </c>
      <c r="X39" s="111" t="str">
        <f t="shared" si="10"/>
        <v/>
      </c>
      <c r="Y39" s="42">
        <v>36</v>
      </c>
      <c r="Z39" s="108" t="str">
        <f>Data!B37</f>
        <v>BUKAR FATIMAH ALLAU</v>
      </c>
      <c r="AA39" s="109">
        <v>6</v>
      </c>
      <c r="AB39" s="109">
        <v>4</v>
      </c>
      <c r="AC39" s="109">
        <v>1</v>
      </c>
      <c r="AD39" s="109">
        <v>5</v>
      </c>
      <c r="AE39" s="111">
        <f>SUM(AA39:AD39)</f>
        <v>16</v>
      </c>
      <c r="AF39" s="112">
        <v>42</v>
      </c>
      <c r="AG39" s="113">
        <f t="shared" si="12"/>
        <v>58</v>
      </c>
      <c r="AH39" s="113">
        <f t="shared" si="13"/>
        <v>19</v>
      </c>
      <c r="AI39" s="113" t="str">
        <f t="shared" si="14"/>
        <v>C5</v>
      </c>
      <c r="AJ39" s="113" t="str">
        <f t="shared" si="15"/>
        <v>Credit</v>
      </c>
      <c r="AK39" s="42">
        <v>36</v>
      </c>
      <c r="AL39" s="108" t="str">
        <f>Data!B37</f>
        <v>BUKAR FATIMAH ALLAU</v>
      </c>
      <c r="AM39" s="114"/>
      <c r="AN39" s="114"/>
      <c r="AO39" s="114"/>
      <c r="AP39" s="114"/>
      <c r="AQ39" s="115">
        <f t="shared" si="16"/>
        <v>0</v>
      </c>
      <c r="AR39" s="114"/>
      <c r="AS39" s="115">
        <f t="shared" si="17"/>
        <v>0</v>
      </c>
      <c r="AT39" s="115" t="str">
        <f t="shared" si="18"/>
        <v/>
      </c>
      <c r="AU39" s="115" t="str">
        <f t="shared" si="19"/>
        <v/>
      </c>
      <c r="AV39" s="115" t="str">
        <f t="shared" si="20"/>
        <v/>
      </c>
      <c r="AW39" s="42">
        <v>36</v>
      </c>
      <c r="AX39" s="108" t="str">
        <f>Data!B37</f>
        <v>BUKAR FATIMAH ALLAU</v>
      </c>
      <c r="AY39" s="116"/>
      <c r="AZ39" s="116"/>
      <c r="BA39" s="116"/>
      <c r="BB39" s="116"/>
      <c r="BC39" s="117">
        <f t="shared" si="21"/>
        <v>0</v>
      </c>
      <c r="BD39" s="116"/>
      <c r="BE39" s="117">
        <f t="shared" si="22"/>
        <v>0</v>
      </c>
      <c r="BF39" s="117" t="str">
        <f t="shared" si="23"/>
        <v/>
      </c>
      <c r="BG39" s="117" t="str">
        <f t="shared" si="24"/>
        <v/>
      </c>
      <c r="BH39" s="117" t="str">
        <f t="shared" si="25"/>
        <v/>
      </c>
      <c r="BI39" s="67">
        <v>36</v>
      </c>
      <c r="BJ39" s="108" t="str">
        <f>Data!B37</f>
        <v>BUKAR FATIMAH ALLAU</v>
      </c>
      <c r="BK39" s="110">
        <v>6</v>
      </c>
      <c r="BL39" s="110">
        <v>4</v>
      </c>
      <c r="BM39" s="110">
        <v>1</v>
      </c>
      <c r="BN39" s="110">
        <v>5</v>
      </c>
      <c r="BO39" s="111">
        <f>SUM(BK39:BN39)</f>
        <v>16</v>
      </c>
      <c r="BP39" s="113">
        <v>42</v>
      </c>
      <c r="BQ39" s="119">
        <f t="shared" si="27"/>
        <v>58</v>
      </c>
      <c r="BR39" s="119">
        <f t="shared" si="28"/>
        <v>13</v>
      </c>
      <c r="BS39" s="119" t="str">
        <f t="shared" si="29"/>
        <v>C5</v>
      </c>
      <c r="BT39" s="119" t="str">
        <f t="shared" si="30"/>
        <v>Credit</v>
      </c>
      <c r="BU39">
        <v>36</v>
      </c>
      <c r="BV39" s="108" t="str">
        <f>Data!B37</f>
        <v>BUKAR FATIMAH ALLAU</v>
      </c>
      <c r="BW39" s="120">
        <v>10</v>
      </c>
      <c r="BX39" s="120">
        <v>7</v>
      </c>
      <c r="BY39" s="120">
        <v>10</v>
      </c>
      <c r="BZ39" s="120">
        <v>7</v>
      </c>
      <c r="CA39" s="121">
        <f t="shared" si="31"/>
        <v>34</v>
      </c>
      <c r="CB39" s="120">
        <v>47</v>
      </c>
      <c r="CC39" s="121">
        <f t="shared" si="32"/>
        <v>81</v>
      </c>
      <c r="CD39" s="121">
        <f t="shared" si="33"/>
        <v>3</v>
      </c>
      <c r="CE39" s="121" t="str">
        <f t="shared" si="34"/>
        <v>A1</v>
      </c>
      <c r="CF39" s="121" t="str">
        <f t="shared" si="35"/>
        <v>Excellent</v>
      </c>
      <c r="CG39">
        <v>36</v>
      </c>
      <c r="CH39" s="108" t="str">
        <f>Data!B37</f>
        <v>BUKAR FATIMAH ALLAU</v>
      </c>
      <c r="CI39" s="109"/>
      <c r="CJ39" s="109"/>
      <c r="CK39" s="109"/>
      <c r="CL39" s="109"/>
      <c r="CM39" s="122">
        <f t="shared" si="36"/>
        <v>0</v>
      </c>
      <c r="CN39" s="122"/>
      <c r="CO39" s="122">
        <f t="shared" si="37"/>
        <v>0</v>
      </c>
      <c r="CP39" s="122" t="str">
        <f t="shared" si="38"/>
        <v/>
      </c>
      <c r="CQ39" s="122" t="str">
        <f t="shared" si="39"/>
        <v/>
      </c>
      <c r="CR39" s="122" t="str">
        <f t="shared" si="40"/>
        <v/>
      </c>
      <c r="CS39">
        <v>36</v>
      </c>
      <c r="CT39" s="108" t="str">
        <f>Data!B37</f>
        <v>BUKAR FATIMAH ALLAU</v>
      </c>
      <c r="CU39" s="43"/>
      <c r="CV39" s="43"/>
      <c r="CW39" s="43"/>
      <c r="CX39" s="43"/>
      <c r="CY39" s="123">
        <f t="shared" si="41"/>
        <v>0</v>
      </c>
      <c r="CZ39" s="43"/>
      <c r="DA39" s="123">
        <f t="shared" si="42"/>
        <v>0</v>
      </c>
      <c r="DB39" s="123" t="str">
        <f t="shared" si="43"/>
        <v/>
      </c>
      <c r="DC39" s="123" t="str">
        <f t="shared" si="44"/>
        <v/>
      </c>
      <c r="DD39" s="123" t="str">
        <f t="shared" si="45"/>
        <v/>
      </c>
      <c r="DE39">
        <v>36</v>
      </c>
      <c r="DF39" s="108" t="str">
        <f>Data!B37</f>
        <v>BUKAR FATIMAH ALLAU</v>
      </c>
      <c r="DG39" s="109"/>
      <c r="DH39" s="109"/>
      <c r="DI39" s="109"/>
      <c r="DJ39" s="109"/>
      <c r="DK39" s="117">
        <f t="shared" si="46"/>
        <v>0</v>
      </c>
      <c r="DL39" s="116"/>
      <c r="DM39" s="117">
        <f t="shared" si="47"/>
        <v>0</v>
      </c>
      <c r="DN39" s="117" t="str">
        <f t="shared" si="48"/>
        <v/>
      </c>
      <c r="DO39" s="117" t="str">
        <f t="shared" si="49"/>
        <v/>
      </c>
      <c r="DP39" s="117" t="str">
        <f t="shared" si="50"/>
        <v/>
      </c>
      <c r="DQ39">
        <v>36</v>
      </c>
      <c r="DR39" s="108" t="str">
        <f>Data!B37</f>
        <v>BUKAR FATIMAH ALLAU</v>
      </c>
      <c r="DS39" s="124"/>
      <c r="DT39" s="124"/>
      <c r="DU39" s="124"/>
      <c r="DV39" s="124"/>
      <c r="DW39" s="125">
        <f t="shared" si="51"/>
        <v>0</v>
      </c>
      <c r="DX39" s="126"/>
      <c r="DY39" s="125">
        <f t="shared" si="52"/>
        <v>0</v>
      </c>
      <c r="DZ39" s="125" t="str">
        <f t="shared" si="53"/>
        <v/>
      </c>
      <c r="EA39" s="125" t="str">
        <f t="shared" si="54"/>
        <v/>
      </c>
      <c r="EB39" s="125" t="str">
        <f t="shared" si="55"/>
        <v/>
      </c>
      <c r="EC39">
        <v>36</v>
      </c>
      <c r="ED39" s="108" t="str">
        <f>Data!B37</f>
        <v>BUKAR FATIMAH ALLAU</v>
      </c>
      <c r="EE39" s="109"/>
      <c r="EF39" s="109"/>
      <c r="EG39" s="109"/>
      <c r="EH39" s="109"/>
      <c r="EI39" s="127">
        <f t="shared" si="56"/>
        <v>0</v>
      </c>
      <c r="EJ39" s="127"/>
      <c r="EK39" s="127">
        <f t="shared" si="57"/>
        <v>0</v>
      </c>
      <c r="EL39" s="127" t="str">
        <f t="shared" si="58"/>
        <v/>
      </c>
      <c r="EM39" s="127" t="str">
        <f t="shared" si="59"/>
        <v/>
      </c>
      <c r="EN39" s="127" t="str">
        <f t="shared" si="60"/>
        <v/>
      </c>
      <c r="EO39">
        <v>36</v>
      </c>
      <c r="EP39" s="128" t="str">
        <f>Data!B37</f>
        <v>BUKAR FATIMAH ALLAU</v>
      </c>
      <c r="EQ39" s="109"/>
      <c r="ER39" s="109"/>
      <c r="ES39" s="109"/>
      <c r="ET39" s="109"/>
      <c r="EU39" s="123">
        <f t="shared" si="61"/>
        <v>0</v>
      </c>
      <c r="EV39" s="123"/>
      <c r="EW39" s="123">
        <f t="shared" si="62"/>
        <v>0</v>
      </c>
      <c r="EX39" s="123" t="str">
        <f t="shared" si="63"/>
        <v/>
      </c>
      <c r="EY39" s="123" t="str">
        <f t="shared" si="64"/>
        <v/>
      </c>
      <c r="EZ39" s="123" t="str">
        <f t="shared" si="65"/>
        <v/>
      </c>
      <c r="FA39">
        <v>36</v>
      </c>
      <c r="FB39" s="108" t="str">
        <f>Data!B37</f>
        <v>BUKAR FATIMAH ALLAU</v>
      </c>
      <c r="FC39" s="109"/>
      <c r="FD39" s="109"/>
      <c r="FE39" s="109"/>
      <c r="FF39" s="109"/>
      <c r="FG39" s="129">
        <f t="shared" si="66"/>
        <v>0</v>
      </c>
      <c r="FH39" s="129"/>
      <c r="FI39" s="129">
        <f t="shared" si="67"/>
        <v>0</v>
      </c>
      <c r="FJ39" s="129" t="str">
        <f t="shared" si="68"/>
        <v/>
      </c>
      <c r="FK39" s="129" t="str">
        <f t="shared" si="69"/>
        <v/>
      </c>
      <c r="FL39" s="129" t="str">
        <f t="shared" si="70"/>
        <v/>
      </c>
      <c r="FM39">
        <v>36</v>
      </c>
      <c r="FN39" s="108" t="str">
        <f>Data!B37</f>
        <v>BUKAR FATIMAH ALLAU</v>
      </c>
      <c r="FO39" s="109"/>
      <c r="FP39" s="109"/>
      <c r="FQ39" s="109"/>
      <c r="FR39" s="109"/>
      <c r="FS39" s="130">
        <f t="shared" si="71"/>
        <v>0</v>
      </c>
      <c r="FT39" s="130"/>
      <c r="FU39" s="130">
        <f t="shared" si="72"/>
        <v>0</v>
      </c>
      <c r="FV39" s="130" t="str">
        <f t="shared" si="73"/>
        <v/>
      </c>
      <c r="FW39" s="130" t="str">
        <f t="shared" si="74"/>
        <v/>
      </c>
      <c r="FX39" s="130" t="str">
        <f t="shared" si="75"/>
        <v/>
      </c>
      <c r="FY39">
        <v>36</v>
      </c>
      <c r="FZ39" s="108" t="str">
        <f>Data!B37</f>
        <v>BUKAR FATIMAH ALLAU</v>
      </c>
      <c r="GA39" s="109">
        <v>7</v>
      </c>
      <c r="GB39" s="109">
        <v>9</v>
      </c>
      <c r="GC39" s="109">
        <v>9</v>
      </c>
      <c r="GD39" s="109">
        <v>9</v>
      </c>
      <c r="GE39" s="131">
        <f t="shared" si="76"/>
        <v>34</v>
      </c>
      <c r="GF39" s="131">
        <v>30</v>
      </c>
      <c r="GG39" s="131">
        <f t="shared" si="77"/>
        <v>64</v>
      </c>
      <c r="GH39" s="131">
        <f t="shared" si="78"/>
        <v>9</v>
      </c>
      <c r="GI39" s="131" t="str">
        <f t="shared" si="79"/>
        <v>C</v>
      </c>
      <c r="GJ39" s="131" t="str">
        <f t="shared" si="80"/>
        <v>Credit</v>
      </c>
      <c r="GK39">
        <v>36</v>
      </c>
      <c r="GL39" s="108" t="str">
        <f>Data!B37</f>
        <v>BUKAR FATIMAH ALLAU</v>
      </c>
      <c r="GM39" s="132"/>
      <c r="GN39" s="132"/>
      <c r="GO39" s="132"/>
      <c r="GP39" s="132"/>
      <c r="GQ39" s="133">
        <f t="shared" si="81"/>
        <v>0</v>
      </c>
      <c r="GR39" s="132"/>
      <c r="GS39" s="133">
        <f t="shared" si="82"/>
        <v>0</v>
      </c>
      <c r="GT39" s="133" t="str">
        <f t="shared" si="83"/>
        <v/>
      </c>
      <c r="GU39" s="133" t="str">
        <f t="shared" si="84"/>
        <v/>
      </c>
      <c r="GV39" s="133" t="str">
        <f t="shared" si="85"/>
        <v/>
      </c>
      <c r="GW39">
        <v>36</v>
      </c>
      <c r="GX39" s="108" t="str">
        <f>Data!B37</f>
        <v>BUKAR FATIMAH ALLAU</v>
      </c>
      <c r="GY39" s="109"/>
      <c r="GZ39" s="109"/>
      <c r="HA39" s="109"/>
      <c r="HB39" s="109"/>
      <c r="HC39" s="119">
        <f t="shared" si="86"/>
        <v>0</v>
      </c>
      <c r="HD39" s="119"/>
      <c r="HE39" s="119">
        <f t="shared" si="87"/>
        <v>0</v>
      </c>
      <c r="HF39" s="119" t="str">
        <f t="shared" si="88"/>
        <v/>
      </c>
      <c r="HG39" s="119" t="str">
        <f t="shared" si="89"/>
        <v/>
      </c>
      <c r="HH39" s="119" t="str">
        <f t="shared" si="90"/>
        <v/>
      </c>
      <c r="HI39">
        <v>36</v>
      </c>
      <c r="HJ39" s="108" t="str">
        <f>Data!B37</f>
        <v>BUKAR FATIMAH ALLAU</v>
      </c>
      <c r="HK39" s="144">
        <v>10</v>
      </c>
      <c r="HL39" s="145">
        <v>5</v>
      </c>
      <c r="HM39" s="145">
        <v>8</v>
      </c>
      <c r="HN39" s="145">
        <v>10</v>
      </c>
      <c r="HO39" s="136">
        <f t="shared" si="91"/>
        <v>33</v>
      </c>
      <c r="HP39" s="144"/>
      <c r="HQ39" s="136">
        <f t="shared" si="92"/>
        <v>33</v>
      </c>
      <c r="HR39" s="136">
        <f t="shared" si="93"/>
        <v>2</v>
      </c>
      <c r="HS39" s="136" t="str">
        <f t="shared" si="94"/>
        <v>F</v>
      </c>
      <c r="HT39" s="136" t="str">
        <f t="shared" si="95"/>
        <v>Fail</v>
      </c>
      <c r="HU39">
        <v>36</v>
      </c>
      <c r="HV39" s="108" t="str">
        <f>Data!B37</f>
        <v>BUKAR FATIMAH ALLAU</v>
      </c>
      <c r="HW39" s="109"/>
      <c r="HX39" s="109"/>
      <c r="HY39" s="109"/>
      <c r="HZ39" s="109"/>
      <c r="IA39" s="117">
        <f t="shared" si="96"/>
        <v>0</v>
      </c>
      <c r="IB39" s="117"/>
      <c r="IC39" s="117">
        <f t="shared" si="97"/>
        <v>0</v>
      </c>
      <c r="ID39" s="117" t="str">
        <f t="shared" si="98"/>
        <v/>
      </c>
      <c r="IE39" s="117" t="str">
        <f t="shared" si="99"/>
        <v/>
      </c>
      <c r="IF39" s="117" t="str">
        <f t="shared" si="100"/>
        <v/>
      </c>
      <c r="IG39">
        <v>36</v>
      </c>
      <c r="IH39" s="108" t="str">
        <f>Data!B37</f>
        <v>BUKAR FATIMAH ALLAU</v>
      </c>
      <c r="II39" s="109"/>
      <c r="IJ39" s="109"/>
      <c r="IK39" s="109"/>
      <c r="IL39" s="109"/>
      <c r="IM39" s="137">
        <f t="shared" si="101"/>
        <v>0</v>
      </c>
      <c r="IN39" s="137"/>
      <c r="IO39" s="137">
        <f t="shared" si="102"/>
        <v>0</v>
      </c>
      <c r="IP39" s="137" t="str">
        <f t="shared" si="103"/>
        <v/>
      </c>
      <c r="IQ39" s="137" t="str">
        <f t="shared" si="104"/>
        <v/>
      </c>
      <c r="IR39" s="137" t="str">
        <f t="shared" si="105"/>
        <v/>
      </c>
      <c r="IS39">
        <v>36</v>
      </c>
      <c r="IT39" s="108" t="str">
        <f t="shared" si="106"/>
        <v>BUKAR FATIMAH ALLAU</v>
      </c>
      <c r="IU39" s="110">
        <v>6</v>
      </c>
      <c r="IV39" s="110">
        <v>4</v>
      </c>
      <c r="IW39" s="110">
        <v>1</v>
      </c>
      <c r="IX39" s="110">
        <v>5</v>
      </c>
      <c r="IY39" s="111">
        <f>SUM(IU39:IX39)</f>
        <v>16</v>
      </c>
      <c r="IZ39" s="113">
        <v>42</v>
      </c>
      <c r="JA39" s="131">
        <f t="shared" si="108"/>
        <v>58</v>
      </c>
      <c r="JB39" s="131">
        <f t="shared" si="109"/>
        <v>13</v>
      </c>
      <c r="JC39" s="131" t="str">
        <f t="shared" si="110"/>
        <v>C</v>
      </c>
      <c r="JD39" s="131" t="str">
        <f t="shared" si="111"/>
        <v>Credit</v>
      </c>
      <c r="JE39">
        <v>36</v>
      </c>
      <c r="JF39" s="108" t="str">
        <f t="shared" si="112"/>
        <v>BUKAR FATIMAH ALLAU</v>
      </c>
      <c r="JG39" s="147"/>
      <c r="JH39" s="147"/>
      <c r="JI39" s="147"/>
      <c r="JJ39" s="147"/>
      <c r="JK39" s="113">
        <f t="shared" si="113"/>
        <v>0</v>
      </c>
      <c r="JL39" s="147"/>
      <c r="JM39" s="113">
        <f t="shared" si="114"/>
        <v>0</v>
      </c>
      <c r="JN39" s="113" t="str">
        <f t="shared" si="115"/>
        <v/>
      </c>
      <c r="JO39" s="113" t="str">
        <f t="shared" si="116"/>
        <v/>
      </c>
      <c r="JP39" s="113" t="str">
        <f t="shared" si="117"/>
        <v/>
      </c>
      <c r="JQ39">
        <v>36</v>
      </c>
      <c r="JR39" s="108" t="str">
        <f t="shared" si="118"/>
        <v>BUKAR FATIMAH ALLAU</v>
      </c>
      <c r="JS39" s="140"/>
      <c r="JT39" s="140"/>
      <c r="JU39" s="140"/>
      <c r="JV39" s="140"/>
      <c r="JW39" s="111">
        <f t="shared" si="119"/>
        <v>0</v>
      </c>
      <c r="JX39" s="141"/>
      <c r="JY39" s="111">
        <f t="shared" si="0"/>
        <v>0</v>
      </c>
      <c r="JZ39" s="111" t="str">
        <f t="shared" si="120"/>
        <v/>
      </c>
      <c r="KA39" s="111" t="str">
        <f t="shared" si="121"/>
        <v/>
      </c>
      <c r="KB39" s="111" t="str">
        <f t="shared" si="122"/>
        <v/>
      </c>
      <c r="KD39" s="47"/>
      <c r="KE39" s="47"/>
      <c r="KF39" s="47"/>
      <c r="KG39" s="47"/>
      <c r="KH39" s="47"/>
      <c r="KI39" s="47"/>
      <c r="KJ39" s="47"/>
      <c r="KK39" s="47"/>
      <c r="KM39" s="47"/>
      <c r="KN39" s="47"/>
      <c r="KO39" s="47"/>
      <c r="KP39" s="47"/>
      <c r="KQ39" s="47"/>
      <c r="KR39" s="47"/>
      <c r="KS39" s="47"/>
      <c r="KT39" s="47"/>
      <c r="KU39" s="47"/>
      <c r="KV39" s="47"/>
    </row>
    <row r="40" spans="1:308" ht="23.25">
      <c r="A40" s="211">
        <v>37</v>
      </c>
      <c r="B40" s="108" t="str">
        <f>Data!B38</f>
        <v>BABAGANA FATIMA KARUMI</v>
      </c>
      <c r="C40" s="109">
        <v>4</v>
      </c>
      <c r="D40" s="109">
        <v>2</v>
      </c>
      <c r="E40" s="109">
        <v>1</v>
      </c>
      <c r="F40" s="109">
        <v>1</v>
      </c>
      <c r="G40" s="111">
        <f t="shared" ref="G40:G46" si="125">SUM(C40:F40)</f>
        <v>8</v>
      </c>
      <c r="H40" s="111">
        <v>23</v>
      </c>
      <c r="I40" s="111">
        <f t="shared" ref="I40:I52" si="126">G40+H40</f>
        <v>31</v>
      </c>
      <c r="J40" s="110">
        <f t="shared" si="3"/>
        <v>30</v>
      </c>
      <c r="K40" s="110" t="str">
        <f t="shared" si="4"/>
        <v>F</v>
      </c>
      <c r="L40" s="110" t="str">
        <f t="shared" si="5"/>
        <v>Fail</v>
      </c>
      <c r="M40" s="48">
        <v>37</v>
      </c>
      <c r="N40" s="108" t="str">
        <f>Data!B38</f>
        <v>BABAGANA FATIMA KARUMI</v>
      </c>
      <c r="O40" s="109"/>
      <c r="P40" s="109"/>
      <c r="Q40" s="109"/>
      <c r="R40" s="109"/>
      <c r="S40" s="111">
        <f t="shared" si="6"/>
        <v>0</v>
      </c>
      <c r="T40" s="111"/>
      <c r="U40" s="111">
        <f t="shared" si="7"/>
        <v>0</v>
      </c>
      <c r="V40" s="111" t="str">
        <f t="shared" si="8"/>
        <v/>
      </c>
      <c r="W40" s="111" t="str">
        <f t="shared" si="9"/>
        <v/>
      </c>
      <c r="X40" s="111" t="str">
        <f t="shared" si="10"/>
        <v/>
      </c>
      <c r="Y40" s="42">
        <v>37</v>
      </c>
      <c r="Z40" s="108" t="str">
        <f>Data!B38</f>
        <v>BABAGANA FATIMA KARUMI</v>
      </c>
      <c r="AA40" s="109">
        <v>4</v>
      </c>
      <c r="AB40" s="109">
        <v>2</v>
      </c>
      <c r="AC40" s="109">
        <v>1</v>
      </c>
      <c r="AD40" s="109">
        <v>1</v>
      </c>
      <c r="AE40" s="111">
        <f t="shared" ref="AE40:AE46" si="127">SUM(AA40:AD40)</f>
        <v>8</v>
      </c>
      <c r="AF40" s="112">
        <v>42</v>
      </c>
      <c r="AG40" s="113">
        <f t="shared" si="12"/>
        <v>50</v>
      </c>
      <c r="AH40" s="113">
        <f t="shared" si="13"/>
        <v>36</v>
      </c>
      <c r="AI40" s="113" t="str">
        <f t="shared" si="14"/>
        <v>C6</v>
      </c>
      <c r="AJ40" s="113" t="str">
        <f t="shared" si="15"/>
        <v>Credit</v>
      </c>
      <c r="AK40" s="42">
        <v>37</v>
      </c>
      <c r="AL40" s="108" t="str">
        <f>Data!B38</f>
        <v>BABAGANA FATIMA KARUMI</v>
      </c>
      <c r="AM40" s="114"/>
      <c r="AN40" s="114"/>
      <c r="AO40" s="114"/>
      <c r="AP40" s="114"/>
      <c r="AQ40" s="115">
        <f t="shared" si="16"/>
        <v>0</v>
      </c>
      <c r="AR40" s="114"/>
      <c r="AS40" s="115">
        <f t="shared" si="17"/>
        <v>0</v>
      </c>
      <c r="AT40" s="115" t="str">
        <f t="shared" si="18"/>
        <v/>
      </c>
      <c r="AU40" s="115" t="str">
        <f t="shared" si="19"/>
        <v/>
      </c>
      <c r="AV40" s="115" t="str">
        <f t="shared" si="20"/>
        <v/>
      </c>
      <c r="AW40" s="42">
        <v>37</v>
      </c>
      <c r="AX40" s="108" t="str">
        <f>Data!B38</f>
        <v>BABAGANA FATIMA KARUMI</v>
      </c>
      <c r="AY40" s="116"/>
      <c r="AZ40" s="116"/>
      <c r="BA40" s="116"/>
      <c r="BB40" s="116"/>
      <c r="BC40" s="117">
        <f t="shared" si="21"/>
        <v>0</v>
      </c>
      <c r="BD40" s="116"/>
      <c r="BE40" s="117">
        <f t="shared" si="22"/>
        <v>0</v>
      </c>
      <c r="BF40" s="117" t="str">
        <f t="shared" si="23"/>
        <v/>
      </c>
      <c r="BG40" s="117" t="str">
        <f t="shared" si="24"/>
        <v/>
      </c>
      <c r="BH40" s="117" t="str">
        <f t="shared" si="25"/>
        <v/>
      </c>
      <c r="BI40" s="67">
        <v>37</v>
      </c>
      <c r="BJ40" s="108" t="str">
        <f>Data!B38</f>
        <v>BABAGANA FATIMA KARUMI</v>
      </c>
      <c r="BK40" s="118"/>
      <c r="BL40" s="118"/>
      <c r="BM40" s="118"/>
      <c r="BN40" s="118"/>
      <c r="BO40" s="119">
        <f t="shared" ref="BO40:BO53" si="128">SUM(BK40:BN40)</f>
        <v>0</v>
      </c>
      <c r="BP40" s="118"/>
      <c r="BQ40" s="119">
        <f t="shared" si="27"/>
        <v>0</v>
      </c>
      <c r="BR40" s="119" t="str">
        <f t="shared" si="28"/>
        <v/>
      </c>
      <c r="BS40" s="119" t="str">
        <f t="shared" si="29"/>
        <v/>
      </c>
      <c r="BT40" s="119" t="str">
        <f t="shared" si="30"/>
        <v/>
      </c>
      <c r="BU40">
        <v>37</v>
      </c>
      <c r="BV40" s="108" t="str">
        <f>Data!B38</f>
        <v>BABAGANA FATIMA KARUMI</v>
      </c>
      <c r="BW40" s="120">
        <v>6</v>
      </c>
      <c r="BX40" s="120">
        <v>4</v>
      </c>
      <c r="BY40" s="120">
        <v>8</v>
      </c>
      <c r="BZ40" s="120">
        <v>7</v>
      </c>
      <c r="CA40" s="121">
        <f t="shared" si="31"/>
        <v>25</v>
      </c>
      <c r="CB40" s="120">
        <v>21</v>
      </c>
      <c r="CC40" s="121">
        <f t="shared" si="32"/>
        <v>46</v>
      </c>
      <c r="CD40" s="121">
        <f t="shared" si="33"/>
        <v>29</v>
      </c>
      <c r="CE40" s="121" t="str">
        <f t="shared" si="34"/>
        <v>D7</v>
      </c>
      <c r="CF40" s="121" t="str">
        <f t="shared" si="35"/>
        <v>Pass</v>
      </c>
      <c r="CG40">
        <v>37</v>
      </c>
      <c r="CH40" s="108" t="str">
        <f>Data!B38</f>
        <v>BABAGANA FATIMA KARUMI</v>
      </c>
      <c r="CI40" s="109"/>
      <c r="CJ40" s="109"/>
      <c r="CK40" s="109"/>
      <c r="CL40" s="109"/>
      <c r="CM40" s="122">
        <f t="shared" si="36"/>
        <v>0</v>
      </c>
      <c r="CN40" s="122"/>
      <c r="CO40" s="122">
        <f t="shared" si="37"/>
        <v>0</v>
      </c>
      <c r="CP40" s="122" t="str">
        <f t="shared" si="38"/>
        <v/>
      </c>
      <c r="CQ40" s="122" t="str">
        <f t="shared" si="39"/>
        <v/>
      </c>
      <c r="CR40" s="122" t="str">
        <f t="shared" si="40"/>
        <v/>
      </c>
      <c r="CS40">
        <v>37</v>
      </c>
      <c r="CT40" s="108" t="str">
        <f>Data!B38</f>
        <v>BABAGANA FATIMA KARUMI</v>
      </c>
      <c r="CU40" s="43"/>
      <c r="CV40" s="43"/>
      <c r="CW40" s="43"/>
      <c r="CX40" s="43"/>
      <c r="CY40" s="123">
        <f t="shared" si="41"/>
        <v>0</v>
      </c>
      <c r="CZ40" s="43"/>
      <c r="DA40" s="123">
        <f t="shared" si="42"/>
        <v>0</v>
      </c>
      <c r="DB40" s="123" t="str">
        <f t="shared" si="43"/>
        <v/>
      </c>
      <c r="DC40" s="123" t="str">
        <f t="shared" si="44"/>
        <v/>
      </c>
      <c r="DD40" s="123" t="str">
        <f t="shared" si="45"/>
        <v/>
      </c>
      <c r="DE40">
        <v>37</v>
      </c>
      <c r="DF40" s="108" t="str">
        <f>Data!B38</f>
        <v>BABAGANA FATIMA KARUMI</v>
      </c>
      <c r="DG40" s="109"/>
      <c r="DH40" s="109"/>
      <c r="DI40" s="109"/>
      <c r="DJ40" s="109"/>
      <c r="DK40" s="117">
        <f t="shared" si="46"/>
        <v>0</v>
      </c>
      <c r="DL40" s="116"/>
      <c r="DM40" s="117">
        <f t="shared" si="47"/>
        <v>0</v>
      </c>
      <c r="DN40" s="117" t="str">
        <f t="shared" si="48"/>
        <v/>
      </c>
      <c r="DO40" s="117" t="str">
        <f t="shared" si="49"/>
        <v/>
      </c>
      <c r="DP40" s="117" t="str">
        <f t="shared" si="50"/>
        <v/>
      </c>
      <c r="DQ40">
        <v>37</v>
      </c>
      <c r="DR40" s="108" t="str">
        <f>Data!B38</f>
        <v>BABAGANA FATIMA KARUMI</v>
      </c>
      <c r="DS40" s="124"/>
      <c r="DT40" s="124"/>
      <c r="DU40" s="124"/>
      <c r="DV40" s="124"/>
      <c r="DW40" s="125">
        <f t="shared" si="51"/>
        <v>0</v>
      </c>
      <c r="DX40" s="126"/>
      <c r="DY40" s="125">
        <f t="shared" si="52"/>
        <v>0</v>
      </c>
      <c r="DZ40" s="125" t="str">
        <f t="shared" si="53"/>
        <v/>
      </c>
      <c r="EA40" s="125" t="str">
        <f t="shared" si="54"/>
        <v/>
      </c>
      <c r="EB40" s="125" t="str">
        <f t="shared" si="55"/>
        <v/>
      </c>
      <c r="EC40">
        <v>37</v>
      </c>
      <c r="ED40" s="108" t="str">
        <f>Data!B38</f>
        <v>BABAGANA FATIMA KARUMI</v>
      </c>
      <c r="EE40" s="109"/>
      <c r="EF40" s="109"/>
      <c r="EG40" s="109"/>
      <c r="EH40" s="109"/>
      <c r="EI40" s="127">
        <f t="shared" si="56"/>
        <v>0</v>
      </c>
      <c r="EJ40" s="127"/>
      <c r="EK40" s="127">
        <f t="shared" si="57"/>
        <v>0</v>
      </c>
      <c r="EL40" s="127" t="str">
        <f t="shared" si="58"/>
        <v/>
      </c>
      <c r="EM40" s="127" t="str">
        <f t="shared" si="59"/>
        <v/>
      </c>
      <c r="EN40" s="127" t="str">
        <f t="shared" si="60"/>
        <v/>
      </c>
      <c r="EO40">
        <v>37</v>
      </c>
      <c r="EP40" s="128" t="str">
        <f>Data!B38</f>
        <v>BABAGANA FATIMA KARUMI</v>
      </c>
      <c r="EQ40" s="109"/>
      <c r="ER40" s="109"/>
      <c r="ES40" s="109"/>
      <c r="ET40" s="109"/>
      <c r="EU40" s="123">
        <f t="shared" si="61"/>
        <v>0</v>
      </c>
      <c r="EV40" s="123"/>
      <c r="EW40" s="123">
        <f t="shared" si="62"/>
        <v>0</v>
      </c>
      <c r="EX40" s="123" t="str">
        <f t="shared" si="63"/>
        <v/>
      </c>
      <c r="EY40" s="123" t="str">
        <f t="shared" si="64"/>
        <v/>
      </c>
      <c r="EZ40" s="123" t="str">
        <f t="shared" si="65"/>
        <v/>
      </c>
      <c r="FA40">
        <v>37</v>
      </c>
      <c r="FB40" s="108" t="str">
        <f>Data!B38</f>
        <v>BABAGANA FATIMA KARUMI</v>
      </c>
      <c r="FC40" s="109"/>
      <c r="FD40" s="109"/>
      <c r="FE40" s="109"/>
      <c r="FF40" s="109"/>
      <c r="FG40" s="129">
        <f t="shared" si="66"/>
        <v>0</v>
      </c>
      <c r="FH40" s="129"/>
      <c r="FI40" s="129">
        <f t="shared" si="67"/>
        <v>0</v>
      </c>
      <c r="FJ40" s="129" t="str">
        <f t="shared" si="68"/>
        <v/>
      </c>
      <c r="FK40" s="129" t="str">
        <f t="shared" si="69"/>
        <v/>
      </c>
      <c r="FL40" s="129" t="str">
        <f t="shared" si="70"/>
        <v/>
      </c>
      <c r="FM40">
        <v>37</v>
      </c>
      <c r="FN40" s="108" t="str">
        <f>Data!B38</f>
        <v>BABAGANA FATIMA KARUMI</v>
      </c>
      <c r="FO40" s="109"/>
      <c r="FP40" s="109"/>
      <c r="FQ40" s="109"/>
      <c r="FR40" s="109"/>
      <c r="FS40" s="130">
        <f t="shared" si="71"/>
        <v>0</v>
      </c>
      <c r="FT40" s="130"/>
      <c r="FU40" s="130">
        <f t="shared" si="72"/>
        <v>0</v>
      </c>
      <c r="FV40" s="130" t="str">
        <f t="shared" si="73"/>
        <v/>
      </c>
      <c r="FW40" s="130" t="str">
        <f t="shared" si="74"/>
        <v/>
      </c>
      <c r="FX40" s="130" t="str">
        <f t="shared" si="75"/>
        <v/>
      </c>
      <c r="FY40">
        <v>37</v>
      </c>
      <c r="FZ40" s="108" t="str">
        <f>Data!B38</f>
        <v>BABAGANA FATIMA KARUMI</v>
      </c>
      <c r="GA40" s="109">
        <v>6</v>
      </c>
      <c r="GB40" s="109">
        <v>8</v>
      </c>
      <c r="GC40" s="109">
        <v>9</v>
      </c>
      <c r="GD40" s="109">
        <v>8</v>
      </c>
      <c r="GE40" s="131">
        <f t="shared" si="76"/>
        <v>31</v>
      </c>
      <c r="GF40" s="131">
        <v>14</v>
      </c>
      <c r="GG40" s="131">
        <f t="shared" si="77"/>
        <v>45</v>
      </c>
      <c r="GH40" s="131">
        <f t="shared" si="78"/>
        <v>33</v>
      </c>
      <c r="GI40" s="131" t="str">
        <f t="shared" si="79"/>
        <v>D</v>
      </c>
      <c r="GJ40" s="131" t="str">
        <f t="shared" si="80"/>
        <v>Pass</v>
      </c>
      <c r="GK40">
        <v>37</v>
      </c>
      <c r="GL40" s="108" t="str">
        <f>Data!B38</f>
        <v>BABAGANA FATIMA KARUMI</v>
      </c>
      <c r="GM40" s="132"/>
      <c r="GN40" s="132"/>
      <c r="GO40" s="132"/>
      <c r="GP40" s="132"/>
      <c r="GQ40" s="133">
        <f t="shared" si="81"/>
        <v>0</v>
      </c>
      <c r="GR40" s="132"/>
      <c r="GS40" s="133">
        <f t="shared" si="82"/>
        <v>0</v>
      </c>
      <c r="GT40" s="133" t="str">
        <f t="shared" si="83"/>
        <v/>
      </c>
      <c r="GU40" s="133" t="str">
        <f t="shared" si="84"/>
        <v/>
      </c>
      <c r="GV40" s="133" t="str">
        <f t="shared" si="85"/>
        <v/>
      </c>
      <c r="GW40">
        <v>37</v>
      </c>
      <c r="GX40" s="108" t="str">
        <f>Data!B38</f>
        <v>BABAGANA FATIMA KARUMI</v>
      </c>
      <c r="GY40" s="109"/>
      <c r="GZ40" s="109"/>
      <c r="HA40" s="109"/>
      <c r="HB40" s="109"/>
      <c r="HC40" s="119">
        <f t="shared" si="86"/>
        <v>0</v>
      </c>
      <c r="HD40" s="119"/>
      <c r="HE40" s="119">
        <f t="shared" si="87"/>
        <v>0</v>
      </c>
      <c r="HF40" s="119" t="str">
        <f t="shared" si="88"/>
        <v/>
      </c>
      <c r="HG40" s="119" t="str">
        <f t="shared" si="89"/>
        <v/>
      </c>
      <c r="HH40" s="119" t="str">
        <f t="shared" si="90"/>
        <v/>
      </c>
      <c r="HI40">
        <v>37</v>
      </c>
      <c r="HJ40" s="108" t="str">
        <f>Data!B38</f>
        <v>BABAGANA FATIMA KARUMI</v>
      </c>
      <c r="HK40" s="144">
        <v>5</v>
      </c>
      <c r="HL40" s="145">
        <v>7</v>
      </c>
      <c r="HM40" s="145"/>
      <c r="HN40" s="145"/>
      <c r="HO40" s="136">
        <f t="shared" si="91"/>
        <v>12</v>
      </c>
      <c r="HP40" s="144"/>
      <c r="HQ40" s="136">
        <f t="shared" si="92"/>
        <v>12</v>
      </c>
      <c r="HR40" s="136">
        <f t="shared" si="93"/>
        <v>8</v>
      </c>
      <c r="HS40" s="136" t="str">
        <f t="shared" si="94"/>
        <v>F</v>
      </c>
      <c r="HT40" s="136" t="str">
        <f t="shared" si="95"/>
        <v>Fail</v>
      </c>
      <c r="HU40">
        <v>37</v>
      </c>
      <c r="HV40" s="108" t="str">
        <f>Data!B38</f>
        <v>BABAGANA FATIMA KARUMI</v>
      </c>
      <c r="HW40" s="109"/>
      <c r="HX40" s="109"/>
      <c r="HY40" s="109"/>
      <c r="HZ40" s="109"/>
      <c r="IA40" s="117">
        <f t="shared" si="96"/>
        <v>0</v>
      </c>
      <c r="IB40" s="117"/>
      <c r="IC40" s="117">
        <f t="shared" si="97"/>
        <v>0</v>
      </c>
      <c r="ID40" s="117" t="str">
        <f t="shared" si="98"/>
        <v/>
      </c>
      <c r="IE40" s="117" t="str">
        <f t="shared" si="99"/>
        <v/>
      </c>
      <c r="IF40" s="117" t="str">
        <f t="shared" si="100"/>
        <v/>
      </c>
      <c r="IG40">
        <v>37</v>
      </c>
      <c r="IH40" s="108" t="str">
        <f>Data!B38</f>
        <v>BABAGANA FATIMA KARUMI</v>
      </c>
      <c r="II40" s="109"/>
      <c r="IJ40" s="109"/>
      <c r="IK40" s="109"/>
      <c r="IL40" s="109"/>
      <c r="IM40" s="137">
        <f t="shared" si="101"/>
        <v>0</v>
      </c>
      <c r="IN40" s="137"/>
      <c r="IO40" s="137">
        <f t="shared" si="102"/>
        <v>0</v>
      </c>
      <c r="IP40" s="137" t="str">
        <f t="shared" si="103"/>
        <v/>
      </c>
      <c r="IQ40" s="137" t="str">
        <f t="shared" si="104"/>
        <v/>
      </c>
      <c r="IR40" s="137" t="str">
        <f t="shared" si="105"/>
        <v/>
      </c>
      <c r="IS40">
        <v>37</v>
      </c>
      <c r="IT40" s="108" t="str">
        <f t="shared" si="106"/>
        <v>BABAGANA FATIMA KARUMI</v>
      </c>
      <c r="IU40" s="138"/>
      <c r="IV40" s="138"/>
      <c r="IW40" s="138"/>
      <c r="IX40" s="138"/>
      <c r="IY40" s="131">
        <f t="shared" ref="IY40:IY53" si="129">SUM(IU40:IX40)</f>
        <v>0</v>
      </c>
      <c r="IZ40" s="138"/>
      <c r="JA40" s="131">
        <f t="shared" si="108"/>
        <v>0</v>
      </c>
      <c r="JB40" s="131" t="str">
        <f t="shared" si="109"/>
        <v/>
      </c>
      <c r="JC40" s="131" t="str">
        <f t="shared" si="110"/>
        <v/>
      </c>
      <c r="JD40" s="131" t="str">
        <f t="shared" si="111"/>
        <v/>
      </c>
      <c r="JE40">
        <v>37</v>
      </c>
      <c r="JF40" s="108" t="str">
        <f t="shared" si="112"/>
        <v>BABAGANA FATIMA KARUMI</v>
      </c>
      <c r="JG40" s="147"/>
      <c r="JH40" s="147"/>
      <c r="JI40" s="147"/>
      <c r="JJ40" s="147"/>
      <c r="JK40" s="113">
        <f t="shared" si="113"/>
        <v>0</v>
      </c>
      <c r="JL40" s="147"/>
      <c r="JM40" s="113">
        <f t="shared" si="114"/>
        <v>0</v>
      </c>
      <c r="JN40" s="113" t="str">
        <f t="shared" si="115"/>
        <v/>
      </c>
      <c r="JO40" s="113" t="str">
        <f t="shared" si="116"/>
        <v/>
      </c>
      <c r="JP40" s="113" t="str">
        <f t="shared" si="117"/>
        <v/>
      </c>
      <c r="JQ40">
        <v>37</v>
      </c>
      <c r="JR40" s="108" t="str">
        <f t="shared" si="118"/>
        <v>BABAGANA FATIMA KARUMI</v>
      </c>
      <c r="JS40" s="140"/>
      <c r="JT40" s="140"/>
      <c r="JU40" s="140"/>
      <c r="JV40" s="140"/>
      <c r="JW40" s="111">
        <f t="shared" si="119"/>
        <v>0</v>
      </c>
      <c r="JX40" s="141"/>
      <c r="JY40" s="111">
        <f t="shared" si="0"/>
        <v>0</v>
      </c>
      <c r="JZ40" s="111" t="str">
        <f t="shared" si="120"/>
        <v/>
      </c>
      <c r="KA40" s="111" t="str">
        <f t="shared" si="121"/>
        <v/>
      </c>
      <c r="KB40" s="111" t="str">
        <f t="shared" si="122"/>
        <v/>
      </c>
      <c r="KD40" s="47"/>
      <c r="KE40" s="47"/>
      <c r="KF40" s="47"/>
      <c r="KG40" s="47"/>
      <c r="KH40" s="47"/>
      <c r="KI40" s="47"/>
      <c r="KJ40" s="47"/>
      <c r="KK40" s="47"/>
      <c r="KM40" s="47"/>
      <c r="KN40" s="47"/>
      <c r="KO40" s="47"/>
      <c r="KP40" s="47"/>
      <c r="KQ40" s="47"/>
      <c r="KR40" s="47"/>
      <c r="KS40" s="47"/>
      <c r="KT40" s="47"/>
      <c r="KU40" s="47"/>
      <c r="KV40" s="47"/>
    </row>
    <row r="41" spans="1:308" ht="23.25">
      <c r="A41" s="211">
        <v>38</v>
      </c>
      <c r="B41" s="108" t="str">
        <f>Data!B39</f>
        <v>HARUNA RUTH AFFIKU</v>
      </c>
      <c r="C41" s="109">
        <v>9</v>
      </c>
      <c r="D41" s="109">
        <v>2</v>
      </c>
      <c r="E41" s="109">
        <v>1</v>
      </c>
      <c r="F41" s="109">
        <v>5</v>
      </c>
      <c r="G41" s="111">
        <f t="shared" si="125"/>
        <v>17</v>
      </c>
      <c r="H41" s="111">
        <v>24</v>
      </c>
      <c r="I41" s="111">
        <f t="shared" si="126"/>
        <v>41</v>
      </c>
      <c r="J41" s="110">
        <f t="shared" si="3"/>
        <v>19</v>
      </c>
      <c r="K41" s="110" t="str">
        <f t="shared" si="4"/>
        <v>E8</v>
      </c>
      <c r="L41" s="110" t="str">
        <f t="shared" si="5"/>
        <v>Pass</v>
      </c>
      <c r="M41" s="48">
        <v>38</v>
      </c>
      <c r="N41" s="108" t="str">
        <f>Data!B39</f>
        <v>HARUNA RUTH AFFIKU</v>
      </c>
      <c r="O41" s="109"/>
      <c r="P41" s="109"/>
      <c r="Q41" s="109"/>
      <c r="R41" s="109"/>
      <c r="S41" s="111">
        <f t="shared" si="6"/>
        <v>0</v>
      </c>
      <c r="T41" s="111"/>
      <c r="U41" s="111">
        <f t="shared" si="7"/>
        <v>0</v>
      </c>
      <c r="V41" s="111" t="str">
        <f t="shared" si="8"/>
        <v/>
      </c>
      <c r="W41" s="111" t="str">
        <f t="shared" si="9"/>
        <v/>
      </c>
      <c r="X41" s="111" t="str">
        <f t="shared" si="10"/>
        <v/>
      </c>
      <c r="Y41" s="42">
        <v>38</v>
      </c>
      <c r="Z41" s="108" t="str">
        <f>Data!B39</f>
        <v>HARUNA RUTH AFFIKU</v>
      </c>
      <c r="AA41" s="109">
        <v>9</v>
      </c>
      <c r="AB41" s="109">
        <v>2</v>
      </c>
      <c r="AC41" s="109">
        <v>1</v>
      </c>
      <c r="AD41" s="109">
        <v>5</v>
      </c>
      <c r="AE41" s="111">
        <f t="shared" si="127"/>
        <v>17</v>
      </c>
      <c r="AF41" s="112">
        <v>42</v>
      </c>
      <c r="AG41" s="113">
        <f t="shared" si="12"/>
        <v>59</v>
      </c>
      <c r="AH41" s="113">
        <f t="shared" si="13"/>
        <v>17</v>
      </c>
      <c r="AI41" s="113" t="str">
        <f t="shared" si="14"/>
        <v>C5</v>
      </c>
      <c r="AJ41" s="113" t="str">
        <f t="shared" si="15"/>
        <v>Credit</v>
      </c>
      <c r="AK41" s="42">
        <v>38</v>
      </c>
      <c r="AL41" s="108" t="str">
        <f>Data!B39</f>
        <v>HARUNA RUTH AFFIKU</v>
      </c>
      <c r="AM41" s="114"/>
      <c r="AN41" s="114"/>
      <c r="AO41" s="114"/>
      <c r="AP41" s="114"/>
      <c r="AQ41" s="115">
        <f t="shared" si="16"/>
        <v>0</v>
      </c>
      <c r="AR41" s="114"/>
      <c r="AS41" s="115">
        <f t="shared" si="17"/>
        <v>0</v>
      </c>
      <c r="AT41" s="115" t="str">
        <f t="shared" si="18"/>
        <v/>
      </c>
      <c r="AU41" s="115" t="str">
        <f t="shared" si="19"/>
        <v/>
      </c>
      <c r="AV41" s="115" t="str">
        <f t="shared" si="20"/>
        <v/>
      </c>
      <c r="AW41" s="42">
        <v>38</v>
      </c>
      <c r="AX41" s="108" t="str">
        <f>Data!B39</f>
        <v>HARUNA RUTH AFFIKU</v>
      </c>
      <c r="AY41" s="116"/>
      <c r="AZ41" s="116"/>
      <c r="BA41" s="116"/>
      <c r="BB41" s="116"/>
      <c r="BC41" s="117">
        <f t="shared" si="21"/>
        <v>0</v>
      </c>
      <c r="BD41" s="116"/>
      <c r="BE41" s="117">
        <f t="shared" si="22"/>
        <v>0</v>
      </c>
      <c r="BF41" s="117" t="str">
        <f t="shared" si="23"/>
        <v/>
      </c>
      <c r="BG41" s="117" t="str">
        <f t="shared" si="24"/>
        <v/>
      </c>
      <c r="BH41" s="117" t="str">
        <f t="shared" si="25"/>
        <v/>
      </c>
      <c r="BI41" s="67">
        <v>38</v>
      </c>
      <c r="BJ41" s="108" t="str">
        <f>Data!B39</f>
        <v>HARUNA RUTH AFFIKU</v>
      </c>
      <c r="BK41" s="118"/>
      <c r="BL41" s="118"/>
      <c r="BM41" s="118"/>
      <c r="BN41" s="118"/>
      <c r="BO41" s="119">
        <f t="shared" si="128"/>
        <v>0</v>
      </c>
      <c r="BP41" s="118"/>
      <c r="BQ41" s="119">
        <f t="shared" si="27"/>
        <v>0</v>
      </c>
      <c r="BR41" s="119" t="str">
        <f t="shared" si="28"/>
        <v/>
      </c>
      <c r="BS41" s="119" t="str">
        <f t="shared" si="29"/>
        <v/>
      </c>
      <c r="BT41" s="119" t="str">
        <f t="shared" si="30"/>
        <v/>
      </c>
      <c r="BU41">
        <v>38</v>
      </c>
      <c r="BV41" s="108" t="str">
        <f>Data!B39</f>
        <v>HARUNA RUTH AFFIKU</v>
      </c>
      <c r="BW41" s="120">
        <v>7</v>
      </c>
      <c r="BX41" s="120">
        <v>4</v>
      </c>
      <c r="BY41" s="120">
        <v>10</v>
      </c>
      <c r="BZ41" s="120">
        <v>8</v>
      </c>
      <c r="CA41" s="121">
        <f t="shared" si="31"/>
        <v>29</v>
      </c>
      <c r="CB41" s="120">
        <v>31</v>
      </c>
      <c r="CC41" s="121">
        <f t="shared" si="32"/>
        <v>60</v>
      </c>
      <c r="CD41" s="121">
        <f t="shared" si="33"/>
        <v>14</v>
      </c>
      <c r="CE41" s="121" t="str">
        <f t="shared" si="34"/>
        <v>C4</v>
      </c>
      <c r="CF41" s="121" t="str">
        <f t="shared" si="35"/>
        <v>Credit</v>
      </c>
      <c r="CG41">
        <v>38</v>
      </c>
      <c r="CH41" s="108" t="str">
        <f>Data!B39</f>
        <v>HARUNA RUTH AFFIKU</v>
      </c>
      <c r="CI41" s="109"/>
      <c r="CJ41" s="109"/>
      <c r="CK41" s="109"/>
      <c r="CL41" s="109"/>
      <c r="CM41" s="122">
        <f t="shared" si="36"/>
        <v>0</v>
      </c>
      <c r="CN41" s="122"/>
      <c r="CO41" s="122">
        <f t="shared" si="37"/>
        <v>0</v>
      </c>
      <c r="CP41" s="122" t="str">
        <f t="shared" si="38"/>
        <v/>
      </c>
      <c r="CQ41" s="122" t="str">
        <f t="shared" si="39"/>
        <v/>
      </c>
      <c r="CR41" s="122" t="str">
        <f t="shared" si="40"/>
        <v/>
      </c>
      <c r="CS41">
        <v>38</v>
      </c>
      <c r="CT41" s="108" t="str">
        <f>Data!B39</f>
        <v>HARUNA RUTH AFFIKU</v>
      </c>
      <c r="CU41" s="43"/>
      <c r="CV41" s="43"/>
      <c r="CW41" s="43"/>
      <c r="CX41" s="43"/>
      <c r="CY41" s="123">
        <f t="shared" si="41"/>
        <v>0</v>
      </c>
      <c r="CZ41" s="43"/>
      <c r="DA41" s="123">
        <f t="shared" si="42"/>
        <v>0</v>
      </c>
      <c r="DB41" s="123" t="str">
        <f t="shared" si="43"/>
        <v/>
      </c>
      <c r="DC41" s="123" t="str">
        <f t="shared" si="44"/>
        <v/>
      </c>
      <c r="DD41" s="123" t="str">
        <f t="shared" si="45"/>
        <v/>
      </c>
      <c r="DE41">
        <v>38</v>
      </c>
      <c r="DF41" s="108" t="str">
        <f>Data!B39</f>
        <v>HARUNA RUTH AFFIKU</v>
      </c>
      <c r="DG41" s="109"/>
      <c r="DH41" s="109"/>
      <c r="DI41" s="109"/>
      <c r="DJ41" s="109"/>
      <c r="DK41" s="117">
        <f t="shared" si="46"/>
        <v>0</v>
      </c>
      <c r="DL41" s="116"/>
      <c r="DM41" s="117">
        <f t="shared" si="47"/>
        <v>0</v>
      </c>
      <c r="DN41" s="117" t="str">
        <f t="shared" si="48"/>
        <v/>
      </c>
      <c r="DO41" s="117" t="str">
        <f t="shared" si="49"/>
        <v/>
      </c>
      <c r="DP41" s="117" t="str">
        <f t="shared" si="50"/>
        <v/>
      </c>
      <c r="DQ41">
        <v>38</v>
      </c>
      <c r="DR41" s="108" t="str">
        <f>Data!B39</f>
        <v>HARUNA RUTH AFFIKU</v>
      </c>
      <c r="DS41" s="124"/>
      <c r="DT41" s="124"/>
      <c r="DU41" s="124"/>
      <c r="DV41" s="124"/>
      <c r="DW41" s="125">
        <f t="shared" si="51"/>
        <v>0</v>
      </c>
      <c r="DX41" s="126"/>
      <c r="DY41" s="125">
        <f t="shared" si="52"/>
        <v>0</v>
      </c>
      <c r="DZ41" s="125" t="str">
        <f t="shared" si="53"/>
        <v/>
      </c>
      <c r="EA41" s="125" t="str">
        <f t="shared" si="54"/>
        <v/>
      </c>
      <c r="EB41" s="125" t="str">
        <f t="shared" si="55"/>
        <v/>
      </c>
      <c r="EC41">
        <v>38</v>
      </c>
      <c r="ED41" s="108" t="str">
        <f>Data!B39</f>
        <v>HARUNA RUTH AFFIKU</v>
      </c>
      <c r="EE41" s="109"/>
      <c r="EF41" s="109"/>
      <c r="EG41" s="109"/>
      <c r="EH41" s="109"/>
      <c r="EI41" s="127">
        <f t="shared" si="56"/>
        <v>0</v>
      </c>
      <c r="EJ41" s="127"/>
      <c r="EK41" s="127">
        <f t="shared" si="57"/>
        <v>0</v>
      </c>
      <c r="EL41" s="127" t="str">
        <f t="shared" si="58"/>
        <v/>
      </c>
      <c r="EM41" s="127" t="str">
        <f t="shared" si="59"/>
        <v/>
      </c>
      <c r="EN41" s="127" t="str">
        <f t="shared" si="60"/>
        <v/>
      </c>
      <c r="EO41">
        <v>38</v>
      </c>
      <c r="EP41" s="128" t="str">
        <f>Data!B39</f>
        <v>HARUNA RUTH AFFIKU</v>
      </c>
      <c r="EQ41" s="109"/>
      <c r="ER41" s="109"/>
      <c r="ES41" s="109"/>
      <c r="ET41" s="109"/>
      <c r="EU41" s="123">
        <f t="shared" si="61"/>
        <v>0</v>
      </c>
      <c r="EV41" s="123"/>
      <c r="EW41" s="123">
        <f t="shared" si="62"/>
        <v>0</v>
      </c>
      <c r="EX41" s="123" t="str">
        <f t="shared" si="63"/>
        <v/>
      </c>
      <c r="EY41" s="123" t="str">
        <f t="shared" si="64"/>
        <v/>
      </c>
      <c r="EZ41" s="123" t="str">
        <f t="shared" si="65"/>
        <v/>
      </c>
      <c r="FA41">
        <v>38</v>
      </c>
      <c r="FB41" s="108" t="str">
        <f>Data!B39</f>
        <v>HARUNA RUTH AFFIKU</v>
      </c>
      <c r="FC41" s="109"/>
      <c r="FD41" s="109"/>
      <c r="FE41" s="109"/>
      <c r="FF41" s="109"/>
      <c r="FG41" s="129">
        <f t="shared" si="66"/>
        <v>0</v>
      </c>
      <c r="FH41" s="129"/>
      <c r="FI41" s="129">
        <f t="shared" si="67"/>
        <v>0</v>
      </c>
      <c r="FJ41" s="129" t="str">
        <f t="shared" si="68"/>
        <v/>
      </c>
      <c r="FK41" s="129" t="str">
        <f t="shared" si="69"/>
        <v/>
      </c>
      <c r="FL41" s="129" t="str">
        <f t="shared" si="70"/>
        <v/>
      </c>
      <c r="FM41">
        <v>38</v>
      </c>
      <c r="FN41" s="108" t="str">
        <f>Data!B39</f>
        <v>HARUNA RUTH AFFIKU</v>
      </c>
      <c r="FO41" s="109"/>
      <c r="FP41" s="109"/>
      <c r="FQ41" s="109"/>
      <c r="FR41" s="109"/>
      <c r="FS41" s="130">
        <f t="shared" si="71"/>
        <v>0</v>
      </c>
      <c r="FT41" s="130"/>
      <c r="FU41" s="130">
        <f t="shared" si="72"/>
        <v>0</v>
      </c>
      <c r="FV41" s="130" t="str">
        <f t="shared" si="73"/>
        <v/>
      </c>
      <c r="FW41" s="130" t="str">
        <f t="shared" si="74"/>
        <v/>
      </c>
      <c r="FX41" s="130" t="str">
        <f t="shared" si="75"/>
        <v/>
      </c>
      <c r="FY41">
        <v>38</v>
      </c>
      <c r="FZ41" s="108" t="str">
        <f>Data!B39</f>
        <v>HARUNA RUTH AFFIKU</v>
      </c>
      <c r="GA41" s="109">
        <v>8</v>
      </c>
      <c r="GB41" s="109">
        <v>8</v>
      </c>
      <c r="GC41" s="109">
        <v>9</v>
      </c>
      <c r="GD41" s="109">
        <v>8</v>
      </c>
      <c r="GE41" s="131">
        <f t="shared" si="76"/>
        <v>33</v>
      </c>
      <c r="GF41" s="131">
        <v>27</v>
      </c>
      <c r="GG41" s="131">
        <f t="shared" si="77"/>
        <v>60</v>
      </c>
      <c r="GH41" s="131">
        <f t="shared" si="78"/>
        <v>12</v>
      </c>
      <c r="GI41" s="131" t="str">
        <f t="shared" si="79"/>
        <v>C</v>
      </c>
      <c r="GJ41" s="131" t="str">
        <f t="shared" si="80"/>
        <v>Credit</v>
      </c>
      <c r="GK41">
        <v>38</v>
      </c>
      <c r="GL41" s="108" t="str">
        <f>Data!B39</f>
        <v>HARUNA RUTH AFFIKU</v>
      </c>
      <c r="GM41" s="132"/>
      <c r="GN41" s="132"/>
      <c r="GO41" s="132"/>
      <c r="GP41" s="132"/>
      <c r="GQ41" s="133">
        <f t="shared" si="81"/>
        <v>0</v>
      </c>
      <c r="GR41" s="132"/>
      <c r="GS41" s="133">
        <f t="shared" si="82"/>
        <v>0</v>
      </c>
      <c r="GT41" s="133" t="str">
        <f t="shared" si="83"/>
        <v/>
      </c>
      <c r="GU41" s="133" t="str">
        <f t="shared" si="84"/>
        <v/>
      </c>
      <c r="GV41" s="133" t="str">
        <f t="shared" si="85"/>
        <v/>
      </c>
      <c r="GW41">
        <v>38</v>
      </c>
      <c r="GX41" s="108" t="str">
        <f>Data!B39</f>
        <v>HARUNA RUTH AFFIKU</v>
      </c>
      <c r="GY41" s="109"/>
      <c r="GZ41" s="109"/>
      <c r="HA41" s="109"/>
      <c r="HB41" s="109"/>
      <c r="HC41" s="119">
        <f t="shared" si="86"/>
        <v>0</v>
      </c>
      <c r="HD41" s="119"/>
      <c r="HE41" s="119">
        <f t="shared" si="87"/>
        <v>0</v>
      </c>
      <c r="HF41" s="119" t="str">
        <f t="shared" si="88"/>
        <v/>
      </c>
      <c r="HG41" s="119" t="str">
        <f t="shared" si="89"/>
        <v/>
      </c>
      <c r="HH41" s="119" t="str">
        <f t="shared" si="90"/>
        <v/>
      </c>
      <c r="HI41">
        <v>38</v>
      </c>
      <c r="HJ41" s="108" t="str">
        <f>Data!B39</f>
        <v>HARUNA RUTH AFFIKU</v>
      </c>
      <c r="HK41" s="144"/>
      <c r="HL41" s="145"/>
      <c r="HM41" s="145"/>
      <c r="HN41" s="145"/>
      <c r="HO41" s="136">
        <f t="shared" si="91"/>
        <v>0</v>
      </c>
      <c r="HP41" s="144"/>
      <c r="HQ41" s="136">
        <f t="shared" si="92"/>
        <v>0</v>
      </c>
      <c r="HR41" s="136" t="str">
        <f t="shared" si="93"/>
        <v/>
      </c>
      <c r="HS41" s="136" t="str">
        <f t="shared" si="94"/>
        <v/>
      </c>
      <c r="HT41" s="136" t="str">
        <f t="shared" si="95"/>
        <v/>
      </c>
      <c r="HU41">
        <v>38</v>
      </c>
      <c r="HV41" s="108" t="str">
        <f>Data!B39</f>
        <v>HARUNA RUTH AFFIKU</v>
      </c>
      <c r="HW41" s="109"/>
      <c r="HX41" s="109"/>
      <c r="HY41" s="109"/>
      <c r="HZ41" s="109"/>
      <c r="IA41" s="117">
        <f t="shared" si="96"/>
        <v>0</v>
      </c>
      <c r="IB41" s="117"/>
      <c r="IC41" s="117">
        <f t="shared" si="97"/>
        <v>0</v>
      </c>
      <c r="ID41" s="117" t="str">
        <f t="shared" si="98"/>
        <v/>
      </c>
      <c r="IE41" s="117" t="str">
        <f t="shared" si="99"/>
        <v/>
      </c>
      <c r="IF41" s="117" t="str">
        <f t="shared" si="100"/>
        <v/>
      </c>
      <c r="IG41">
        <v>38</v>
      </c>
      <c r="IH41" s="108" t="str">
        <f>Data!B39</f>
        <v>HARUNA RUTH AFFIKU</v>
      </c>
      <c r="II41" s="109"/>
      <c r="IJ41" s="109"/>
      <c r="IK41" s="109"/>
      <c r="IL41" s="109"/>
      <c r="IM41" s="137">
        <f t="shared" si="101"/>
        <v>0</v>
      </c>
      <c r="IN41" s="137"/>
      <c r="IO41" s="137">
        <f t="shared" si="102"/>
        <v>0</v>
      </c>
      <c r="IP41" s="137" t="str">
        <f t="shared" si="103"/>
        <v/>
      </c>
      <c r="IQ41" s="137" t="str">
        <f t="shared" si="104"/>
        <v/>
      </c>
      <c r="IR41" s="137" t="str">
        <f t="shared" si="105"/>
        <v/>
      </c>
      <c r="IS41">
        <v>38</v>
      </c>
      <c r="IT41" s="108" t="str">
        <f t="shared" si="106"/>
        <v>HARUNA RUTH AFFIKU</v>
      </c>
      <c r="IU41" s="138"/>
      <c r="IV41" s="138"/>
      <c r="IW41" s="138"/>
      <c r="IX41" s="138"/>
      <c r="IY41" s="131">
        <f t="shared" si="129"/>
        <v>0</v>
      </c>
      <c r="IZ41" s="138"/>
      <c r="JA41" s="131">
        <f t="shared" si="108"/>
        <v>0</v>
      </c>
      <c r="JB41" s="131" t="str">
        <f t="shared" si="109"/>
        <v/>
      </c>
      <c r="JC41" s="131" t="str">
        <f t="shared" si="110"/>
        <v/>
      </c>
      <c r="JD41" s="131" t="str">
        <f t="shared" si="111"/>
        <v/>
      </c>
      <c r="JE41">
        <v>38</v>
      </c>
      <c r="JF41" s="108" t="str">
        <f t="shared" si="112"/>
        <v>HARUNA RUTH AFFIKU</v>
      </c>
      <c r="JG41" s="147"/>
      <c r="JH41" s="147"/>
      <c r="JI41" s="147"/>
      <c r="JJ41" s="147"/>
      <c r="JK41" s="113">
        <f t="shared" si="113"/>
        <v>0</v>
      </c>
      <c r="JL41" s="147"/>
      <c r="JM41" s="113">
        <f t="shared" si="114"/>
        <v>0</v>
      </c>
      <c r="JN41" s="113" t="str">
        <f t="shared" si="115"/>
        <v/>
      </c>
      <c r="JO41" s="113" t="str">
        <f t="shared" si="116"/>
        <v/>
      </c>
      <c r="JP41" s="113" t="str">
        <f t="shared" si="117"/>
        <v/>
      </c>
      <c r="JQ41">
        <v>38</v>
      </c>
      <c r="JR41" s="108" t="str">
        <f t="shared" si="118"/>
        <v>HARUNA RUTH AFFIKU</v>
      </c>
      <c r="JS41" s="140"/>
      <c r="JT41" s="140"/>
      <c r="JU41" s="140"/>
      <c r="JV41" s="140"/>
      <c r="JW41" s="111">
        <f t="shared" si="119"/>
        <v>0</v>
      </c>
      <c r="JX41" s="141"/>
      <c r="JY41" s="111">
        <f t="shared" si="0"/>
        <v>0</v>
      </c>
      <c r="JZ41" s="111" t="str">
        <f t="shared" si="120"/>
        <v/>
      </c>
      <c r="KA41" s="111" t="str">
        <f t="shared" si="121"/>
        <v/>
      </c>
      <c r="KB41" s="111" t="str">
        <f t="shared" si="122"/>
        <v/>
      </c>
      <c r="KD41" s="47"/>
      <c r="KE41" s="47"/>
      <c r="KF41" s="47"/>
      <c r="KG41" s="47"/>
      <c r="KH41" s="47"/>
      <c r="KI41" s="47"/>
      <c r="KJ41" s="47"/>
      <c r="KK41" s="47"/>
      <c r="KM41" s="47"/>
      <c r="KN41" s="47"/>
      <c r="KO41" s="47"/>
      <c r="KP41" s="47"/>
      <c r="KQ41" s="47"/>
      <c r="KR41" s="47"/>
      <c r="KS41" s="47"/>
      <c r="KT41" s="47"/>
      <c r="KU41" s="47"/>
      <c r="KV41" s="47"/>
    </row>
    <row r="42" spans="1:308" ht="23.25">
      <c r="A42" s="211">
        <v>39</v>
      </c>
      <c r="B42" s="108" t="str">
        <f>Data!B40</f>
        <v>HABILA ROSE</v>
      </c>
      <c r="C42" s="109"/>
      <c r="D42" s="109"/>
      <c r="E42" s="109"/>
      <c r="F42" s="109"/>
      <c r="G42" s="111">
        <f t="shared" si="125"/>
        <v>0</v>
      </c>
      <c r="H42" s="111"/>
      <c r="I42" s="111">
        <f t="shared" si="126"/>
        <v>0</v>
      </c>
      <c r="J42" s="110" t="str">
        <f t="shared" si="3"/>
        <v/>
      </c>
      <c r="K42" s="110" t="str">
        <f t="shared" si="4"/>
        <v/>
      </c>
      <c r="L42" s="110" t="str">
        <f t="shared" si="5"/>
        <v/>
      </c>
      <c r="M42" s="48">
        <v>39</v>
      </c>
      <c r="N42" s="108" t="str">
        <f>Data!B40</f>
        <v>HABILA ROSE</v>
      </c>
      <c r="O42" s="109"/>
      <c r="P42" s="109"/>
      <c r="Q42" s="109"/>
      <c r="R42" s="109"/>
      <c r="S42" s="111">
        <f t="shared" si="6"/>
        <v>0</v>
      </c>
      <c r="T42" s="111"/>
      <c r="U42" s="111">
        <f t="shared" si="7"/>
        <v>0</v>
      </c>
      <c r="V42" s="111" t="str">
        <f t="shared" si="8"/>
        <v/>
      </c>
      <c r="W42" s="111" t="str">
        <f t="shared" si="9"/>
        <v/>
      </c>
      <c r="X42" s="111" t="str">
        <f t="shared" si="10"/>
        <v/>
      </c>
      <c r="Y42" s="42">
        <v>39</v>
      </c>
      <c r="Z42" s="108" t="str">
        <f>Data!B40</f>
        <v>HABILA ROSE</v>
      </c>
      <c r="AA42" s="109"/>
      <c r="AB42" s="109"/>
      <c r="AC42" s="109"/>
      <c r="AD42" s="109"/>
      <c r="AE42" s="111">
        <f t="shared" si="127"/>
        <v>0</v>
      </c>
      <c r="AF42" s="112">
        <v>42</v>
      </c>
      <c r="AG42" s="113">
        <f t="shared" si="12"/>
        <v>42</v>
      </c>
      <c r="AH42" s="113">
        <f t="shared" si="13"/>
        <v>40</v>
      </c>
      <c r="AI42" s="113" t="str">
        <f t="shared" si="14"/>
        <v>E8</v>
      </c>
      <c r="AJ42" s="113" t="str">
        <f t="shared" si="15"/>
        <v>Pass</v>
      </c>
      <c r="AK42" s="42">
        <v>39</v>
      </c>
      <c r="AL42" s="108" t="str">
        <f>Data!B40</f>
        <v>HABILA ROSE</v>
      </c>
      <c r="AM42" s="114"/>
      <c r="AN42" s="114"/>
      <c r="AO42" s="114"/>
      <c r="AP42" s="114"/>
      <c r="AQ42" s="115">
        <f t="shared" si="16"/>
        <v>0</v>
      </c>
      <c r="AR42" s="114"/>
      <c r="AS42" s="115">
        <f t="shared" si="17"/>
        <v>0</v>
      </c>
      <c r="AT42" s="115" t="str">
        <f t="shared" si="18"/>
        <v/>
      </c>
      <c r="AU42" s="115" t="str">
        <f t="shared" si="19"/>
        <v/>
      </c>
      <c r="AV42" s="115" t="str">
        <f t="shared" si="20"/>
        <v/>
      </c>
      <c r="AW42" s="42">
        <v>39</v>
      </c>
      <c r="AX42" s="108" t="str">
        <f>Data!B40</f>
        <v>HABILA ROSE</v>
      </c>
      <c r="AY42" s="116"/>
      <c r="AZ42" s="116"/>
      <c r="BA42" s="116"/>
      <c r="BB42" s="116"/>
      <c r="BC42" s="117">
        <f t="shared" si="21"/>
        <v>0</v>
      </c>
      <c r="BD42" s="116"/>
      <c r="BE42" s="117">
        <f t="shared" si="22"/>
        <v>0</v>
      </c>
      <c r="BF42" s="117" t="str">
        <f t="shared" si="23"/>
        <v/>
      </c>
      <c r="BG42" s="117" t="str">
        <f t="shared" si="24"/>
        <v/>
      </c>
      <c r="BH42" s="117" t="str">
        <f t="shared" si="25"/>
        <v/>
      </c>
      <c r="BI42" s="67">
        <v>39</v>
      </c>
      <c r="BJ42" s="108" t="str">
        <f>Data!B40</f>
        <v>HABILA ROSE</v>
      </c>
      <c r="BK42" s="118"/>
      <c r="BL42" s="118"/>
      <c r="BM42" s="118"/>
      <c r="BN42" s="118"/>
      <c r="BO42" s="119">
        <f t="shared" si="128"/>
        <v>0</v>
      </c>
      <c r="BP42" s="118"/>
      <c r="BQ42" s="119">
        <f t="shared" si="27"/>
        <v>0</v>
      </c>
      <c r="BR42" s="119" t="str">
        <f t="shared" si="28"/>
        <v/>
      </c>
      <c r="BS42" s="119" t="str">
        <f t="shared" si="29"/>
        <v/>
      </c>
      <c r="BT42" s="119" t="str">
        <f t="shared" si="30"/>
        <v/>
      </c>
      <c r="BU42">
        <v>39</v>
      </c>
      <c r="BV42" s="108" t="str">
        <f>Data!B40</f>
        <v>HABILA ROSE</v>
      </c>
      <c r="BW42" s="120">
        <v>6</v>
      </c>
      <c r="BX42" s="120">
        <v>6</v>
      </c>
      <c r="BY42" s="120">
        <v>10</v>
      </c>
      <c r="BZ42" s="120">
        <v>8</v>
      </c>
      <c r="CA42" s="121">
        <f t="shared" si="31"/>
        <v>30</v>
      </c>
      <c r="CB42" s="120">
        <v>28</v>
      </c>
      <c r="CC42" s="121">
        <f t="shared" si="32"/>
        <v>58</v>
      </c>
      <c r="CD42" s="121">
        <f t="shared" si="33"/>
        <v>16</v>
      </c>
      <c r="CE42" s="121" t="str">
        <f t="shared" si="34"/>
        <v>C5</v>
      </c>
      <c r="CF42" s="121" t="str">
        <f t="shared" si="35"/>
        <v>Credit</v>
      </c>
      <c r="CG42">
        <v>39</v>
      </c>
      <c r="CH42" s="108" t="str">
        <f>Data!B40</f>
        <v>HABILA ROSE</v>
      </c>
      <c r="CI42" s="109"/>
      <c r="CJ42" s="109"/>
      <c r="CK42" s="109"/>
      <c r="CL42" s="109"/>
      <c r="CM42" s="122">
        <f t="shared" si="36"/>
        <v>0</v>
      </c>
      <c r="CN42" s="122"/>
      <c r="CO42" s="122">
        <f t="shared" si="37"/>
        <v>0</v>
      </c>
      <c r="CP42" s="122" t="str">
        <f t="shared" si="38"/>
        <v/>
      </c>
      <c r="CQ42" s="122" t="str">
        <f t="shared" si="39"/>
        <v/>
      </c>
      <c r="CR42" s="122" t="str">
        <f t="shared" si="40"/>
        <v/>
      </c>
      <c r="CS42">
        <v>39</v>
      </c>
      <c r="CT42" s="108" t="str">
        <f>Data!B40</f>
        <v>HABILA ROSE</v>
      </c>
      <c r="CU42" s="43"/>
      <c r="CV42" s="43"/>
      <c r="CW42" s="43"/>
      <c r="CX42" s="43"/>
      <c r="CY42" s="123">
        <f t="shared" si="41"/>
        <v>0</v>
      </c>
      <c r="CZ42" s="43"/>
      <c r="DA42" s="123">
        <f t="shared" si="42"/>
        <v>0</v>
      </c>
      <c r="DB42" s="123" t="str">
        <f t="shared" si="43"/>
        <v/>
      </c>
      <c r="DC42" s="123" t="str">
        <f t="shared" si="44"/>
        <v/>
      </c>
      <c r="DD42" s="123" t="str">
        <f t="shared" si="45"/>
        <v/>
      </c>
      <c r="DE42">
        <v>39</v>
      </c>
      <c r="DF42" s="108" t="str">
        <f>Data!B40</f>
        <v>HABILA ROSE</v>
      </c>
      <c r="DG42" s="109"/>
      <c r="DH42" s="109"/>
      <c r="DI42" s="109"/>
      <c r="DJ42" s="109"/>
      <c r="DK42" s="117">
        <f t="shared" si="46"/>
        <v>0</v>
      </c>
      <c r="DL42" s="116"/>
      <c r="DM42" s="117">
        <f t="shared" si="47"/>
        <v>0</v>
      </c>
      <c r="DN42" s="117" t="str">
        <f t="shared" si="48"/>
        <v/>
      </c>
      <c r="DO42" s="117" t="str">
        <f t="shared" si="49"/>
        <v/>
      </c>
      <c r="DP42" s="117" t="str">
        <f t="shared" si="50"/>
        <v/>
      </c>
      <c r="DQ42">
        <v>39</v>
      </c>
      <c r="DR42" s="108" t="str">
        <f>Data!B40</f>
        <v>HABILA ROSE</v>
      </c>
      <c r="DS42" s="124"/>
      <c r="DT42" s="124"/>
      <c r="DU42" s="124"/>
      <c r="DV42" s="124"/>
      <c r="DW42" s="125">
        <f t="shared" si="51"/>
        <v>0</v>
      </c>
      <c r="DX42" s="126"/>
      <c r="DY42" s="125">
        <f t="shared" si="52"/>
        <v>0</v>
      </c>
      <c r="DZ42" s="125" t="str">
        <f t="shared" si="53"/>
        <v/>
      </c>
      <c r="EA42" s="125" t="str">
        <f t="shared" si="54"/>
        <v/>
      </c>
      <c r="EB42" s="125" t="str">
        <f t="shared" si="55"/>
        <v/>
      </c>
      <c r="EC42">
        <v>39</v>
      </c>
      <c r="ED42" s="108" t="str">
        <f>Data!B40</f>
        <v>HABILA ROSE</v>
      </c>
      <c r="EE42" s="109"/>
      <c r="EF42" s="109"/>
      <c r="EG42" s="109"/>
      <c r="EH42" s="109"/>
      <c r="EI42" s="127">
        <f t="shared" si="56"/>
        <v>0</v>
      </c>
      <c r="EJ42" s="127"/>
      <c r="EK42" s="127">
        <f t="shared" si="57"/>
        <v>0</v>
      </c>
      <c r="EL42" s="127" t="str">
        <f t="shared" si="58"/>
        <v/>
      </c>
      <c r="EM42" s="127" t="str">
        <f t="shared" si="59"/>
        <v/>
      </c>
      <c r="EN42" s="127" t="str">
        <f t="shared" si="60"/>
        <v/>
      </c>
      <c r="EO42">
        <v>39</v>
      </c>
      <c r="EP42" s="128" t="str">
        <f>Data!B40</f>
        <v>HABILA ROSE</v>
      </c>
      <c r="EQ42" s="109"/>
      <c r="ER42" s="109"/>
      <c r="ES42" s="109"/>
      <c r="ET42" s="109"/>
      <c r="EU42" s="123">
        <f t="shared" si="61"/>
        <v>0</v>
      </c>
      <c r="EV42" s="123"/>
      <c r="EW42" s="123">
        <f t="shared" si="62"/>
        <v>0</v>
      </c>
      <c r="EX42" s="123" t="str">
        <f t="shared" si="63"/>
        <v/>
      </c>
      <c r="EY42" s="123" t="str">
        <f t="shared" si="64"/>
        <v/>
      </c>
      <c r="EZ42" s="123" t="str">
        <f t="shared" si="65"/>
        <v/>
      </c>
      <c r="FA42">
        <v>39</v>
      </c>
      <c r="FB42" s="108" t="str">
        <f>Data!B40</f>
        <v>HABILA ROSE</v>
      </c>
      <c r="FC42" s="109"/>
      <c r="FD42" s="109"/>
      <c r="FE42" s="109"/>
      <c r="FF42" s="109"/>
      <c r="FG42" s="129">
        <f t="shared" si="66"/>
        <v>0</v>
      </c>
      <c r="FH42" s="129"/>
      <c r="FI42" s="129">
        <f t="shared" si="67"/>
        <v>0</v>
      </c>
      <c r="FJ42" s="129" t="str">
        <f t="shared" si="68"/>
        <v/>
      </c>
      <c r="FK42" s="129" t="str">
        <f t="shared" si="69"/>
        <v/>
      </c>
      <c r="FL42" s="129" t="str">
        <f t="shared" si="70"/>
        <v/>
      </c>
      <c r="FM42">
        <v>39</v>
      </c>
      <c r="FN42" s="108" t="str">
        <f>Data!B40</f>
        <v>HABILA ROSE</v>
      </c>
      <c r="FO42" s="109"/>
      <c r="FP42" s="109"/>
      <c r="FQ42" s="109"/>
      <c r="FR42" s="109"/>
      <c r="FS42" s="130">
        <f t="shared" si="71"/>
        <v>0</v>
      </c>
      <c r="FT42" s="130"/>
      <c r="FU42" s="130">
        <f t="shared" si="72"/>
        <v>0</v>
      </c>
      <c r="FV42" s="130" t="str">
        <f t="shared" si="73"/>
        <v/>
      </c>
      <c r="FW42" s="130" t="str">
        <f t="shared" si="74"/>
        <v/>
      </c>
      <c r="FX42" s="130" t="str">
        <f t="shared" si="75"/>
        <v/>
      </c>
      <c r="FY42">
        <v>39</v>
      </c>
      <c r="FZ42" s="108" t="str">
        <f>Data!B40</f>
        <v>HABILA ROSE</v>
      </c>
      <c r="GA42" s="109">
        <v>6</v>
      </c>
      <c r="GB42" s="109">
        <v>9</v>
      </c>
      <c r="GC42" s="109">
        <v>2</v>
      </c>
      <c r="GD42" s="109">
        <v>2</v>
      </c>
      <c r="GE42" s="131">
        <f t="shared" si="76"/>
        <v>19</v>
      </c>
      <c r="GF42" s="131">
        <v>31</v>
      </c>
      <c r="GG42" s="131">
        <f t="shared" si="77"/>
        <v>50</v>
      </c>
      <c r="GH42" s="131">
        <f t="shared" si="78"/>
        <v>31</v>
      </c>
      <c r="GI42" s="131" t="str">
        <f t="shared" si="79"/>
        <v>C</v>
      </c>
      <c r="GJ42" s="131" t="str">
        <f t="shared" si="80"/>
        <v>Credit</v>
      </c>
      <c r="GK42">
        <v>39</v>
      </c>
      <c r="GL42" s="108" t="str">
        <f>Data!B40</f>
        <v>HABILA ROSE</v>
      </c>
      <c r="GM42" s="132"/>
      <c r="GN42" s="132"/>
      <c r="GO42" s="132"/>
      <c r="GP42" s="132"/>
      <c r="GQ42" s="133">
        <f t="shared" si="81"/>
        <v>0</v>
      </c>
      <c r="GR42" s="132"/>
      <c r="GS42" s="133">
        <f t="shared" si="82"/>
        <v>0</v>
      </c>
      <c r="GT42" s="133" t="str">
        <f t="shared" si="83"/>
        <v/>
      </c>
      <c r="GU42" s="133" t="str">
        <f t="shared" si="84"/>
        <v/>
      </c>
      <c r="GV42" s="133" t="str">
        <f t="shared" si="85"/>
        <v/>
      </c>
      <c r="GW42">
        <v>39</v>
      </c>
      <c r="GX42" s="108" t="str">
        <f>Data!B40</f>
        <v>HABILA ROSE</v>
      </c>
      <c r="GY42" s="109"/>
      <c r="GZ42" s="109"/>
      <c r="HA42" s="109"/>
      <c r="HB42" s="109"/>
      <c r="HC42" s="119">
        <f t="shared" si="86"/>
        <v>0</v>
      </c>
      <c r="HD42" s="119"/>
      <c r="HE42" s="119">
        <f t="shared" si="87"/>
        <v>0</v>
      </c>
      <c r="HF42" s="119" t="str">
        <f t="shared" si="88"/>
        <v/>
      </c>
      <c r="HG42" s="119" t="str">
        <f t="shared" si="89"/>
        <v/>
      </c>
      <c r="HH42" s="119" t="str">
        <f t="shared" si="90"/>
        <v/>
      </c>
      <c r="HI42">
        <v>39</v>
      </c>
      <c r="HJ42" s="108" t="str">
        <f>Data!B40</f>
        <v>HABILA ROSE</v>
      </c>
      <c r="HK42" s="144">
        <v>6</v>
      </c>
      <c r="HL42" s="145">
        <v>6</v>
      </c>
      <c r="HM42" s="145"/>
      <c r="HN42" s="145"/>
      <c r="HO42" s="136">
        <f t="shared" si="91"/>
        <v>12</v>
      </c>
      <c r="HP42" s="144"/>
      <c r="HQ42" s="136">
        <f t="shared" si="92"/>
        <v>12</v>
      </c>
      <c r="HR42" s="136">
        <f t="shared" si="93"/>
        <v>8</v>
      </c>
      <c r="HS42" s="136" t="str">
        <f t="shared" si="94"/>
        <v>F</v>
      </c>
      <c r="HT42" s="136" t="str">
        <f t="shared" si="95"/>
        <v>Fail</v>
      </c>
      <c r="HU42">
        <v>39</v>
      </c>
      <c r="HV42" s="108" t="str">
        <f>Data!B40</f>
        <v>HABILA ROSE</v>
      </c>
      <c r="HW42" s="109"/>
      <c r="HX42" s="109"/>
      <c r="HY42" s="109"/>
      <c r="HZ42" s="109"/>
      <c r="IA42" s="117">
        <f t="shared" si="96"/>
        <v>0</v>
      </c>
      <c r="IB42" s="117"/>
      <c r="IC42" s="117">
        <f t="shared" si="97"/>
        <v>0</v>
      </c>
      <c r="ID42" s="117" t="str">
        <f t="shared" si="98"/>
        <v/>
      </c>
      <c r="IE42" s="117" t="str">
        <f t="shared" si="99"/>
        <v/>
      </c>
      <c r="IF42" s="117" t="str">
        <f t="shared" si="100"/>
        <v/>
      </c>
      <c r="IG42">
        <v>39</v>
      </c>
      <c r="IH42" s="108" t="str">
        <f>Data!B40</f>
        <v>HABILA ROSE</v>
      </c>
      <c r="II42" s="109"/>
      <c r="IJ42" s="109"/>
      <c r="IK42" s="109"/>
      <c r="IL42" s="109"/>
      <c r="IM42" s="137">
        <f t="shared" si="101"/>
        <v>0</v>
      </c>
      <c r="IN42" s="137"/>
      <c r="IO42" s="137">
        <f t="shared" si="102"/>
        <v>0</v>
      </c>
      <c r="IP42" s="137" t="str">
        <f t="shared" si="103"/>
        <v/>
      </c>
      <c r="IQ42" s="137" t="str">
        <f t="shared" si="104"/>
        <v/>
      </c>
      <c r="IR42" s="137" t="str">
        <f t="shared" si="105"/>
        <v/>
      </c>
      <c r="IS42">
        <v>39</v>
      </c>
      <c r="IT42" s="108" t="str">
        <f t="shared" si="106"/>
        <v>HABILA ROSE</v>
      </c>
      <c r="IU42" s="138"/>
      <c r="IV42" s="138"/>
      <c r="IW42" s="138"/>
      <c r="IX42" s="138"/>
      <c r="IY42" s="131">
        <f t="shared" si="129"/>
        <v>0</v>
      </c>
      <c r="IZ42" s="138"/>
      <c r="JA42" s="131">
        <f t="shared" si="108"/>
        <v>0</v>
      </c>
      <c r="JB42" s="131" t="str">
        <f t="shared" si="109"/>
        <v/>
      </c>
      <c r="JC42" s="131" t="str">
        <f t="shared" si="110"/>
        <v/>
      </c>
      <c r="JD42" s="131" t="str">
        <f t="shared" si="111"/>
        <v/>
      </c>
      <c r="JE42">
        <v>39</v>
      </c>
      <c r="JF42" s="108" t="str">
        <f t="shared" si="112"/>
        <v>HABILA ROSE</v>
      </c>
      <c r="JG42" s="147"/>
      <c r="JH42" s="147"/>
      <c r="JI42" s="147"/>
      <c r="JJ42" s="147"/>
      <c r="JK42" s="113">
        <f t="shared" si="113"/>
        <v>0</v>
      </c>
      <c r="JL42" s="147"/>
      <c r="JM42" s="113">
        <f t="shared" si="114"/>
        <v>0</v>
      </c>
      <c r="JN42" s="113" t="str">
        <f t="shared" si="115"/>
        <v/>
      </c>
      <c r="JO42" s="113" t="str">
        <f t="shared" si="116"/>
        <v/>
      </c>
      <c r="JP42" s="113" t="str">
        <f t="shared" si="117"/>
        <v/>
      </c>
      <c r="JQ42">
        <v>39</v>
      </c>
      <c r="JR42" s="108" t="str">
        <f t="shared" si="118"/>
        <v>HABILA ROSE</v>
      </c>
      <c r="JS42" s="140"/>
      <c r="JT42" s="140"/>
      <c r="JU42" s="140"/>
      <c r="JV42" s="140"/>
      <c r="JW42" s="111">
        <f t="shared" si="119"/>
        <v>0</v>
      </c>
      <c r="JX42" s="141"/>
      <c r="JY42" s="111">
        <f t="shared" si="0"/>
        <v>0</v>
      </c>
      <c r="JZ42" s="111" t="str">
        <f t="shared" si="120"/>
        <v/>
      </c>
      <c r="KA42" s="111" t="str">
        <f t="shared" si="121"/>
        <v/>
      </c>
      <c r="KB42" s="111" t="str">
        <f t="shared" si="122"/>
        <v/>
      </c>
      <c r="KD42" s="47"/>
      <c r="KE42" s="47"/>
      <c r="KF42" s="47"/>
      <c r="KG42" s="47"/>
      <c r="KH42" s="47"/>
      <c r="KI42" s="47"/>
      <c r="KJ42" s="47"/>
      <c r="KK42" s="47"/>
      <c r="KM42" s="47"/>
      <c r="KN42" s="47"/>
      <c r="KO42" s="47"/>
      <c r="KP42" s="47"/>
      <c r="KQ42" s="47"/>
      <c r="KR42" s="47"/>
      <c r="KS42" s="47"/>
      <c r="KT42" s="47"/>
      <c r="KU42" s="47"/>
      <c r="KV42" s="47"/>
    </row>
    <row r="43" spans="1:308" ht="23.25">
      <c r="A43" s="211">
        <v>40</v>
      </c>
      <c r="B43" s="108" t="str">
        <f>Data!B41</f>
        <v>IBRAHIM HADIZA ABUBAKAR</v>
      </c>
      <c r="C43" s="109">
        <v>6</v>
      </c>
      <c r="D43" s="109">
        <v>2</v>
      </c>
      <c r="E43" s="109">
        <v>1</v>
      </c>
      <c r="F43" s="109">
        <v>1</v>
      </c>
      <c r="G43" s="111">
        <f t="shared" si="125"/>
        <v>10</v>
      </c>
      <c r="H43" s="111">
        <v>32</v>
      </c>
      <c r="I43" s="111">
        <f t="shared" si="126"/>
        <v>42</v>
      </c>
      <c r="J43" s="110">
        <f t="shared" si="3"/>
        <v>17</v>
      </c>
      <c r="K43" s="110" t="str">
        <f t="shared" si="4"/>
        <v>E8</v>
      </c>
      <c r="L43" s="110" t="str">
        <f t="shared" si="5"/>
        <v>Pass</v>
      </c>
      <c r="M43" s="48">
        <v>40</v>
      </c>
      <c r="N43" s="108" t="str">
        <f>Data!B41</f>
        <v>IBRAHIM HADIZA ABUBAKAR</v>
      </c>
      <c r="O43" s="109"/>
      <c r="P43" s="109"/>
      <c r="Q43" s="109"/>
      <c r="R43" s="109"/>
      <c r="S43" s="111">
        <f t="shared" si="6"/>
        <v>0</v>
      </c>
      <c r="T43" s="111"/>
      <c r="U43" s="111">
        <f t="shared" si="7"/>
        <v>0</v>
      </c>
      <c r="V43" s="111" t="str">
        <f t="shared" si="8"/>
        <v/>
      </c>
      <c r="W43" s="111" t="str">
        <f t="shared" si="9"/>
        <v/>
      </c>
      <c r="X43" s="111" t="str">
        <f t="shared" si="10"/>
        <v/>
      </c>
      <c r="Y43" s="42">
        <v>40</v>
      </c>
      <c r="Z43" s="108" t="str">
        <f>Data!B41</f>
        <v>IBRAHIM HADIZA ABUBAKAR</v>
      </c>
      <c r="AA43" s="109">
        <v>6</v>
      </c>
      <c r="AB43" s="109">
        <v>2</v>
      </c>
      <c r="AC43" s="109">
        <v>1</v>
      </c>
      <c r="AD43" s="109">
        <v>1</v>
      </c>
      <c r="AE43" s="111">
        <f t="shared" si="127"/>
        <v>10</v>
      </c>
      <c r="AF43" s="112">
        <v>42</v>
      </c>
      <c r="AG43" s="113">
        <f t="shared" si="12"/>
        <v>52</v>
      </c>
      <c r="AH43" s="113">
        <f t="shared" si="13"/>
        <v>31</v>
      </c>
      <c r="AI43" s="113" t="str">
        <f t="shared" si="14"/>
        <v>C6</v>
      </c>
      <c r="AJ43" s="113" t="str">
        <f t="shared" si="15"/>
        <v>Credit</v>
      </c>
      <c r="AK43" s="42">
        <v>40</v>
      </c>
      <c r="AL43" s="108" t="str">
        <f>Data!B41</f>
        <v>IBRAHIM HADIZA ABUBAKAR</v>
      </c>
      <c r="AM43" s="114"/>
      <c r="AN43" s="114"/>
      <c r="AO43" s="114"/>
      <c r="AP43" s="114"/>
      <c r="AQ43" s="115">
        <f t="shared" si="16"/>
        <v>0</v>
      </c>
      <c r="AR43" s="114"/>
      <c r="AS43" s="115">
        <f t="shared" si="17"/>
        <v>0</v>
      </c>
      <c r="AT43" s="115" t="str">
        <f t="shared" si="18"/>
        <v/>
      </c>
      <c r="AU43" s="115" t="str">
        <f t="shared" si="19"/>
        <v/>
      </c>
      <c r="AV43" s="115" t="str">
        <f t="shared" si="20"/>
        <v/>
      </c>
      <c r="AW43" s="42">
        <v>40</v>
      </c>
      <c r="AX43" s="108" t="str">
        <f>Data!B41</f>
        <v>IBRAHIM HADIZA ABUBAKAR</v>
      </c>
      <c r="AY43" s="116"/>
      <c r="AZ43" s="116"/>
      <c r="BA43" s="116"/>
      <c r="BB43" s="116"/>
      <c r="BC43" s="117">
        <f t="shared" si="21"/>
        <v>0</v>
      </c>
      <c r="BD43" s="116"/>
      <c r="BE43" s="117">
        <f t="shared" si="22"/>
        <v>0</v>
      </c>
      <c r="BF43" s="117" t="str">
        <f t="shared" si="23"/>
        <v/>
      </c>
      <c r="BG43" s="117" t="str">
        <f t="shared" si="24"/>
        <v/>
      </c>
      <c r="BH43" s="117" t="str">
        <f t="shared" si="25"/>
        <v/>
      </c>
      <c r="BI43" s="67">
        <v>40</v>
      </c>
      <c r="BJ43" s="108" t="str">
        <f>Data!B41</f>
        <v>IBRAHIM HADIZA ABUBAKAR</v>
      </c>
      <c r="BK43" s="118"/>
      <c r="BL43" s="118"/>
      <c r="BM43" s="118"/>
      <c r="BN43" s="118"/>
      <c r="BO43" s="119">
        <f t="shared" si="128"/>
        <v>0</v>
      </c>
      <c r="BP43" s="118"/>
      <c r="BQ43" s="119">
        <f t="shared" si="27"/>
        <v>0</v>
      </c>
      <c r="BR43" s="119" t="str">
        <f t="shared" si="28"/>
        <v/>
      </c>
      <c r="BS43" s="119" t="str">
        <f t="shared" si="29"/>
        <v/>
      </c>
      <c r="BT43" s="119" t="str">
        <f t="shared" si="30"/>
        <v/>
      </c>
      <c r="BU43">
        <v>40</v>
      </c>
      <c r="BV43" s="108" t="str">
        <f>Data!B41</f>
        <v>IBRAHIM HADIZA ABUBAKAR</v>
      </c>
      <c r="BW43" s="120">
        <v>6</v>
      </c>
      <c r="BX43" s="120">
        <v>5</v>
      </c>
      <c r="BY43" s="120">
        <v>9</v>
      </c>
      <c r="BZ43" s="120">
        <v>8</v>
      </c>
      <c r="CA43" s="121">
        <f t="shared" si="31"/>
        <v>28</v>
      </c>
      <c r="CB43" s="120">
        <v>34</v>
      </c>
      <c r="CC43" s="121">
        <f t="shared" si="32"/>
        <v>62</v>
      </c>
      <c r="CD43" s="121">
        <f t="shared" si="33"/>
        <v>12</v>
      </c>
      <c r="CE43" s="121" t="str">
        <f t="shared" si="34"/>
        <v>C4</v>
      </c>
      <c r="CF43" s="121" t="str">
        <f t="shared" si="35"/>
        <v>Credit</v>
      </c>
      <c r="CG43">
        <v>40</v>
      </c>
      <c r="CH43" s="108" t="str">
        <f>Data!B41</f>
        <v>IBRAHIM HADIZA ABUBAKAR</v>
      </c>
      <c r="CI43" s="109"/>
      <c r="CJ43" s="109"/>
      <c r="CK43" s="109"/>
      <c r="CL43" s="109"/>
      <c r="CM43" s="122">
        <f t="shared" si="36"/>
        <v>0</v>
      </c>
      <c r="CN43" s="122"/>
      <c r="CO43" s="122">
        <f t="shared" si="37"/>
        <v>0</v>
      </c>
      <c r="CP43" s="122" t="str">
        <f t="shared" si="38"/>
        <v/>
      </c>
      <c r="CQ43" s="122" t="str">
        <f t="shared" si="39"/>
        <v/>
      </c>
      <c r="CR43" s="122" t="str">
        <f t="shared" si="40"/>
        <v/>
      </c>
      <c r="CS43">
        <v>40</v>
      </c>
      <c r="CT43" s="108" t="str">
        <f>Data!B41</f>
        <v>IBRAHIM HADIZA ABUBAKAR</v>
      </c>
      <c r="CU43" s="43"/>
      <c r="CV43" s="43"/>
      <c r="CW43" s="43"/>
      <c r="CX43" s="43"/>
      <c r="CY43" s="123">
        <f t="shared" si="41"/>
        <v>0</v>
      </c>
      <c r="CZ43" s="43"/>
      <c r="DA43" s="123">
        <f t="shared" si="42"/>
        <v>0</v>
      </c>
      <c r="DB43" s="123" t="str">
        <f t="shared" si="43"/>
        <v/>
      </c>
      <c r="DC43" s="123" t="str">
        <f t="shared" si="44"/>
        <v/>
      </c>
      <c r="DD43" s="123" t="str">
        <f t="shared" si="45"/>
        <v/>
      </c>
      <c r="DE43">
        <v>40</v>
      </c>
      <c r="DF43" s="108" t="str">
        <f>Data!B41</f>
        <v>IBRAHIM HADIZA ABUBAKAR</v>
      </c>
      <c r="DG43" s="109"/>
      <c r="DH43" s="109"/>
      <c r="DI43" s="109"/>
      <c r="DJ43" s="109"/>
      <c r="DK43" s="117">
        <f t="shared" si="46"/>
        <v>0</v>
      </c>
      <c r="DL43" s="116"/>
      <c r="DM43" s="117">
        <f t="shared" si="47"/>
        <v>0</v>
      </c>
      <c r="DN43" s="117" t="str">
        <f t="shared" si="48"/>
        <v/>
      </c>
      <c r="DO43" s="117" t="str">
        <f t="shared" si="49"/>
        <v/>
      </c>
      <c r="DP43" s="117" t="str">
        <f t="shared" si="50"/>
        <v/>
      </c>
      <c r="DQ43">
        <v>40</v>
      </c>
      <c r="DR43" s="108" t="str">
        <f>Data!B41</f>
        <v>IBRAHIM HADIZA ABUBAKAR</v>
      </c>
      <c r="DS43" s="124"/>
      <c r="DT43" s="124"/>
      <c r="DU43" s="124"/>
      <c r="DV43" s="124"/>
      <c r="DW43" s="125">
        <f t="shared" si="51"/>
        <v>0</v>
      </c>
      <c r="DX43" s="126"/>
      <c r="DY43" s="125">
        <f t="shared" si="52"/>
        <v>0</v>
      </c>
      <c r="DZ43" s="125" t="str">
        <f t="shared" si="53"/>
        <v/>
      </c>
      <c r="EA43" s="125" t="str">
        <f t="shared" si="54"/>
        <v/>
      </c>
      <c r="EB43" s="125" t="str">
        <f t="shared" si="55"/>
        <v/>
      </c>
      <c r="EC43">
        <v>40</v>
      </c>
      <c r="ED43" s="108" t="str">
        <f>Data!B41</f>
        <v>IBRAHIM HADIZA ABUBAKAR</v>
      </c>
      <c r="EE43" s="109"/>
      <c r="EF43" s="109"/>
      <c r="EG43" s="109"/>
      <c r="EH43" s="109"/>
      <c r="EI43" s="127">
        <f t="shared" si="56"/>
        <v>0</v>
      </c>
      <c r="EJ43" s="127"/>
      <c r="EK43" s="127">
        <f t="shared" si="57"/>
        <v>0</v>
      </c>
      <c r="EL43" s="127" t="str">
        <f t="shared" si="58"/>
        <v/>
      </c>
      <c r="EM43" s="127" t="str">
        <f t="shared" si="59"/>
        <v/>
      </c>
      <c r="EN43" s="127" t="str">
        <f t="shared" si="60"/>
        <v/>
      </c>
      <c r="EO43">
        <v>40</v>
      </c>
      <c r="EP43" s="128" t="str">
        <f>Data!B41</f>
        <v>IBRAHIM HADIZA ABUBAKAR</v>
      </c>
      <c r="EQ43" s="109"/>
      <c r="ER43" s="109"/>
      <c r="ES43" s="109"/>
      <c r="ET43" s="109"/>
      <c r="EU43" s="123">
        <f t="shared" si="61"/>
        <v>0</v>
      </c>
      <c r="EV43" s="123"/>
      <c r="EW43" s="123">
        <f t="shared" si="62"/>
        <v>0</v>
      </c>
      <c r="EX43" s="123" t="str">
        <f t="shared" si="63"/>
        <v/>
      </c>
      <c r="EY43" s="123" t="str">
        <f t="shared" si="64"/>
        <v/>
      </c>
      <c r="EZ43" s="123" t="str">
        <f t="shared" si="65"/>
        <v/>
      </c>
      <c r="FA43">
        <v>40</v>
      </c>
      <c r="FB43" s="108" t="str">
        <f>Data!B41</f>
        <v>IBRAHIM HADIZA ABUBAKAR</v>
      </c>
      <c r="FC43" s="109"/>
      <c r="FD43" s="109"/>
      <c r="FE43" s="109"/>
      <c r="FF43" s="109"/>
      <c r="FG43" s="129">
        <f t="shared" si="66"/>
        <v>0</v>
      </c>
      <c r="FH43" s="129"/>
      <c r="FI43" s="129">
        <f t="shared" si="67"/>
        <v>0</v>
      </c>
      <c r="FJ43" s="129" t="str">
        <f t="shared" si="68"/>
        <v/>
      </c>
      <c r="FK43" s="129" t="str">
        <f t="shared" si="69"/>
        <v/>
      </c>
      <c r="FL43" s="129" t="str">
        <f t="shared" si="70"/>
        <v/>
      </c>
      <c r="FM43">
        <v>40</v>
      </c>
      <c r="FN43" s="108" t="str">
        <f>Data!B41</f>
        <v>IBRAHIM HADIZA ABUBAKAR</v>
      </c>
      <c r="FO43" s="109"/>
      <c r="FP43" s="109"/>
      <c r="FQ43" s="109"/>
      <c r="FR43" s="109"/>
      <c r="FS43" s="130">
        <f t="shared" si="71"/>
        <v>0</v>
      </c>
      <c r="FT43" s="130"/>
      <c r="FU43" s="130">
        <f t="shared" si="72"/>
        <v>0</v>
      </c>
      <c r="FV43" s="130" t="str">
        <f t="shared" si="73"/>
        <v/>
      </c>
      <c r="FW43" s="130" t="str">
        <f t="shared" si="74"/>
        <v/>
      </c>
      <c r="FX43" s="130" t="str">
        <f t="shared" si="75"/>
        <v/>
      </c>
      <c r="FY43">
        <v>40</v>
      </c>
      <c r="FZ43" s="108" t="str">
        <f>Data!B41</f>
        <v>IBRAHIM HADIZA ABUBAKAR</v>
      </c>
      <c r="GA43" s="109">
        <v>4</v>
      </c>
      <c r="GB43" s="109">
        <v>9</v>
      </c>
      <c r="GC43" s="109">
        <v>8</v>
      </c>
      <c r="GD43" s="109">
        <v>7</v>
      </c>
      <c r="GE43" s="131">
        <f t="shared" si="76"/>
        <v>28</v>
      </c>
      <c r="GF43" s="131">
        <v>24</v>
      </c>
      <c r="GG43" s="131">
        <f t="shared" si="77"/>
        <v>52</v>
      </c>
      <c r="GH43" s="131">
        <f t="shared" si="78"/>
        <v>30</v>
      </c>
      <c r="GI43" s="131" t="str">
        <f t="shared" si="79"/>
        <v>C</v>
      </c>
      <c r="GJ43" s="131" t="str">
        <f t="shared" si="80"/>
        <v>Credit</v>
      </c>
      <c r="GK43">
        <v>40</v>
      </c>
      <c r="GL43" s="108" t="str">
        <f>Data!B41</f>
        <v>IBRAHIM HADIZA ABUBAKAR</v>
      </c>
      <c r="GM43" s="132"/>
      <c r="GN43" s="132"/>
      <c r="GO43" s="132"/>
      <c r="GP43" s="132"/>
      <c r="GQ43" s="133">
        <f t="shared" si="81"/>
        <v>0</v>
      </c>
      <c r="GR43" s="132"/>
      <c r="GS43" s="133">
        <f t="shared" si="82"/>
        <v>0</v>
      </c>
      <c r="GT43" s="133" t="str">
        <f t="shared" si="83"/>
        <v/>
      </c>
      <c r="GU43" s="133" t="str">
        <f t="shared" si="84"/>
        <v/>
      </c>
      <c r="GV43" s="133" t="str">
        <f t="shared" si="85"/>
        <v/>
      </c>
      <c r="GW43">
        <v>40</v>
      </c>
      <c r="GX43" s="108" t="str">
        <f>Data!B41</f>
        <v>IBRAHIM HADIZA ABUBAKAR</v>
      </c>
      <c r="GY43" s="109"/>
      <c r="GZ43" s="109"/>
      <c r="HA43" s="109"/>
      <c r="HB43" s="109"/>
      <c r="HC43" s="119">
        <f t="shared" si="86"/>
        <v>0</v>
      </c>
      <c r="HD43" s="119"/>
      <c r="HE43" s="119">
        <f t="shared" si="87"/>
        <v>0</v>
      </c>
      <c r="HF43" s="119" t="str">
        <f t="shared" si="88"/>
        <v/>
      </c>
      <c r="HG43" s="119" t="str">
        <f t="shared" si="89"/>
        <v/>
      </c>
      <c r="HH43" s="119" t="str">
        <f t="shared" si="90"/>
        <v/>
      </c>
      <c r="HI43">
        <v>40</v>
      </c>
      <c r="HJ43" s="108" t="str">
        <f>Data!B41</f>
        <v>IBRAHIM HADIZA ABUBAKAR</v>
      </c>
      <c r="HK43" s="144">
        <v>5</v>
      </c>
      <c r="HL43" s="145">
        <v>5</v>
      </c>
      <c r="HM43" s="145"/>
      <c r="HN43" s="145"/>
      <c r="HO43" s="136">
        <f t="shared" si="91"/>
        <v>10</v>
      </c>
      <c r="HP43" s="144"/>
      <c r="HQ43" s="136">
        <f t="shared" si="92"/>
        <v>10</v>
      </c>
      <c r="HR43" s="136">
        <f t="shared" si="93"/>
        <v>11</v>
      </c>
      <c r="HS43" s="136" t="str">
        <f t="shared" si="94"/>
        <v>F</v>
      </c>
      <c r="HT43" s="136" t="str">
        <f t="shared" si="95"/>
        <v>Fail</v>
      </c>
      <c r="HU43">
        <v>40</v>
      </c>
      <c r="HV43" s="108" t="str">
        <f>Data!B41</f>
        <v>IBRAHIM HADIZA ABUBAKAR</v>
      </c>
      <c r="HW43" s="109"/>
      <c r="HX43" s="109"/>
      <c r="HY43" s="109"/>
      <c r="HZ43" s="109"/>
      <c r="IA43" s="117">
        <f t="shared" si="96"/>
        <v>0</v>
      </c>
      <c r="IB43" s="117"/>
      <c r="IC43" s="117">
        <f t="shared" si="97"/>
        <v>0</v>
      </c>
      <c r="ID43" s="117" t="str">
        <f t="shared" si="98"/>
        <v/>
      </c>
      <c r="IE43" s="117" t="str">
        <f t="shared" si="99"/>
        <v/>
      </c>
      <c r="IF43" s="117" t="str">
        <f t="shared" si="100"/>
        <v/>
      </c>
      <c r="IG43">
        <v>40</v>
      </c>
      <c r="IH43" s="108" t="str">
        <f>Data!B41</f>
        <v>IBRAHIM HADIZA ABUBAKAR</v>
      </c>
      <c r="II43" s="109"/>
      <c r="IJ43" s="109"/>
      <c r="IK43" s="109"/>
      <c r="IL43" s="109"/>
      <c r="IM43" s="137">
        <f t="shared" si="101"/>
        <v>0</v>
      </c>
      <c r="IN43" s="137"/>
      <c r="IO43" s="137">
        <f t="shared" si="102"/>
        <v>0</v>
      </c>
      <c r="IP43" s="137" t="str">
        <f t="shared" si="103"/>
        <v/>
      </c>
      <c r="IQ43" s="137" t="str">
        <f t="shared" si="104"/>
        <v/>
      </c>
      <c r="IR43" s="137" t="str">
        <f t="shared" si="105"/>
        <v/>
      </c>
      <c r="IS43">
        <v>40</v>
      </c>
      <c r="IT43" s="108" t="str">
        <f t="shared" si="106"/>
        <v>IBRAHIM HADIZA ABUBAKAR</v>
      </c>
      <c r="IU43" s="138"/>
      <c r="IV43" s="138"/>
      <c r="IW43" s="138"/>
      <c r="IX43" s="138"/>
      <c r="IY43" s="131">
        <f t="shared" si="129"/>
        <v>0</v>
      </c>
      <c r="IZ43" s="138"/>
      <c r="JA43" s="131">
        <f t="shared" si="108"/>
        <v>0</v>
      </c>
      <c r="JB43" s="131" t="str">
        <f t="shared" si="109"/>
        <v/>
      </c>
      <c r="JC43" s="131" t="str">
        <f t="shared" si="110"/>
        <v/>
      </c>
      <c r="JD43" s="131" t="str">
        <f t="shared" si="111"/>
        <v/>
      </c>
      <c r="JE43">
        <v>40</v>
      </c>
      <c r="JF43" s="108" t="str">
        <f t="shared" si="112"/>
        <v>IBRAHIM HADIZA ABUBAKAR</v>
      </c>
      <c r="JG43" s="147"/>
      <c r="JH43" s="147"/>
      <c r="JI43" s="147"/>
      <c r="JJ43" s="147"/>
      <c r="JK43" s="113">
        <f t="shared" si="113"/>
        <v>0</v>
      </c>
      <c r="JL43" s="147"/>
      <c r="JM43" s="113">
        <f t="shared" si="114"/>
        <v>0</v>
      </c>
      <c r="JN43" s="113" t="str">
        <f t="shared" si="115"/>
        <v/>
      </c>
      <c r="JO43" s="113" t="str">
        <f t="shared" si="116"/>
        <v/>
      </c>
      <c r="JP43" s="113" t="str">
        <f t="shared" si="117"/>
        <v/>
      </c>
      <c r="JQ43">
        <v>40</v>
      </c>
      <c r="JR43" s="108" t="str">
        <f t="shared" si="118"/>
        <v>IBRAHIM HADIZA ABUBAKAR</v>
      </c>
      <c r="JS43" s="140"/>
      <c r="JT43" s="140"/>
      <c r="JU43" s="140"/>
      <c r="JV43" s="140"/>
      <c r="JW43" s="111">
        <f t="shared" si="119"/>
        <v>0</v>
      </c>
      <c r="JX43" s="141"/>
      <c r="JY43" s="111">
        <f t="shared" si="0"/>
        <v>0</v>
      </c>
      <c r="JZ43" s="111" t="str">
        <f t="shared" si="120"/>
        <v/>
      </c>
      <c r="KA43" s="111" t="str">
        <f t="shared" si="121"/>
        <v/>
      </c>
      <c r="KB43" s="111" t="str">
        <f t="shared" si="122"/>
        <v/>
      </c>
      <c r="KD43" s="47"/>
      <c r="KE43" s="47"/>
      <c r="KF43" s="47"/>
      <c r="KG43" s="47"/>
      <c r="KH43" s="47"/>
      <c r="KI43" s="47"/>
      <c r="KJ43" s="47"/>
      <c r="KK43" s="47"/>
      <c r="KM43" s="47"/>
      <c r="KN43" s="47"/>
      <c r="KO43" s="47"/>
      <c r="KP43" s="47"/>
      <c r="KQ43" s="47"/>
      <c r="KR43" s="47"/>
      <c r="KS43" s="47"/>
      <c r="KT43" s="47"/>
      <c r="KU43" s="47"/>
      <c r="KV43" s="47"/>
    </row>
    <row r="44" spans="1:308" ht="23.25">
      <c r="A44" s="211">
        <v>41</v>
      </c>
      <c r="B44" s="108" t="str">
        <f>Data!B42</f>
        <v>KALLI AMSATU SHETTIMA</v>
      </c>
      <c r="C44" s="109">
        <v>7</v>
      </c>
      <c r="D44" s="109">
        <v>2</v>
      </c>
      <c r="E44" s="109">
        <v>1</v>
      </c>
      <c r="F44" s="109">
        <v>5</v>
      </c>
      <c r="G44" s="111">
        <f t="shared" si="125"/>
        <v>15</v>
      </c>
      <c r="H44" s="111">
        <v>25</v>
      </c>
      <c r="I44" s="111">
        <f t="shared" si="126"/>
        <v>40</v>
      </c>
      <c r="J44" s="110">
        <f t="shared" si="3"/>
        <v>23</v>
      </c>
      <c r="K44" s="110" t="str">
        <f t="shared" si="4"/>
        <v>E8</v>
      </c>
      <c r="L44" s="110" t="str">
        <f t="shared" si="5"/>
        <v>Pass</v>
      </c>
      <c r="M44" s="48">
        <v>41</v>
      </c>
      <c r="N44" s="108" t="str">
        <f>Data!B42</f>
        <v>KALLI AMSATU SHETTIMA</v>
      </c>
      <c r="O44" s="109"/>
      <c r="P44" s="109"/>
      <c r="Q44" s="109"/>
      <c r="R44" s="109"/>
      <c r="S44" s="111">
        <f t="shared" si="6"/>
        <v>0</v>
      </c>
      <c r="T44" s="111"/>
      <c r="U44" s="111">
        <f t="shared" si="7"/>
        <v>0</v>
      </c>
      <c r="V44" s="111" t="str">
        <f t="shared" si="8"/>
        <v/>
      </c>
      <c r="W44" s="111" t="str">
        <f t="shared" si="9"/>
        <v/>
      </c>
      <c r="X44" s="111" t="str">
        <f t="shared" si="10"/>
        <v/>
      </c>
      <c r="Y44" s="42">
        <v>41</v>
      </c>
      <c r="Z44" s="108" t="str">
        <f>Data!B42</f>
        <v>KALLI AMSATU SHETTIMA</v>
      </c>
      <c r="AA44" s="109">
        <v>7</v>
      </c>
      <c r="AB44" s="109">
        <v>2</v>
      </c>
      <c r="AC44" s="109">
        <v>1</v>
      </c>
      <c r="AD44" s="109">
        <v>5</v>
      </c>
      <c r="AE44" s="111">
        <f t="shared" si="127"/>
        <v>15</v>
      </c>
      <c r="AF44" s="112">
        <v>42</v>
      </c>
      <c r="AG44" s="113">
        <f t="shared" si="12"/>
        <v>57</v>
      </c>
      <c r="AH44" s="113">
        <f t="shared" si="13"/>
        <v>23</v>
      </c>
      <c r="AI44" s="113" t="str">
        <f t="shared" si="14"/>
        <v>C5</v>
      </c>
      <c r="AJ44" s="113" t="str">
        <f t="shared" si="15"/>
        <v>Credit</v>
      </c>
      <c r="AK44" s="42">
        <v>41</v>
      </c>
      <c r="AL44" s="108" t="str">
        <f>Data!B42</f>
        <v>KALLI AMSATU SHETTIMA</v>
      </c>
      <c r="AM44" s="114"/>
      <c r="AN44" s="114"/>
      <c r="AO44" s="114"/>
      <c r="AP44" s="114"/>
      <c r="AQ44" s="115">
        <f t="shared" si="16"/>
        <v>0</v>
      </c>
      <c r="AR44" s="114"/>
      <c r="AS44" s="115">
        <f t="shared" si="17"/>
        <v>0</v>
      </c>
      <c r="AT44" s="115" t="str">
        <f t="shared" si="18"/>
        <v/>
      </c>
      <c r="AU44" s="115" t="str">
        <f t="shared" si="19"/>
        <v/>
      </c>
      <c r="AV44" s="115" t="str">
        <f t="shared" si="20"/>
        <v/>
      </c>
      <c r="AW44" s="42">
        <v>41</v>
      </c>
      <c r="AX44" s="108" t="str">
        <f>Data!B42</f>
        <v>KALLI AMSATU SHETTIMA</v>
      </c>
      <c r="AY44" s="116"/>
      <c r="AZ44" s="116"/>
      <c r="BA44" s="116"/>
      <c r="BB44" s="116"/>
      <c r="BC44" s="117">
        <f t="shared" si="21"/>
        <v>0</v>
      </c>
      <c r="BD44" s="116"/>
      <c r="BE44" s="117">
        <f t="shared" si="22"/>
        <v>0</v>
      </c>
      <c r="BF44" s="117" t="str">
        <f t="shared" si="23"/>
        <v/>
      </c>
      <c r="BG44" s="117" t="str">
        <f t="shared" si="24"/>
        <v/>
      </c>
      <c r="BH44" s="117" t="str">
        <f t="shared" si="25"/>
        <v/>
      </c>
      <c r="BI44" s="67">
        <v>41</v>
      </c>
      <c r="BJ44" s="108" t="str">
        <f>Data!B42</f>
        <v>KALLI AMSATU SHETTIMA</v>
      </c>
      <c r="BK44" s="118"/>
      <c r="BL44" s="118"/>
      <c r="BM44" s="118"/>
      <c r="BN44" s="118"/>
      <c r="BO44" s="119">
        <f t="shared" si="128"/>
        <v>0</v>
      </c>
      <c r="BP44" s="118"/>
      <c r="BQ44" s="119">
        <f t="shared" si="27"/>
        <v>0</v>
      </c>
      <c r="BR44" s="119" t="str">
        <f t="shared" si="28"/>
        <v/>
      </c>
      <c r="BS44" s="119" t="str">
        <f t="shared" si="29"/>
        <v/>
      </c>
      <c r="BT44" s="119" t="str">
        <f t="shared" si="30"/>
        <v/>
      </c>
      <c r="BU44">
        <v>41</v>
      </c>
      <c r="BV44" s="108" t="str">
        <f>Data!B42</f>
        <v>KALLI AMSATU SHETTIMA</v>
      </c>
      <c r="BW44" s="120">
        <v>7</v>
      </c>
      <c r="BX44" s="120">
        <v>3</v>
      </c>
      <c r="BY44" s="120">
        <v>10</v>
      </c>
      <c r="BZ44" s="120"/>
      <c r="CA44" s="121">
        <f t="shared" si="31"/>
        <v>20</v>
      </c>
      <c r="CB44" s="120">
        <v>18</v>
      </c>
      <c r="CC44" s="121">
        <f t="shared" si="32"/>
        <v>38</v>
      </c>
      <c r="CD44" s="121">
        <f t="shared" si="33"/>
        <v>38</v>
      </c>
      <c r="CE44" s="121" t="str">
        <f t="shared" si="34"/>
        <v>F</v>
      </c>
      <c r="CF44" s="121" t="str">
        <f t="shared" si="35"/>
        <v>Fail</v>
      </c>
      <c r="CG44">
        <v>41</v>
      </c>
      <c r="CH44" s="108" t="str">
        <f>Data!B42</f>
        <v>KALLI AMSATU SHETTIMA</v>
      </c>
      <c r="CI44" s="109"/>
      <c r="CJ44" s="109"/>
      <c r="CK44" s="109"/>
      <c r="CL44" s="109"/>
      <c r="CM44" s="122">
        <f t="shared" si="36"/>
        <v>0</v>
      </c>
      <c r="CN44" s="122"/>
      <c r="CO44" s="122">
        <f t="shared" si="37"/>
        <v>0</v>
      </c>
      <c r="CP44" s="122" t="str">
        <f t="shared" si="38"/>
        <v/>
      </c>
      <c r="CQ44" s="122" t="str">
        <f t="shared" si="39"/>
        <v/>
      </c>
      <c r="CR44" s="122" t="str">
        <f t="shared" si="40"/>
        <v/>
      </c>
      <c r="CS44">
        <v>41</v>
      </c>
      <c r="CT44" s="108" t="str">
        <f>Data!B42</f>
        <v>KALLI AMSATU SHETTIMA</v>
      </c>
      <c r="CU44" s="43"/>
      <c r="CV44" s="43"/>
      <c r="CW44" s="43"/>
      <c r="CX44" s="43"/>
      <c r="CY44" s="123">
        <f t="shared" si="41"/>
        <v>0</v>
      </c>
      <c r="CZ44" s="43"/>
      <c r="DA44" s="123">
        <f t="shared" si="42"/>
        <v>0</v>
      </c>
      <c r="DB44" s="123" t="str">
        <f t="shared" si="43"/>
        <v/>
      </c>
      <c r="DC44" s="123" t="str">
        <f t="shared" si="44"/>
        <v/>
      </c>
      <c r="DD44" s="123" t="str">
        <f t="shared" si="45"/>
        <v/>
      </c>
      <c r="DE44">
        <v>41</v>
      </c>
      <c r="DF44" s="108" t="str">
        <f>Data!B42</f>
        <v>KALLI AMSATU SHETTIMA</v>
      </c>
      <c r="DG44" s="109"/>
      <c r="DH44" s="109"/>
      <c r="DI44" s="109"/>
      <c r="DJ44" s="109"/>
      <c r="DK44" s="117">
        <f t="shared" si="46"/>
        <v>0</v>
      </c>
      <c r="DL44" s="116"/>
      <c r="DM44" s="117">
        <f t="shared" si="47"/>
        <v>0</v>
      </c>
      <c r="DN44" s="117" t="str">
        <f t="shared" si="48"/>
        <v/>
      </c>
      <c r="DO44" s="117" t="str">
        <f t="shared" si="49"/>
        <v/>
      </c>
      <c r="DP44" s="117" t="str">
        <f t="shared" si="50"/>
        <v/>
      </c>
      <c r="DQ44">
        <v>41</v>
      </c>
      <c r="DR44" s="108" t="str">
        <f>Data!B42</f>
        <v>KALLI AMSATU SHETTIMA</v>
      </c>
      <c r="DS44" s="124"/>
      <c r="DT44" s="124"/>
      <c r="DU44" s="124"/>
      <c r="DV44" s="124"/>
      <c r="DW44" s="125">
        <f t="shared" si="51"/>
        <v>0</v>
      </c>
      <c r="DX44" s="126"/>
      <c r="DY44" s="125">
        <f t="shared" si="52"/>
        <v>0</v>
      </c>
      <c r="DZ44" s="125" t="str">
        <f t="shared" si="53"/>
        <v/>
      </c>
      <c r="EA44" s="125" t="str">
        <f t="shared" si="54"/>
        <v/>
      </c>
      <c r="EB44" s="125" t="str">
        <f t="shared" si="55"/>
        <v/>
      </c>
      <c r="EC44">
        <v>41</v>
      </c>
      <c r="ED44" s="108" t="str">
        <f>Data!B42</f>
        <v>KALLI AMSATU SHETTIMA</v>
      </c>
      <c r="EE44" s="109"/>
      <c r="EF44" s="109"/>
      <c r="EG44" s="109"/>
      <c r="EH44" s="109"/>
      <c r="EI44" s="127">
        <f t="shared" si="56"/>
        <v>0</v>
      </c>
      <c r="EJ44" s="127"/>
      <c r="EK44" s="127">
        <f t="shared" si="57"/>
        <v>0</v>
      </c>
      <c r="EL44" s="127" t="str">
        <f t="shared" si="58"/>
        <v/>
      </c>
      <c r="EM44" s="127" t="str">
        <f t="shared" si="59"/>
        <v/>
      </c>
      <c r="EN44" s="127" t="str">
        <f t="shared" si="60"/>
        <v/>
      </c>
      <c r="EO44">
        <v>41</v>
      </c>
      <c r="EP44" s="128" t="str">
        <f>Data!B42</f>
        <v>KALLI AMSATU SHETTIMA</v>
      </c>
      <c r="EQ44" s="109"/>
      <c r="ER44" s="109"/>
      <c r="ES44" s="109"/>
      <c r="ET44" s="109"/>
      <c r="EU44" s="123">
        <f t="shared" si="61"/>
        <v>0</v>
      </c>
      <c r="EV44" s="123"/>
      <c r="EW44" s="123">
        <f t="shared" si="62"/>
        <v>0</v>
      </c>
      <c r="EX44" s="123" t="str">
        <f t="shared" si="63"/>
        <v/>
      </c>
      <c r="EY44" s="123" t="str">
        <f t="shared" si="64"/>
        <v/>
      </c>
      <c r="EZ44" s="123" t="str">
        <f t="shared" si="65"/>
        <v/>
      </c>
      <c r="FA44">
        <v>41</v>
      </c>
      <c r="FB44" s="108" t="str">
        <f>Data!B42</f>
        <v>KALLI AMSATU SHETTIMA</v>
      </c>
      <c r="FC44" s="109"/>
      <c r="FD44" s="109"/>
      <c r="FE44" s="109"/>
      <c r="FF44" s="109"/>
      <c r="FG44" s="129">
        <f t="shared" si="66"/>
        <v>0</v>
      </c>
      <c r="FH44" s="129"/>
      <c r="FI44" s="129">
        <f t="shared" si="67"/>
        <v>0</v>
      </c>
      <c r="FJ44" s="129" t="str">
        <f t="shared" si="68"/>
        <v/>
      </c>
      <c r="FK44" s="129" t="str">
        <f t="shared" si="69"/>
        <v/>
      </c>
      <c r="FL44" s="129" t="str">
        <f t="shared" si="70"/>
        <v/>
      </c>
      <c r="FM44">
        <v>41</v>
      </c>
      <c r="FN44" s="108" t="str">
        <f>Data!B42</f>
        <v>KALLI AMSATU SHETTIMA</v>
      </c>
      <c r="FO44" s="109"/>
      <c r="FP44" s="109"/>
      <c r="FQ44" s="109"/>
      <c r="FR44" s="109"/>
      <c r="FS44" s="130">
        <f t="shared" si="71"/>
        <v>0</v>
      </c>
      <c r="FT44" s="130"/>
      <c r="FU44" s="130">
        <f t="shared" si="72"/>
        <v>0</v>
      </c>
      <c r="FV44" s="130" t="str">
        <f t="shared" si="73"/>
        <v/>
      </c>
      <c r="FW44" s="130" t="str">
        <f t="shared" si="74"/>
        <v/>
      </c>
      <c r="FX44" s="130" t="str">
        <f t="shared" si="75"/>
        <v/>
      </c>
      <c r="FY44">
        <v>41</v>
      </c>
      <c r="FZ44" s="108" t="str">
        <f>Data!B42</f>
        <v>KALLI AMSATU SHETTIMA</v>
      </c>
      <c r="GA44" s="109">
        <v>4</v>
      </c>
      <c r="GB44" s="109">
        <v>9</v>
      </c>
      <c r="GC44" s="109">
        <v>7</v>
      </c>
      <c r="GD44" s="109">
        <v>2</v>
      </c>
      <c r="GE44" s="131">
        <f t="shared" si="76"/>
        <v>22</v>
      </c>
      <c r="GF44" s="131">
        <v>16</v>
      </c>
      <c r="GG44" s="131">
        <f t="shared" si="77"/>
        <v>38</v>
      </c>
      <c r="GH44" s="131">
        <f t="shared" si="78"/>
        <v>37</v>
      </c>
      <c r="GI44" s="131" t="str">
        <f t="shared" si="79"/>
        <v>F</v>
      </c>
      <c r="GJ44" s="131" t="str">
        <f t="shared" si="80"/>
        <v>Fail</v>
      </c>
      <c r="GK44">
        <v>41</v>
      </c>
      <c r="GL44" s="108" t="str">
        <f>Data!B42</f>
        <v>KALLI AMSATU SHETTIMA</v>
      </c>
      <c r="GM44" s="132"/>
      <c r="GN44" s="132"/>
      <c r="GO44" s="132"/>
      <c r="GP44" s="132"/>
      <c r="GQ44" s="133">
        <f t="shared" si="81"/>
        <v>0</v>
      </c>
      <c r="GR44" s="132"/>
      <c r="GS44" s="133">
        <f t="shared" si="82"/>
        <v>0</v>
      </c>
      <c r="GT44" s="133" t="str">
        <f t="shared" si="83"/>
        <v/>
      </c>
      <c r="GU44" s="133" t="str">
        <f t="shared" si="84"/>
        <v/>
      </c>
      <c r="GV44" s="133" t="str">
        <f t="shared" si="85"/>
        <v/>
      </c>
      <c r="GW44">
        <v>41</v>
      </c>
      <c r="GX44" s="108" t="str">
        <f>Data!B42</f>
        <v>KALLI AMSATU SHETTIMA</v>
      </c>
      <c r="GY44" s="109"/>
      <c r="GZ44" s="109"/>
      <c r="HA44" s="109"/>
      <c r="HB44" s="109"/>
      <c r="HC44" s="119">
        <f t="shared" si="86"/>
        <v>0</v>
      </c>
      <c r="HD44" s="119"/>
      <c r="HE44" s="119">
        <f t="shared" si="87"/>
        <v>0</v>
      </c>
      <c r="HF44" s="119" t="str">
        <f t="shared" si="88"/>
        <v/>
      </c>
      <c r="HG44" s="119" t="str">
        <f t="shared" si="89"/>
        <v/>
      </c>
      <c r="HH44" s="119" t="str">
        <f t="shared" si="90"/>
        <v/>
      </c>
      <c r="HI44">
        <v>41</v>
      </c>
      <c r="HJ44" s="108" t="str">
        <f>Data!B42</f>
        <v>KALLI AMSATU SHETTIMA</v>
      </c>
      <c r="HK44" s="144">
        <v>3</v>
      </c>
      <c r="HL44" s="145">
        <v>5</v>
      </c>
      <c r="HM44" s="145"/>
      <c r="HN44" s="145"/>
      <c r="HO44" s="136">
        <f t="shared" si="91"/>
        <v>8</v>
      </c>
      <c r="HP44" s="144"/>
      <c r="HQ44" s="136">
        <f t="shared" si="92"/>
        <v>8</v>
      </c>
      <c r="HR44" s="136" t="str">
        <f t="shared" si="93"/>
        <v/>
      </c>
      <c r="HS44" s="136" t="str">
        <f t="shared" si="94"/>
        <v>F</v>
      </c>
      <c r="HT44" s="136" t="str">
        <f t="shared" si="95"/>
        <v>Fail</v>
      </c>
      <c r="HU44">
        <v>41</v>
      </c>
      <c r="HV44" s="108" t="str">
        <f>Data!B42</f>
        <v>KALLI AMSATU SHETTIMA</v>
      </c>
      <c r="HW44" s="109"/>
      <c r="HX44" s="109"/>
      <c r="HY44" s="109"/>
      <c r="HZ44" s="109"/>
      <c r="IA44" s="117">
        <f t="shared" si="96"/>
        <v>0</v>
      </c>
      <c r="IB44" s="117"/>
      <c r="IC44" s="117">
        <f t="shared" si="97"/>
        <v>0</v>
      </c>
      <c r="ID44" s="117" t="str">
        <f t="shared" si="98"/>
        <v/>
      </c>
      <c r="IE44" s="117" t="str">
        <f t="shared" si="99"/>
        <v/>
      </c>
      <c r="IF44" s="117" t="str">
        <f t="shared" si="100"/>
        <v/>
      </c>
      <c r="IG44">
        <v>41</v>
      </c>
      <c r="IH44" s="108" t="str">
        <f>Data!B42</f>
        <v>KALLI AMSATU SHETTIMA</v>
      </c>
      <c r="II44" s="109"/>
      <c r="IJ44" s="109"/>
      <c r="IK44" s="109"/>
      <c r="IL44" s="109"/>
      <c r="IM44" s="137">
        <f t="shared" si="101"/>
        <v>0</v>
      </c>
      <c r="IN44" s="137"/>
      <c r="IO44" s="137">
        <f t="shared" si="102"/>
        <v>0</v>
      </c>
      <c r="IP44" s="137" t="str">
        <f t="shared" si="103"/>
        <v/>
      </c>
      <c r="IQ44" s="137" t="str">
        <f t="shared" si="104"/>
        <v/>
      </c>
      <c r="IR44" s="137" t="str">
        <f t="shared" si="105"/>
        <v/>
      </c>
      <c r="IS44">
        <v>41</v>
      </c>
      <c r="IT44" s="108" t="str">
        <f t="shared" si="106"/>
        <v>KALLI AMSATU SHETTIMA</v>
      </c>
      <c r="IU44" s="138"/>
      <c r="IV44" s="138"/>
      <c r="IW44" s="138"/>
      <c r="IX44" s="138"/>
      <c r="IY44" s="131">
        <f t="shared" si="129"/>
        <v>0</v>
      </c>
      <c r="IZ44" s="138"/>
      <c r="JA44" s="131">
        <f t="shared" si="108"/>
        <v>0</v>
      </c>
      <c r="JB44" s="131" t="str">
        <f t="shared" si="109"/>
        <v/>
      </c>
      <c r="JC44" s="131" t="str">
        <f t="shared" si="110"/>
        <v/>
      </c>
      <c r="JD44" s="131" t="str">
        <f t="shared" si="111"/>
        <v/>
      </c>
      <c r="JE44">
        <v>41</v>
      </c>
      <c r="JF44" s="108" t="str">
        <f t="shared" si="112"/>
        <v>KALLI AMSATU SHETTIMA</v>
      </c>
      <c r="JG44" s="147"/>
      <c r="JH44" s="147"/>
      <c r="JI44" s="147"/>
      <c r="JJ44" s="147"/>
      <c r="JK44" s="113">
        <f t="shared" si="113"/>
        <v>0</v>
      </c>
      <c r="JL44" s="147"/>
      <c r="JM44" s="113">
        <f t="shared" si="114"/>
        <v>0</v>
      </c>
      <c r="JN44" s="113" t="str">
        <f t="shared" si="115"/>
        <v/>
      </c>
      <c r="JO44" s="113" t="str">
        <f t="shared" si="116"/>
        <v/>
      </c>
      <c r="JP44" s="113" t="str">
        <f t="shared" si="117"/>
        <v/>
      </c>
      <c r="JQ44">
        <v>41</v>
      </c>
      <c r="JR44" s="108" t="str">
        <f t="shared" si="118"/>
        <v>KALLI AMSATU SHETTIMA</v>
      </c>
      <c r="JS44" s="140"/>
      <c r="JT44" s="140"/>
      <c r="JU44" s="140"/>
      <c r="JV44" s="140"/>
      <c r="JW44" s="111">
        <f t="shared" si="119"/>
        <v>0</v>
      </c>
      <c r="JX44" s="141"/>
      <c r="JY44" s="111">
        <f t="shared" si="0"/>
        <v>0</v>
      </c>
      <c r="JZ44" s="111" t="str">
        <f t="shared" si="120"/>
        <v/>
      </c>
      <c r="KA44" s="111" t="str">
        <f t="shared" si="121"/>
        <v/>
      </c>
      <c r="KB44" s="111" t="str">
        <f t="shared" si="122"/>
        <v/>
      </c>
      <c r="KD44" s="47"/>
      <c r="KE44" s="47"/>
      <c r="KF44" s="47"/>
      <c r="KG44" s="47"/>
      <c r="KH44" s="47"/>
      <c r="KI44" s="47"/>
      <c r="KJ44" s="47"/>
      <c r="KK44" s="47"/>
      <c r="KM44" s="47"/>
      <c r="KN44" s="47"/>
      <c r="KO44" s="47"/>
      <c r="KP44" s="47"/>
      <c r="KQ44" s="47"/>
      <c r="KR44" s="47"/>
      <c r="KS44" s="47"/>
      <c r="KT44" s="47"/>
      <c r="KU44" s="47"/>
      <c r="KV44" s="47"/>
    </row>
    <row r="45" spans="1:308" ht="23.25">
      <c r="A45" s="211">
        <v>42</v>
      </c>
      <c r="B45" s="108" t="str">
        <f>Data!B43</f>
        <v>LUQMAN HIKMAH</v>
      </c>
      <c r="C45" s="109">
        <v>7</v>
      </c>
      <c r="D45" s="109">
        <v>1</v>
      </c>
      <c r="E45" s="109">
        <v>1</v>
      </c>
      <c r="F45" s="109">
        <v>4</v>
      </c>
      <c r="G45" s="111">
        <f t="shared" si="125"/>
        <v>13</v>
      </c>
      <c r="H45" s="111">
        <v>22</v>
      </c>
      <c r="I45" s="111">
        <f t="shared" si="126"/>
        <v>35</v>
      </c>
      <c r="J45" s="110">
        <f t="shared" si="3"/>
        <v>27</v>
      </c>
      <c r="K45" s="110" t="str">
        <f t="shared" si="4"/>
        <v>F</v>
      </c>
      <c r="L45" s="110" t="str">
        <f t="shared" si="5"/>
        <v>Fail</v>
      </c>
      <c r="M45" s="48">
        <v>42</v>
      </c>
      <c r="N45" s="108" t="str">
        <f>Data!B43</f>
        <v>LUQMAN HIKMAH</v>
      </c>
      <c r="O45" s="109"/>
      <c r="P45" s="109"/>
      <c r="Q45" s="109"/>
      <c r="R45" s="109"/>
      <c r="S45" s="111">
        <f t="shared" si="6"/>
        <v>0</v>
      </c>
      <c r="T45" s="111"/>
      <c r="U45" s="111">
        <f t="shared" si="7"/>
        <v>0</v>
      </c>
      <c r="V45" s="111" t="str">
        <f t="shared" si="8"/>
        <v/>
      </c>
      <c r="W45" s="111" t="str">
        <f t="shared" si="9"/>
        <v/>
      </c>
      <c r="X45" s="111" t="str">
        <f t="shared" si="10"/>
        <v/>
      </c>
      <c r="Y45" s="42">
        <v>42</v>
      </c>
      <c r="Z45" s="108" t="str">
        <f>Data!B43</f>
        <v>LUQMAN HIKMAH</v>
      </c>
      <c r="AA45" s="109">
        <v>7</v>
      </c>
      <c r="AB45" s="109">
        <v>1</v>
      </c>
      <c r="AC45" s="109">
        <v>1</v>
      </c>
      <c r="AD45" s="109">
        <v>4</v>
      </c>
      <c r="AE45" s="111">
        <f t="shared" si="127"/>
        <v>13</v>
      </c>
      <c r="AF45" s="112">
        <v>42</v>
      </c>
      <c r="AG45" s="113">
        <f t="shared" si="12"/>
        <v>55</v>
      </c>
      <c r="AH45" s="113">
        <f t="shared" si="13"/>
        <v>25</v>
      </c>
      <c r="AI45" s="113" t="str">
        <f t="shared" si="14"/>
        <v>C5</v>
      </c>
      <c r="AJ45" s="113" t="str">
        <f t="shared" si="15"/>
        <v>Credit</v>
      </c>
      <c r="AK45" s="42">
        <v>42</v>
      </c>
      <c r="AL45" s="108" t="str">
        <f>Data!B43</f>
        <v>LUQMAN HIKMAH</v>
      </c>
      <c r="AM45" s="114"/>
      <c r="AN45" s="114"/>
      <c r="AO45" s="114"/>
      <c r="AP45" s="114"/>
      <c r="AQ45" s="115">
        <f t="shared" si="16"/>
        <v>0</v>
      </c>
      <c r="AR45" s="114"/>
      <c r="AS45" s="115">
        <f t="shared" si="17"/>
        <v>0</v>
      </c>
      <c r="AT45" s="115" t="str">
        <f t="shared" si="18"/>
        <v/>
      </c>
      <c r="AU45" s="115" t="str">
        <f t="shared" si="19"/>
        <v/>
      </c>
      <c r="AV45" s="115" t="str">
        <f t="shared" si="20"/>
        <v/>
      </c>
      <c r="AW45" s="42">
        <v>42</v>
      </c>
      <c r="AX45" s="108" t="str">
        <f>Data!B43</f>
        <v>LUQMAN HIKMAH</v>
      </c>
      <c r="AY45" s="116"/>
      <c r="AZ45" s="116"/>
      <c r="BA45" s="116"/>
      <c r="BB45" s="116"/>
      <c r="BC45" s="117">
        <f t="shared" si="21"/>
        <v>0</v>
      </c>
      <c r="BD45" s="116"/>
      <c r="BE45" s="117">
        <f t="shared" si="22"/>
        <v>0</v>
      </c>
      <c r="BF45" s="117" t="str">
        <f t="shared" si="23"/>
        <v/>
      </c>
      <c r="BG45" s="117" t="str">
        <f t="shared" si="24"/>
        <v/>
      </c>
      <c r="BH45" s="117" t="str">
        <f t="shared" si="25"/>
        <v/>
      </c>
      <c r="BI45" s="67">
        <v>42</v>
      </c>
      <c r="BJ45" s="108" t="str">
        <f>Data!B43</f>
        <v>LUQMAN HIKMAH</v>
      </c>
      <c r="BK45" s="118"/>
      <c r="BL45" s="118"/>
      <c r="BM45" s="118"/>
      <c r="BN45" s="118"/>
      <c r="BO45" s="119">
        <f t="shared" si="128"/>
        <v>0</v>
      </c>
      <c r="BP45" s="118"/>
      <c r="BQ45" s="119">
        <f t="shared" si="27"/>
        <v>0</v>
      </c>
      <c r="BR45" s="119" t="str">
        <f t="shared" si="28"/>
        <v/>
      </c>
      <c r="BS45" s="119" t="str">
        <f t="shared" si="29"/>
        <v/>
      </c>
      <c r="BT45" s="119" t="str">
        <f t="shared" si="30"/>
        <v/>
      </c>
      <c r="BU45">
        <v>42</v>
      </c>
      <c r="BV45" s="108" t="str">
        <f>Data!B43</f>
        <v>LUQMAN HIKMAH</v>
      </c>
      <c r="BW45" s="120">
        <v>4</v>
      </c>
      <c r="BX45" s="120">
        <v>7</v>
      </c>
      <c r="BY45" s="120">
        <v>9</v>
      </c>
      <c r="BZ45" s="120">
        <v>7</v>
      </c>
      <c r="CA45" s="121">
        <f t="shared" si="31"/>
        <v>27</v>
      </c>
      <c r="CB45" s="120">
        <v>23</v>
      </c>
      <c r="CC45" s="121">
        <f t="shared" si="32"/>
        <v>50</v>
      </c>
      <c r="CD45" s="121">
        <f t="shared" si="33"/>
        <v>23</v>
      </c>
      <c r="CE45" s="121" t="str">
        <f t="shared" si="34"/>
        <v>C6</v>
      </c>
      <c r="CF45" s="121" t="str">
        <f t="shared" si="35"/>
        <v>Credit</v>
      </c>
      <c r="CG45">
        <v>42</v>
      </c>
      <c r="CH45" s="108" t="str">
        <f>Data!B43</f>
        <v>LUQMAN HIKMAH</v>
      </c>
      <c r="CI45" s="109"/>
      <c r="CJ45" s="109"/>
      <c r="CK45" s="109"/>
      <c r="CL45" s="109"/>
      <c r="CM45" s="122">
        <f t="shared" si="36"/>
        <v>0</v>
      </c>
      <c r="CN45" s="122"/>
      <c r="CO45" s="122">
        <f t="shared" si="37"/>
        <v>0</v>
      </c>
      <c r="CP45" s="122" t="str">
        <f t="shared" si="38"/>
        <v/>
      </c>
      <c r="CQ45" s="122" t="str">
        <f t="shared" si="39"/>
        <v/>
      </c>
      <c r="CR45" s="122" t="str">
        <f t="shared" si="40"/>
        <v/>
      </c>
      <c r="CS45">
        <v>42</v>
      </c>
      <c r="CT45" s="108" t="str">
        <f>Data!B43</f>
        <v>LUQMAN HIKMAH</v>
      </c>
      <c r="CU45" s="109"/>
      <c r="CV45" s="109"/>
      <c r="CW45" s="109"/>
      <c r="CX45" s="109"/>
      <c r="CY45" s="123">
        <f t="shared" si="41"/>
        <v>0</v>
      </c>
      <c r="CZ45" s="151"/>
      <c r="DA45" s="123">
        <f t="shared" si="42"/>
        <v>0</v>
      </c>
      <c r="DB45" s="123" t="str">
        <f t="shared" si="43"/>
        <v/>
      </c>
      <c r="DC45" s="123" t="str">
        <f t="shared" si="44"/>
        <v/>
      </c>
      <c r="DD45" s="123" t="str">
        <f t="shared" si="45"/>
        <v/>
      </c>
      <c r="DE45">
        <v>42</v>
      </c>
      <c r="DF45" s="108" t="str">
        <f>Data!B43</f>
        <v>LUQMAN HIKMAH</v>
      </c>
      <c r="DG45" s="109"/>
      <c r="DH45" s="109"/>
      <c r="DI45" s="109"/>
      <c r="DJ45" s="109"/>
      <c r="DK45" s="117">
        <f t="shared" si="46"/>
        <v>0</v>
      </c>
      <c r="DL45" s="116"/>
      <c r="DM45" s="117">
        <f t="shared" si="47"/>
        <v>0</v>
      </c>
      <c r="DN45" s="117" t="str">
        <f t="shared" si="48"/>
        <v/>
      </c>
      <c r="DO45" s="117" t="str">
        <f t="shared" si="49"/>
        <v/>
      </c>
      <c r="DP45" s="117" t="str">
        <f t="shared" si="50"/>
        <v/>
      </c>
      <c r="DQ45">
        <v>42</v>
      </c>
      <c r="DR45" s="108" t="str">
        <f>Data!B43</f>
        <v>LUQMAN HIKMAH</v>
      </c>
      <c r="DS45" s="124"/>
      <c r="DT45" s="124"/>
      <c r="DU45" s="124"/>
      <c r="DV45" s="124"/>
      <c r="DW45" s="125">
        <f t="shared" si="51"/>
        <v>0</v>
      </c>
      <c r="DX45" s="126"/>
      <c r="DY45" s="125">
        <f t="shared" si="52"/>
        <v>0</v>
      </c>
      <c r="DZ45" s="125" t="str">
        <f t="shared" si="53"/>
        <v/>
      </c>
      <c r="EA45" s="125" t="str">
        <f t="shared" si="54"/>
        <v/>
      </c>
      <c r="EB45" s="125" t="str">
        <f t="shared" si="55"/>
        <v/>
      </c>
      <c r="EC45">
        <v>42</v>
      </c>
      <c r="ED45" s="108" t="str">
        <f>Data!B43</f>
        <v>LUQMAN HIKMAH</v>
      </c>
      <c r="EE45" s="109"/>
      <c r="EF45" s="109"/>
      <c r="EG45" s="109"/>
      <c r="EH45" s="109"/>
      <c r="EI45" s="127">
        <f t="shared" si="56"/>
        <v>0</v>
      </c>
      <c r="EJ45" s="127"/>
      <c r="EK45" s="127">
        <f t="shared" si="57"/>
        <v>0</v>
      </c>
      <c r="EL45" s="127" t="str">
        <f t="shared" si="58"/>
        <v/>
      </c>
      <c r="EM45" s="127" t="str">
        <f t="shared" si="59"/>
        <v/>
      </c>
      <c r="EN45" s="127" t="str">
        <f t="shared" si="60"/>
        <v/>
      </c>
      <c r="EO45">
        <v>42</v>
      </c>
      <c r="EP45" s="128" t="str">
        <f>Data!B43</f>
        <v>LUQMAN HIKMAH</v>
      </c>
      <c r="EQ45" s="109"/>
      <c r="ER45" s="109"/>
      <c r="ES45" s="109"/>
      <c r="ET45" s="109"/>
      <c r="EU45" s="123">
        <f t="shared" si="61"/>
        <v>0</v>
      </c>
      <c r="EV45" s="123"/>
      <c r="EW45" s="123">
        <f t="shared" si="62"/>
        <v>0</v>
      </c>
      <c r="EX45" s="123" t="str">
        <f t="shared" si="63"/>
        <v/>
      </c>
      <c r="EY45" s="123" t="str">
        <f t="shared" si="64"/>
        <v/>
      </c>
      <c r="EZ45" s="123" t="str">
        <f t="shared" si="65"/>
        <v/>
      </c>
      <c r="FA45">
        <v>42</v>
      </c>
      <c r="FB45" s="108" t="str">
        <f>Data!B43</f>
        <v>LUQMAN HIKMAH</v>
      </c>
      <c r="FC45" s="109"/>
      <c r="FD45" s="109"/>
      <c r="FE45" s="109"/>
      <c r="FF45" s="109"/>
      <c r="FG45" s="129">
        <f t="shared" si="66"/>
        <v>0</v>
      </c>
      <c r="FH45" s="129"/>
      <c r="FI45" s="129">
        <f t="shared" si="67"/>
        <v>0</v>
      </c>
      <c r="FJ45" s="129" t="str">
        <f t="shared" si="68"/>
        <v/>
      </c>
      <c r="FK45" s="129" t="str">
        <f t="shared" si="69"/>
        <v/>
      </c>
      <c r="FL45" s="129" t="str">
        <f t="shared" si="70"/>
        <v/>
      </c>
      <c r="FM45">
        <v>42</v>
      </c>
      <c r="FN45" s="108" t="str">
        <f>Data!B43</f>
        <v>LUQMAN HIKMAH</v>
      </c>
      <c r="FO45" s="109"/>
      <c r="FP45" s="109"/>
      <c r="FQ45" s="109"/>
      <c r="FR45" s="109"/>
      <c r="FS45" s="130">
        <f t="shared" si="71"/>
        <v>0</v>
      </c>
      <c r="FT45" s="130"/>
      <c r="FU45" s="130">
        <f t="shared" si="72"/>
        <v>0</v>
      </c>
      <c r="FV45" s="130" t="str">
        <f t="shared" si="73"/>
        <v/>
      </c>
      <c r="FW45" s="130" t="str">
        <f t="shared" si="74"/>
        <v/>
      </c>
      <c r="FX45" s="130" t="str">
        <f t="shared" si="75"/>
        <v/>
      </c>
      <c r="FY45">
        <v>42</v>
      </c>
      <c r="FZ45" s="108" t="str">
        <f>Data!B43</f>
        <v>LUQMAN HIKMAH</v>
      </c>
      <c r="GA45" s="109">
        <v>8</v>
      </c>
      <c r="GB45" s="109">
        <v>9</v>
      </c>
      <c r="GC45" s="109">
        <v>9</v>
      </c>
      <c r="GD45" s="109">
        <v>9</v>
      </c>
      <c r="GE45" s="131">
        <f t="shared" si="76"/>
        <v>35</v>
      </c>
      <c r="GF45" s="131">
        <v>18</v>
      </c>
      <c r="GG45" s="131">
        <f t="shared" si="77"/>
        <v>53</v>
      </c>
      <c r="GH45" s="131">
        <f t="shared" si="78"/>
        <v>27</v>
      </c>
      <c r="GI45" s="131" t="str">
        <f t="shared" si="79"/>
        <v>C</v>
      </c>
      <c r="GJ45" s="131" t="str">
        <f t="shared" si="80"/>
        <v>Credit</v>
      </c>
      <c r="GK45">
        <v>42</v>
      </c>
      <c r="GL45" s="108" t="str">
        <f>Data!B43</f>
        <v>LUQMAN HIKMAH</v>
      </c>
      <c r="GM45" s="132"/>
      <c r="GN45" s="132"/>
      <c r="GO45" s="132"/>
      <c r="GP45" s="132"/>
      <c r="GQ45" s="133">
        <f t="shared" si="81"/>
        <v>0</v>
      </c>
      <c r="GR45" s="132"/>
      <c r="GS45" s="133">
        <f t="shared" si="82"/>
        <v>0</v>
      </c>
      <c r="GT45" s="133" t="str">
        <f t="shared" si="83"/>
        <v/>
      </c>
      <c r="GU45" s="133" t="str">
        <f t="shared" si="84"/>
        <v/>
      </c>
      <c r="GV45" s="133" t="str">
        <f t="shared" si="85"/>
        <v/>
      </c>
      <c r="GW45">
        <v>42</v>
      </c>
      <c r="GX45" s="108" t="str">
        <f>Data!B43</f>
        <v>LUQMAN HIKMAH</v>
      </c>
      <c r="GY45" s="109"/>
      <c r="GZ45" s="109"/>
      <c r="HA45" s="109"/>
      <c r="HB45" s="109"/>
      <c r="HC45" s="119">
        <f t="shared" si="86"/>
        <v>0</v>
      </c>
      <c r="HD45" s="119"/>
      <c r="HE45" s="119">
        <f t="shared" si="87"/>
        <v>0</v>
      </c>
      <c r="HF45" s="119" t="str">
        <f t="shared" si="88"/>
        <v/>
      </c>
      <c r="HG45" s="119" t="str">
        <f t="shared" si="89"/>
        <v/>
      </c>
      <c r="HH45" s="119" t="str">
        <f t="shared" si="90"/>
        <v/>
      </c>
      <c r="HI45">
        <v>42</v>
      </c>
      <c r="HJ45" s="108" t="str">
        <f>Data!B43</f>
        <v>LUQMAN HIKMAH</v>
      </c>
      <c r="HK45" s="144">
        <v>4</v>
      </c>
      <c r="HL45" s="145">
        <v>8</v>
      </c>
      <c r="HM45" s="145"/>
      <c r="HN45" s="145"/>
      <c r="HO45" s="136">
        <f t="shared" si="91"/>
        <v>12</v>
      </c>
      <c r="HP45" s="144"/>
      <c r="HQ45" s="136">
        <f t="shared" si="92"/>
        <v>12</v>
      </c>
      <c r="HR45" s="136">
        <f t="shared" si="93"/>
        <v>8</v>
      </c>
      <c r="HS45" s="136" t="str">
        <f t="shared" si="94"/>
        <v>F</v>
      </c>
      <c r="HT45" s="136" t="str">
        <f t="shared" si="95"/>
        <v>Fail</v>
      </c>
      <c r="HU45">
        <v>42</v>
      </c>
      <c r="HV45" s="108" t="str">
        <f>Data!B43</f>
        <v>LUQMAN HIKMAH</v>
      </c>
      <c r="HW45" s="109"/>
      <c r="HX45" s="109"/>
      <c r="HY45" s="109"/>
      <c r="HZ45" s="109"/>
      <c r="IA45" s="117">
        <f t="shared" si="96"/>
        <v>0</v>
      </c>
      <c r="IB45" s="117"/>
      <c r="IC45" s="117">
        <f t="shared" si="97"/>
        <v>0</v>
      </c>
      <c r="ID45" s="117" t="str">
        <f t="shared" si="98"/>
        <v/>
      </c>
      <c r="IE45" s="117" t="str">
        <f t="shared" si="99"/>
        <v/>
      </c>
      <c r="IF45" s="117" t="str">
        <f t="shared" si="100"/>
        <v/>
      </c>
      <c r="IG45">
        <v>42</v>
      </c>
      <c r="IH45" s="108" t="str">
        <f>Data!B43</f>
        <v>LUQMAN HIKMAH</v>
      </c>
      <c r="II45" s="109"/>
      <c r="IJ45" s="109"/>
      <c r="IK45" s="109"/>
      <c r="IL45" s="109"/>
      <c r="IM45" s="137">
        <f t="shared" si="101"/>
        <v>0</v>
      </c>
      <c r="IN45" s="137"/>
      <c r="IO45" s="137">
        <f t="shared" si="102"/>
        <v>0</v>
      </c>
      <c r="IP45" s="137" t="str">
        <f t="shared" si="103"/>
        <v/>
      </c>
      <c r="IQ45" s="137" t="str">
        <f t="shared" si="104"/>
        <v/>
      </c>
      <c r="IR45" s="137" t="str">
        <f t="shared" si="105"/>
        <v/>
      </c>
      <c r="IS45">
        <v>42</v>
      </c>
      <c r="IT45" s="108" t="str">
        <f t="shared" si="106"/>
        <v>LUQMAN HIKMAH</v>
      </c>
      <c r="IU45" s="150"/>
      <c r="IV45" s="150"/>
      <c r="IW45" s="150"/>
      <c r="IX45" s="150"/>
      <c r="IY45" s="131">
        <f t="shared" si="129"/>
        <v>0</v>
      </c>
      <c r="IZ45" s="138"/>
      <c r="JA45" s="131">
        <f t="shared" si="108"/>
        <v>0</v>
      </c>
      <c r="JB45" s="131" t="str">
        <f t="shared" si="109"/>
        <v/>
      </c>
      <c r="JC45" s="131" t="str">
        <f t="shared" si="110"/>
        <v/>
      </c>
      <c r="JD45" s="131" t="str">
        <f t="shared" si="111"/>
        <v/>
      </c>
      <c r="JE45">
        <v>42</v>
      </c>
      <c r="JF45" s="108" t="str">
        <f t="shared" si="112"/>
        <v>LUQMAN HIKMAH</v>
      </c>
      <c r="JG45" s="147"/>
      <c r="JH45" s="147"/>
      <c r="JI45" s="147"/>
      <c r="JJ45" s="147"/>
      <c r="JK45" s="113">
        <f t="shared" si="113"/>
        <v>0</v>
      </c>
      <c r="JL45" s="147"/>
      <c r="JM45" s="113">
        <f t="shared" si="114"/>
        <v>0</v>
      </c>
      <c r="JN45" s="113" t="str">
        <f t="shared" si="115"/>
        <v/>
      </c>
      <c r="JO45" s="113" t="str">
        <f t="shared" si="116"/>
        <v/>
      </c>
      <c r="JP45" s="113" t="str">
        <f t="shared" si="117"/>
        <v/>
      </c>
      <c r="JQ45">
        <v>42</v>
      </c>
      <c r="JR45" s="108" t="str">
        <f t="shared" si="118"/>
        <v>LUQMAN HIKMAH</v>
      </c>
      <c r="JS45" s="140"/>
      <c r="JT45" s="140"/>
      <c r="JU45" s="140"/>
      <c r="JV45" s="140"/>
      <c r="JW45" s="111">
        <f t="shared" si="119"/>
        <v>0</v>
      </c>
      <c r="JX45" s="141"/>
      <c r="JY45" s="111">
        <f t="shared" si="0"/>
        <v>0</v>
      </c>
      <c r="JZ45" s="111" t="str">
        <f t="shared" si="120"/>
        <v/>
      </c>
      <c r="KA45" s="111" t="str">
        <f t="shared" si="121"/>
        <v/>
      </c>
      <c r="KB45" s="111" t="str">
        <f t="shared" si="122"/>
        <v/>
      </c>
      <c r="KD45" s="47"/>
      <c r="KE45" s="47"/>
      <c r="KF45" s="47"/>
      <c r="KG45" s="47"/>
      <c r="KH45" s="47"/>
      <c r="KI45" s="47"/>
      <c r="KJ45" s="47"/>
      <c r="KK45" s="47"/>
      <c r="KM45" s="47"/>
      <c r="KN45" s="47"/>
      <c r="KO45" s="47"/>
      <c r="KP45" s="47"/>
      <c r="KQ45" s="47"/>
      <c r="KR45" s="47"/>
      <c r="KS45" s="47"/>
      <c r="KT45" s="47"/>
      <c r="KU45" s="47"/>
      <c r="KV45" s="47"/>
    </row>
    <row r="46" spans="1:308" ht="23.25">
      <c r="A46" s="211">
        <v>43</v>
      </c>
      <c r="B46" s="108" t="str">
        <f>Data!B44</f>
        <v>MADU AYAMU YARIMA</v>
      </c>
      <c r="C46" s="109">
        <v>10</v>
      </c>
      <c r="D46" s="109">
        <v>4</v>
      </c>
      <c r="E46" s="109">
        <v>1</v>
      </c>
      <c r="F46" s="109">
        <v>5</v>
      </c>
      <c r="G46" s="111">
        <f t="shared" si="125"/>
        <v>20</v>
      </c>
      <c r="H46" s="111">
        <v>32</v>
      </c>
      <c r="I46" s="111">
        <f t="shared" si="126"/>
        <v>52</v>
      </c>
      <c r="J46" s="110">
        <f t="shared" si="3"/>
        <v>10</v>
      </c>
      <c r="K46" s="110" t="str">
        <f t="shared" si="4"/>
        <v>C6</v>
      </c>
      <c r="L46" s="110" t="str">
        <f t="shared" si="5"/>
        <v>Credit</v>
      </c>
      <c r="M46" s="48">
        <v>43</v>
      </c>
      <c r="N46" s="108" t="str">
        <f>Data!B44</f>
        <v>MADU AYAMU YARIMA</v>
      </c>
      <c r="O46" s="109"/>
      <c r="P46" s="109"/>
      <c r="Q46" s="109"/>
      <c r="R46" s="109"/>
      <c r="S46" s="111">
        <f t="shared" si="6"/>
        <v>0</v>
      </c>
      <c r="T46" s="111"/>
      <c r="U46" s="111">
        <f t="shared" si="7"/>
        <v>0</v>
      </c>
      <c r="V46" s="111" t="str">
        <f t="shared" si="8"/>
        <v/>
      </c>
      <c r="W46" s="111" t="str">
        <f t="shared" si="9"/>
        <v/>
      </c>
      <c r="X46" s="111" t="str">
        <f t="shared" si="10"/>
        <v/>
      </c>
      <c r="Y46" s="42">
        <v>43</v>
      </c>
      <c r="Z46" s="108" t="str">
        <f>Data!B44</f>
        <v>MADU AYAMU YARIMA</v>
      </c>
      <c r="AA46" s="109">
        <v>10</v>
      </c>
      <c r="AB46" s="109">
        <v>4</v>
      </c>
      <c r="AC46" s="109">
        <v>1</v>
      </c>
      <c r="AD46" s="109">
        <v>5</v>
      </c>
      <c r="AE46" s="111">
        <f t="shared" si="127"/>
        <v>20</v>
      </c>
      <c r="AF46" s="112">
        <v>42</v>
      </c>
      <c r="AG46" s="113">
        <f t="shared" si="12"/>
        <v>62</v>
      </c>
      <c r="AH46" s="113">
        <f t="shared" si="13"/>
        <v>15</v>
      </c>
      <c r="AI46" s="113" t="str">
        <f t="shared" si="14"/>
        <v>C4</v>
      </c>
      <c r="AJ46" s="113" t="str">
        <f t="shared" si="15"/>
        <v>Credit</v>
      </c>
      <c r="AK46" s="42">
        <v>43</v>
      </c>
      <c r="AL46" s="108" t="str">
        <f>Data!B44</f>
        <v>MADU AYAMU YARIMA</v>
      </c>
      <c r="AM46" s="114"/>
      <c r="AN46" s="114"/>
      <c r="AO46" s="114"/>
      <c r="AP46" s="114"/>
      <c r="AQ46" s="115">
        <f t="shared" si="16"/>
        <v>0</v>
      </c>
      <c r="AR46" s="114"/>
      <c r="AS46" s="115">
        <f t="shared" si="17"/>
        <v>0</v>
      </c>
      <c r="AT46" s="115" t="str">
        <f t="shared" si="18"/>
        <v/>
      </c>
      <c r="AU46" s="115" t="str">
        <f t="shared" si="19"/>
        <v/>
      </c>
      <c r="AV46" s="115" t="str">
        <f t="shared" si="20"/>
        <v/>
      </c>
      <c r="AW46" s="42">
        <v>43</v>
      </c>
      <c r="AX46" s="108" t="str">
        <f>Data!B44</f>
        <v>MADU AYAMU YARIMA</v>
      </c>
      <c r="AY46" s="116"/>
      <c r="AZ46" s="116"/>
      <c r="BA46" s="116"/>
      <c r="BB46" s="116"/>
      <c r="BC46" s="117">
        <f t="shared" si="21"/>
        <v>0</v>
      </c>
      <c r="BD46" s="116"/>
      <c r="BE46" s="117">
        <f t="shared" si="22"/>
        <v>0</v>
      </c>
      <c r="BF46" s="117" t="str">
        <f t="shared" si="23"/>
        <v/>
      </c>
      <c r="BG46" s="117" t="str">
        <f t="shared" si="24"/>
        <v/>
      </c>
      <c r="BH46" s="117" t="str">
        <f t="shared" si="25"/>
        <v/>
      </c>
      <c r="BI46" s="67">
        <v>43</v>
      </c>
      <c r="BJ46" s="108" t="str">
        <f>Data!B44</f>
        <v>MADU AYAMU YARIMA</v>
      </c>
      <c r="BK46" s="118"/>
      <c r="BL46" s="118"/>
      <c r="BM46" s="118"/>
      <c r="BN46" s="118"/>
      <c r="BO46" s="119">
        <f t="shared" si="128"/>
        <v>0</v>
      </c>
      <c r="BP46" s="118"/>
      <c r="BQ46" s="119">
        <f t="shared" si="27"/>
        <v>0</v>
      </c>
      <c r="BR46" s="119" t="str">
        <f t="shared" si="28"/>
        <v/>
      </c>
      <c r="BS46" s="119" t="str">
        <f t="shared" si="29"/>
        <v/>
      </c>
      <c r="BT46" s="119" t="str">
        <f t="shared" si="30"/>
        <v/>
      </c>
      <c r="BU46">
        <v>43</v>
      </c>
      <c r="BV46" s="108" t="str">
        <f>Data!B44</f>
        <v>MADU AYAMU YARIMA</v>
      </c>
      <c r="BW46" s="120">
        <v>7</v>
      </c>
      <c r="BX46" s="120">
        <v>4</v>
      </c>
      <c r="BY46" s="120">
        <v>8</v>
      </c>
      <c r="BZ46" s="120"/>
      <c r="CA46" s="121">
        <f t="shared" si="31"/>
        <v>19</v>
      </c>
      <c r="CB46" s="120">
        <v>22</v>
      </c>
      <c r="CC46" s="121">
        <f t="shared" si="32"/>
        <v>41</v>
      </c>
      <c r="CD46" s="121">
        <f t="shared" si="33"/>
        <v>35</v>
      </c>
      <c r="CE46" s="121" t="str">
        <f t="shared" si="34"/>
        <v>E8</v>
      </c>
      <c r="CF46" s="121" t="str">
        <f t="shared" si="35"/>
        <v>Pass</v>
      </c>
      <c r="CG46">
        <v>43</v>
      </c>
      <c r="CH46" s="108" t="str">
        <f>Data!B44</f>
        <v>MADU AYAMU YARIMA</v>
      </c>
      <c r="CI46" s="109"/>
      <c r="CJ46" s="109"/>
      <c r="CK46" s="109"/>
      <c r="CL46" s="109"/>
      <c r="CM46" s="122">
        <f t="shared" si="36"/>
        <v>0</v>
      </c>
      <c r="CN46" s="122"/>
      <c r="CO46" s="122">
        <f t="shared" si="37"/>
        <v>0</v>
      </c>
      <c r="CP46" s="122" t="str">
        <f t="shared" si="38"/>
        <v/>
      </c>
      <c r="CQ46" s="122" t="str">
        <f t="shared" si="39"/>
        <v/>
      </c>
      <c r="CR46" s="122" t="str">
        <f t="shared" si="40"/>
        <v/>
      </c>
      <c r="CS46">
        <v>43</v>
      </c>
      <c r="CT46" s="108" t="str">
        <f>Data!B44</f>
        <v>MADU AYAMU YARIMA</v>
      </c>
      <c r="CU46" s="109"/>
      <c r="CV46" s="109"/>
      <c r="CW46" s="109"/>
      <c r="CX46" s="109"/>
      <c r="CY46" s="123">
        <f t="shared" si="41"/>
        <v>0</v>
      </c>
      <c r="CZ46" s="151"/>
      <c r="DA46" s="123">
        <f t="shared" si="42"/>
        <v>0</v>
      </c>
      <c r="DB46" s="123" t="str">
        <f t="shared" si="43"/>
        <v/>
      </c>
      <c r="DC46" s="123" t="str">
        <f t="shared" si="44"/>
        <v/>
      </c>
      <c r="DD46" s="123" t="str">
        <f t="shared" si="45"/>
        <v/>
      </c>
      <c r="DE46">
        <v>43</v>
      </c>
      <c r="DF46" s="108" t="str">
        <f>Data!B44</f>
        <v>MADU AYAMU YARIMA</v>
      </c>
      <c r="DG46" s="109"/>
      <c r="DH46" s="109"/>
      <c r="DI46" s="109"/>
      <c r="DJ46" s="109"/>
      <c r="DK46" s="117">
        <f t="shared" si="46"/>
        <v>0</v>
      </c>
      <c r="DL46" s="116"/>
      <c r="DM46" s="117">
        <f t="shared" si="47"/>
        <v>0</v>
      </c>
      <c r="DN46" s="117" t="str">
        <f t="shared" si="48"/>
        <v/>
      </c>
      <c r="DO46" s="117" t="str">
        <f t="shared" si="49"/>
        <v/>
      </c>
      <c r="DP46" s="117" t="str">
        <f t="shared" si="50"/>
        <v/>
      </c>
      <c r="DQ46">
        <v>43</v>
      </c>
      <c r="DR46" s="108" t="str">
        <f>Data!B44</f>
        <v>MADU AYAMU YARIMA</v>
      </c>
      <c r="DS46" s="152"/>
      <c r="DT46" s="152"/>
      <c r="DU46" s="152"/>
      <c r="DV46" s="152"/>
      <c r="DW46" s="125">
        <f t="shared" si="51"/>
        <v>0</v>
      </c>
      <c r="DX46" s="153"/>
      <c r="DY46" s="125">
        <f t="shared" si="52"/>
        <v>0</v>
      </c>
      <c r="DZ46" s="125" t="str">
        <f t="shared" si="53"/>
        <v/>
      </c>
      <c r="EA46" s="125" t="str">
        <f t="shared" si="54"/>
        <v/>
      </c>
      <c r="EB46" s="125" t="str">
        <f t="shared" si="55"/>
        <v/>
      </c>
      <c r="EC46">
        <v>43</v>
      </c>
      <c r="ED46" s="108" t="str">
        <f>Data!B44</f>
        <v>MADU AYAMU YARIMA</v>
      </c>
      <c r="EE46" s="109"/>
      <c r="EF46" s="109"/>
      <c r="EG46" s="109"/>
      <c r="EH46" s="109"/>
      <c r="EI46" s="127">
        <f t="shared" si="56"/>
        <v>0</v>
      </c>
      <c r="EJ46" s="127"/>
      <c r="EK46" s="127">
        <f t="shared" si="57"/>
        <v>0</v>
      </c>
      <c r="EL46" s="127" t="str">
        <f t="shared" si="58"/>
        <v/>
      </c>
      <c r="EM46" s="127" t="str">
        <f t="shared" si="59"/>
        <v/>
      </c>
      <c r="EN46" s="127" t="str">
        <f t="shared" si="60"/>
        <v/>
      </c>
      <c r="EO46">
        <v>43</v>
      </c>
      <c r="EP46" s="128" t="str">
        <f>Data!B44</f>
        <v>MADU AYAMU YARIMA</v>
      </c>
      <c r="EQ46" s="109"/>
      <c r="ER46" s="109"/>
      <c r="ES46" s="109"/>
      <c r="ET46" s="109"/>
      <c r="EU46" s="123">
        <f t="shared" si="61"/>
        <v>0</v>
      </c>
      <c r="EV46" s="123"/>
      <c r="EW46" s="123">
        <f t="shared" si="62"/>
        <v>0</v>
      </c>
      <c r="EX46" s="123" t="str">
        <f t="shared" si="63"/>
        <v/>
      </c>
      <c r="EY46" s="123" t="str">
        <f t="shared" si="64"/>
        <v/>
      </c>
      <c r="EZ46" s="123" t="str">
        <f t="shared" si="65"/>
        <v/>
      </c>
      <c r="FA46">
        <v>43</v>
      </c>
      <c r="FB46" s="108" t="str">
        <f>Data!B44</f>
        <v>MADU AYAMU YARIMA</v>
      </c>
      <c r="FC46" s="109"/>
      <c r="FD46" s="109"/>
      <c r="FE46" s="109"/>
      <c r="FF46" s="109"/>
      <c r="FG46" s="129">
        <f t="shared" si="66"/>
        <v>0</v>
      </c>
      <c r="FH46" s="129"/>
      <c r="FI46" s="129">
        <f t="shared" si="67"/>
        <v>0</v>
      </c>
      <c r="FJ46" s="129" t="str">
        <f t="shared" si="68"/>
        <v/>
      </c>
      <c r="FK46" s="129" t="str">
        <f t="shared" si="69"/>
        <v/>
      </c>
      <c r="FL46" s="129" t="str">
        <f t="shared" si="70"/>
        <v/>
      </c>
      <c r="FM46">
        <v>43</v>
      </c>
      <c r="FN46" s="108" t="str">
        <f>Data!B44</f>
        <v>MADU AYAMU YARIMA</v>
      </c>
      <c r="FO46" s="109"/>
      <c r="FP46" s="109"/>
      <c r="FQ46" s="109"/>
      <c r="FR46" s="109"/>
      <c r="FS46" s="130">
        <f t="shared" si="71"/>
        <v>0</v>
      </c>
      <c r="FT46" s="130"/>
      <c r="FU46" s="130">
        <f t="shared" si="72"/>
        <v>0</v>
      </c>
      <c r="FV46" s="130" t="str">
        <f t="shared" si="73"/>
        <v/>
      </c>
      <c r="FW46" s="130" t="str">
        <f t="shared" si="74"/>
        <v/>
      </c>
      <c r="FX46" s="130" t="str">
        <f t="shared" si="75"/>
        <v/>
      </c>
      <c r="FY46">
        <v>43</v>
      </c>
      <c r="FZ46" s="108" t="str">
        <f>Data!B44</f>
        <v>MADU AYAMU YARIMA</v>
      </c>
      <c r="GA46" s="109">
        <v>7</v>
      </c>
      <c r="GB46" s="109">
        <v>5</v>
      </c>
      <c r="GC46" s="109">
        <v>7</v>
      </c>
      <c r="GD46" s="109">
        <v>6</v>
      </c>
      <c r="GE46" s="131">
        <f t="shared" si="76"/>
        <v>25</v>
      </c>
      <c r="GF46" s="131">
        <v>28</v>
      </c>
      <c r="GG46" s="131">
        <f t="shared" si="77"/>
        <v>53</v>
      </c>
      <c r="GH46" s="131">
        <f t="shared" si="78"/>
        <v>27</v>
      </c>
      <c r="GI46" s="131" t="str">
        <f t="shared" si="79"/>
        <v>C</v>
      </c>
      <c r="GJ46" s="131" t="str">
        <f t="shared" si="80"/>
        <v>Credit</v>
      </c>
      <c r="GK46">
        <v>43</v>
      </c>
      <c r="GL46" s="108" t="str">
        <f>Data!B44</f>
        <v>MADU AYAMU YARIMA</v>
      </c>
      <c r="GM46" s="132"/>
      <c r="GN46" s="132"/>
      <c r="GO46" s="132"/>
      <c r="GP46" s="132"/>
      <c r="GQ46" s="133">
        <f t="shared" si="81"/>
        <v>0</v>
      </c>
      <c r="GR46" s="132"/>
      <c r="GS46" s="133">
        <f t="shared" si="82"/>
        <v>0</v>
      </c>
      <c r="GT46" s="133" t="str">
        <f t="shared" si="83"/>
        <v/>
      </c>
      <c r="GU46" s="133" t="str">
        <f t="shared" si="84"/>
        <v/>
      </c>
      <c r="GV46" s="133" t="str">
        <f t="shared" si="85"/>
        <v/>
      </c>
      <c r="GW46">
        <v>43</v>
      </c>
      <c r="GX46" s="108" t="str">
        <f>Data!B44</f>
        <v>MADU AYAMU YARIMA</v>
      </c>
      <c r="GY46" s="109"/>
      <c r="GZ46" s="109"/>
      <c r="HA46" s="109"/>
      <c r="HB46" s="109"/>
      <c r="HC46" s="119">
        <f t="shared" si="86"/>
        <v>0</v>
      </c>
      <c r="HD46" s="119"/>
      <c r="HE46" s="119">
        <f t="shared" si="87"/>
        <v>0</v>
      </c>
      <c r="HF46" s="119" t="str">
        <f t="shared" si="88"/>
        <v/>
      </c>
      <c r="HG46" s="119" t="str">
        <f t="shared" si="89"/>
        <v/>
      </c>
      <c r="HH46" s="119" t="str">
        <f t="shared" si="90"/>
        <v/>
      </c>
      <c r="HI46">
        <v>43</v>
      </c>
      <c r="HJ46" s="108" t="str">
        <f>Data!B44</f>
        <v>MADU AYAMU YARIMA</v>
      </c>
      <c r="HK46" s="144">
        <v>3</v>
      </c>
      <c r="HL46" s="145">
        <v>6</v>
      </c>
      <c r="HM46" s="145"/>
      <c r="HN46" s="145"/>
      <c r="HO46" s="136">
        <f t="shared" si="91"/>
        <v>9</v>
      </c>
      <c r="HP46" s="144"/>
      <c r="HQ46" s="136">
        <f t="shared" si="92"/>
        <v>9</v>
      </c>
      <c r="HR46" s="136" t="str">
        <f t="shared" si="93"/>
        <v/>
      </c>
      <c r="HS46" s="136" t="str">
        <f t="shared" si="94"/>
        <v>F</v>
      </c>
      <c r="HT46" s="136" t="str">
        <f t="shared" si="95"/>
        <v>Fail</v>
      </c>
      <c r="HU46">
        <v>43</v>
      </c>
      <c r="HV46" s="108" t="str">
        <f>Data!B44</f>
        <v>MADU AYAMU YARIMA</v>
      </c>
      <c r="HW46" s="109"/>
      <c r="HX46" s="109"/>
      <c r="HY46" s="109"/>
      <c r="HZ46" s="109"/>
      <c r="IA46" s="117">
        <f t="shared" si="96"/>
        <v>0</v>
      </c>
      <c r="IB46" s="117"/>
      <c r="IC46" s="117">
        <f t="shared" si="97"/>
        <v>0</v>
      </c>
      <c r="ID46" s="117" t="str">
        <f t="shared" si="98"/>
        <v/>
      </c>
      <c r="IE46" s="117" t="str">
        <f t="shared" si="99"/>
        <v/>
      </c>
      <c r="IF46" s="117" t="str">
        <f t="shared" si="100"/>
        <v/>
      </c>
      <c r="IG46">
        <v>43</v>
      </c>
      <c r="IH46" s="108" t="str">
        <f>Data!B44</f>
        <v>MADU AYAMU YARIMA</v>
      </c>
      <c r="II46" s="109"/>
      <c r="IJ46" s="109"/>
      <c r="IK46" s="109"/>
      <c r="IL46" s="109"/>
      <c r="IM46" s="137">
        <f t="shared" si="101"/>
        <v>0</v>
      </c>
      <c r="IN46" s="137"/>
      <c r="IO46" s="137">
        <f t="shared" si="102"/>
        <v>0</v>
      </c>
      <c r="IP46" s="137" t="str">
        <f t="shared" si="103"/>
        <v/>
      </c>
      <c r="IQ46" s="137" t="str">
        <f t="shared" si="104"/>
        <v/>
      </c>
      <c r="IR46" s="137" t="str">
        <f t="shared" si="105"/>
        <v/>
      </c>
      <c r="IS46">
        <v>43</v>
      </c>
      <c r="IT46" s="108" t="str">
        <f t="shared" si="106"/>
        <v>MADU AYAMU YARIMA</v>
      </c>
      <c r="IU46" s="150"/>
      <c r="IV46" s="150"/>
      <c r="IW46" s="150"/>
      <c r="IX46" s="150"/>
      <c r="IY46" s="131">
        <f t="shared" si="129"/>
        <v>0</v>
      </c>
      <c r="IZ46" s="138"/>
      <c r="JA46" s="131">
        <f t="shared" si="108"/>
        <v>0</v>
      </c>
      <c r="JB46" s="131" t="str">
        <f t="shared" si="109"/>
        <v/>
      </c>
      <c r="JC46" s="131" t="str">
        <f t="shared" si="110"/>
        <v/>
      </c>
      <c r="JD46" s="131" t="str">
        <f t="shared" si="111"/>
        <v/>
      </c>
      <c r="JE46">
        <v>43</v>
      </c>
      <c r="JF46" s="108" t="str">
        <f t="shared" si="112"/>
        <v>MADU AYAMU YARIMA</v>
      </c>
      <c r="JG46" s="147"/>
      <c r="JH46" s="147"/>
      <c r="JI46" s="147"/>
      <c r="JJ46" s="147"/>
      <c r="JK46" s="113">
        <f t="shared" si="113"/>
        <v>0</v>
      </c>
      <c r="JL46" s="147"/>
      <c r="JM46" s="113">
        <f t="shared" si="114"/>
        <v>0</v>
      </c>
      <c r="JN46" s="113" t="str">
        <f t="shared" si="115"/>
        <v/>
      </c>
      <c r="JO46" s="113" t="str">
        <f t="shared" si="116"/>
        <v/>
      </c>
      <c r="JP46" s="113" t="str">
        <f t="shared" si="117"/>
        <v/>
      </c>
      <c r="JQ46">
        <v>43</v>
      </c>
      <c r="JR46" s="108" t="str">
        <f t="shared" si="118"/>
        <v>MADU AYAMU YARIMA</v>
      </c>
      <c r="JS46" s="140"/>
      <c r="JT46" s="140"/>
      <c r="JU46" s="140"/>
      <c r="JV46" s="140"/>
      <c r="JW46" s="111">
        <f t="shared" si="119"/>
        <v>0</v>
      </c>
      <c r="JX46" s="141"/>
      <c r="JY46" s="111">
        <f t="shared" si="0"/>
        <v>0</v>
      </c>
      <c r="JZ46" s="111" t="str">
        <f t="shared" si="120"/>
        <v/>
      </c>
      <c r="KA46" s="111" t="str">
        <f t="shared" si="121"/>
        <v/>
      </c>
      <c r="KB46" s="111" t="str">
        <f t="shared" si="122"/>
        <v/>
      </c>
      <c r="KD46" s="47"/>
      <c r="KE46" s="47"/>
      <c r="KF46" s="47"/>
      <c r="KG46" s="47"/>
      <c r="KH46" s="47"/>
      <c r="KI46" s="47"/>
      <c r="KJ46" s="47"/>
      <c r="KK46" s="47"/>
      <c r="KM46" s="47"/>
      <c r="KN46" s="47"/>
      <c r="KO46" s="47"/>
      <c r="KP46" s="47"/>
      <c r="KQ46" s="47"/>
      <c r="KR46" s="47"/>
      <c r="KS46" s="47"/>
      <c r="KT46" s="47"/>
      <c r="KU46" s="47"/>
      <c r="KV46" s="47"/>
    </row>
    <row r="47" spans="1:308" ht="23.25">
      <c r="A47" s="211">
        <v>44</v>
      </c>
      <c r="B47" s="108" t="str">
        <f>Data!B45</f>
        <v>MUHAMMED SAKINAH ABDU</v>
      </c>
      <c r="C47" s="109">
        <v>5</v>
      </c>
      <c r="D47" s="109">
        <v>2</v>
      </c>
      <c r="E47" s="109">
        <v>10</v>
      </c>
      <c r="F47" s="109">
        <v>10</v>
      </c>
      <c r="G47" s="111"/>
      <c r="H47" s="111">
        <v>25</v>
      </c>
      <c r="I47" s="111">
        <f t="shared" si="126"/>
        <v>25</v>
      </c>
      <c r="J47" s="110">
        <f t="shared" si="3"/>
        <v>37</v>
      </c>
      <c r="K47" s="110" t="str">
        <f t="shared" si="4"/>
        <v>F</v>
      </c>
      <c r="L47" s="110" t="str">
        <f t="shared" si="5"/>
        <v>Fail</v>
      </c>
      <c r="M47" s="48">
        <v>44</v>
      </c>
      <c r="N47" s="108" t="str">
        <f>Data!B45</f>
        <v>MUHAMMED SAKINAH ABDU</v>
      </c>
      <c r="O47" s="109"/>
      <c r="P47" s="109"/>
      <c r="Q47" s="109"/>
      <c r="R47" s="109"/>
      <c r="S47" s="111">
        <f t="shared" si="6"/>
        <v>0</v>
      </c>
      <c r="T47" s="111"/>
      <c r="U47" s="111">
        <f t="shared" si="7"/>
        <v>0</v>
      </c>
      <c r="V47" s="111" t="str">
        <f t="shared" si="8"/>
        <v/>
      </c>
      <c r="W47" s="111" t="str">
        <f t="shared" si="9"/>
        <v/>
      </c>
      <c r="X47" s="111" t="str">
        <f t="shared" si="10"/>
        <v/>
      </c>
      <c r="Y47" s="42">
        <v>44</v>
      </c>
      <c r="Z47" s="108" t="str">
        <f>Data!B45</f>
        <v>MUHAMMED SAKINAH ABDU</v>
      </c>
      <c r="AA47" s="109">
        <v>5</v>
      </c>
      <c r="AB47" s="109">
        <v>2</v>
      </c>
      <c r="AC47" s="109">
        <v>10</v>
      </c>
      <c r="AD47" s="109">
        <v>10</v>
      </c>
      <c r="AE47" s="111"/>
      <c r="AF47" s="112">
        <v>42</v>
      </c>
      <c r="AG47" s="113">
        <f t="shared" si="12"/>
        <v>42</v>
      </c>
      <c r="AH47" s="113">
        <f t="shared" si="13"/>
        <v>40</v>
      </c>
      <c r="AI47" s="113" t="str">
        <f t="shared" si="14"/>
        <v>E8</v>
      </c>
      <c r="AJ47" s="113" t="str">
        <f t="shared" si="15"/>
        <v>Pass</v>
      </c>
      <c r="AK47" s="42">
        <v>44</v>
      </c>
      <c r="AL47" s="108" t="str">
        <f>Data!B45</f>
        <v>MUHAMMED SAKINAH ABDU</v>
      </c>
      <c r="AM47" s="114"/>
      <c r="AN47" s="114"/>
      <c r="AO47" s="114"/>
      <c r="AP47" s="114"/>
      <c r="AQ47" s="115">
        <f t="shared" si="16"/>
        <v>0</v>
      </c>
      <c r="AR47" s="114"/>
      <c r="AS47" s="115">
        <f t="shared" si="17"/>
        <v>0</v>
      </c>
      <c r="AT47" s="115" t="str">
        <f t="shared" si="18"/>
        <v/>
      </c>
      <c r="AU47" s="115" t="str">
        <f t="shared" si="19"/>
        <v/>
      </c>
      <c r="AV47" s="115" t="str">
        <f t="shared" si="20"/>
        <v/>
      </c>
      <c r="AW47" s="42">
        <v>44</v>
      </c>
      <c r="AX47" s="108" t="str">
        <f>Data!B45</f>
        <v>MUHAMMED SAKINAH ABDU</v>
      </c>
      <c r="AY47" s="116"/>
      <c r="AZ47" s="116"/>
      <c r="BA47" s="116"/>
      <c r="BB47" s="116"/>
      <c r="BC47" s="117">
        <f t="shared" si="21"/>
        <v>0</v>
      </c>
      <c r="BD47" s="116"/>
      <c r="BE47" s="117">
        <f t="shared" si="22"/>
        <v>0</v>
      </c>
      <c r="BF47" s="117" t="str">
        <f t="shared" si="23"/>
        <v/>
      </c>
      <c r="BG47" s="117" t="str">
        <f t="shared" si="24"/>
        <v/>
      </c>
      <c r="BH47" s="117" t="str">
        <f t="shared" si="25"/>
        <v/>
      </c>
      <c r="BI47" s="67">
        <v>44</v>
      </c>
      <c r="BJ47" s="108" t="str">
        <f>Data!B45</f>
        <v>MUHAMMED SAKINAH ABDU</v>
      </c>
      <c r="BK47" s="118"/>
      <c r="BL47" s="118"/>
      <c r="BM47" s="118"/>
      <c r="BN47" s="118"/>
      <c r="BO47" s="119">
        <f t="shared" si="128"/>
        <v>0</v>
      </c>
      <c r="BP47" s="118"/>
      <c r="BQ47" s="119">
        <f t="shared" si="27"/>
        <v>0</v>
      </c>
      <c r="BR47" s="119" t="str">
        <f t="shared" si="28"/>
        <v/>
      </c>
      <c r="BS47" s="119" t="str">
        <f t="shared" si="29"/>
        <v/>
      </c>
      <c r="BT47" s="119" t="str">
        <f t="shared" si="30"/>
        <v/>
      </c>
      <c r="BU47">
        <v>44</v>
      </c>
      <c r="BV47" s="108" t="str">
        <f>Data!B45</f>
        <v>MUHAMMED SAKINAH ABDU</v>
      </c>
      <c r="BW47" s="120">
        <v>7</v>
      </c>
      <c r="BX47" s="120">
        <v>3</v>
      </c>
      <c r="BY47" s="120">
        <v>9</v>
      </c>
      <c r="BZ47" s="120"/>
      <c r="CA47" s="121">
        <f t="shared" si="31"/>
        <v>19</v>
      </c>
      <c r="CB47" s="120">
        <v>19</v>
      </c>
      <c r="CC47" s="121">
        <f t="shared" si="32"/>
        <v>38</v>
      </c>
      <c r="CD47" s="121">
        <f t="shared" si="33"/>
        <v>38</v>
      </c>
      <c r="CE47" s="121" t="str">
        <f t="shared" si="34"/>
        <v>F</v>
      </c>
      <c r="CF47" s="121" t="str">
        <f t="shared" si="35"/>
        <v>Fail</v>
      </c>
      <c r="CG47">
        <v>44</v>
      </c>
      <c r="CH47" s="108" t="str">
        <f>Data!B45</f>
        <v>MUHAMMED SAKINAH ABDU</v>
      </c>
      <c r="CI47" s="109"/>
      <c r="CJ47" s="109"/>
      <c r="CK47" s="109"/>
      <c r="CL47" s="109"/>
      <c r="CM47" s="122">
        <f t="shared" si="36"/>
        <v>0</v>
      </c>
      <c r="CN47" s="122"/>
      <c r="CO47" s="122">
        <f t="shared" si="37"/>
        <v>0</v>
      </c>
      <c r="CP47" s="122" t="str">
        <f t="shared" si="38"/>
        <v/>
      </c>
      <c r="CQ47" s="122" t="str">
        <f t="shared" si="39"/>
        <v/>
      </c>
      <c r="CR47" s="122" t="str">
        <f t="shared" si="40"/>
        <v/>
      </c>
      <c r="CS47">
        <v>44</v>
      </c>
      <c r="CT47" s="108" t="str">
        <f>Data!B45</f>
        <v>MUHAMMED SAKINAH ABDU</v>
      </c>
      <c r="CU47" s="109"/>
      <c r="CV47" s="109"/>
      <c r="CW47" s="109"/>
      <c r="CX47" s="109"/>
      <c r="CY47" s="123">
        <f t="shared" si="41"/>
        <v>0</v>
      </c>
      <c r="CZ47" s="151"/>
      <c r="DA47" s="123">
        <f t="shared" si="42"/>
        <v>0</v>
      </c>
      <c r="DB47" s="123" t="str">
        <f t="shared" si="43"/>
        <v/>
      </c>
      <c r="DC47" s="123" t="str">
        <f t="shared" si="44"/>
        <v/>
      </c>
      <c r="DD47" s="123" t="str">
        <f t="shared" si="45"/>
        <v/>
      </c>
      <c r="DE47">
        <v>44</v>
      </c>
      <c r="DF47" s="108" t="str">
        <f>Data!B45</f>
        <v>MUHAMMED SAKINAH ABDU</v>
      </c>
      <c r="DG47" s="109"/>
      <c r="DH47" s="109"/>
      <c r="DI47" s="109"/>
      <c r="DJ47" s="109"/>
      <c r="DK47" s="117">
        <f t="shared" si="46"/>
        <v>0</v>
      </c>
      <c r="DL47" s="117"/>
      <c r="DM47" s="117">
        <f t="shared" si="47"/>
        <v>0</v>
      </c>
      <c r="DN47" s="117" t="str">
        <f t="shared" si="48"/>
        <v/>
      </c>
      <c r="DO47" s="117" t="str">
        <f t="shared" si="49"/>
        <v/>
      </c>
      <c r="DP47" s="117" t="str">
        <f t="shared" si="50"/>
        <v/>
      </c>
      <c r="DQ47">
        <v>44</v>
      </c>
      <c r="DR47" s="108" t="str">
        <f>Data!B45</f>
        <v>MUHAMMED SAKINAH ABDU</v>
      </c>
      <c r="DS47" s="152"/>
      <c r="DT47" s="152"/>
      <c r="DU47" s="152"/>
      <c r="DV47" s="152"/>
      <c r="DW47" s="125">
        <f t="shared" si="51"/>
        <v>0</v>
      </c>
      <c r="DX47" s="153"/>
      <c r="DY47" s="125">
        <f t="shared" si="52"/>
        <v>0</v>
      </c>
      <c r="DZ47" s="125" t="str">
        <f t="shared" si="53"/>
        <v/>
      </c>
      <c r="EA47" s="125" t="str">
        <f t="shared" si="54"/>
        <v/>
      </c>
      <c r="EB47" s="125" t="str">
        <f t="shared" si="55"/>
        <v/>
      </c>
      <c r="EC47">
        <v>44</v>
      </c>
      <c r="ED47" s="108" t="str">
        <f>Data!B45</f>
        <v>MUHAMMED SAKINAH ABDU</v>
      </c>
      <c r="EE47" s="109"/>
      <c r="EF47" s="109"/>
      <c r="EG47" s="109"/>
      <c r="EH47" s="109"/>
      <c r="EI47" s="127">
        <f t="shared" si="56"/>
        <v>0</v>
      </c>
      <c r="EJ47" s="127"/>
      <c r="EK47" s="127">
        <f t="shared" si="57"/>
        <v>0</v>
      </c>
      <c r="EL47" s="127" t="str">
        <f t="shared" si="58"/>
        <v/>
      </c>
      <c r="EM47" s="127" t="str">
        <f t="shared" si="59"/>
        <v/>
      </c>
      <c r="EN47" s="127" t="str">
        <f t="shared" si="60"/>
        <v/>
      </c>
      <c r="EO47">
        <v>44</v>
      </c>
      <c r="EP47" s="128" t="str">
        <f>Data!B45</f>
        <v>MUHAMMED SAKINAH ABDU</v>
      </c>
      <c r="EQ47" s="109"/>
      <c r="ER47" s="109"/>
      <c r="ES47" s="109"/>
      <c r="ET47" s="109"/>
      <c r="EU47" s="123">
        <f t="shared" si="61"/>
        <v>0</v>
      </c>
      <c r="EV47" s="123"/>
      <c r="EW47" s="123">
        <f t="shared" si="62"/>
        <v>0</v>
      </c>
      <c r="EX47" s="123" t="str">
        <f t="shared" si="63"/>
        <v/>
      </c>
      <c r="EY47" s="123" t="str">
        <f t="shared" si="64"/>
        <v/>
      </c>
      <c r="EZ47" s="123" t="str">
        <f t="shared" si="65"/>
        <v/>
      </c>
      <c r="FA47">
        <v>44</v>
      </c>
      <c r="FB47" s="108" t="str">
        <f>Data!B45</f>
        <v>MUHAMMED SAKINAH ABDU</v>
      </c>
      <c r="FC47" s="109"/>
      <c r="FD47" s="109"/>
      <c r="FE47" s="109"/>
      <c r="FF47" s="109"/>
      <c r="FG47" s="129">
        <f t="shared" si="66"/>
        <v>0</v>
      </c>
      <c r="FH47" s="129"/>
      <c r="FI47" s="129">
        <f t="shared" si="67"/>
        <v>0</v>
      </c>
      <c r="FJ47" s="129" t="str">
        <f t="shared" si="68"/>
        <v/>
      </c>
      <c r="FK47" s="129" t="str">
        <f t="shared" si="69"/>
        <v/>
      </c>
      <c r="FL47" s="129" t="str">
        <f t="shared" si="70"/>
        <v/>
      </c>
      <c r="FM47">
        <v>44</v>
      </c>
      <c r="FN47" s="108" t="str">
        <f>Data!B45</f>
        <v>MUHAMMED SAKINAH ABDU</v>
      </c>
      <c r="FO47" s="109"/>
      <c r="FP47" s="109"/>
      <c r="FQ47" s="109"/>
      <c r="FR47" s="109"/>
      <c r="FS47" s="130">
        <f t="shared" si="71"/>
        <v>0</v>
      </c>
      <c r="FT47" s="130"/>
      <c r="FU47" s="130">
        <f t="shared" si="72"/>
        <v>0</v>
      </c>
      <c r="FV47" s="130" t="str">
        <f t="shared" si="73"/>
        <v/>
      </c>
      <c r="FW47" s="130" t="str">
        <f t="shared" si="74"/>
        <v/>
      </c>
      <c r="FX47" s="130" t="str">
        <f t="shared" si="75"/>
        <v/>
      </c>
      <c r="FY47">
        <v>44</v>
      </c>
      <c r="FZ47" s="108" t="str">
        <f>Data!B45</f>
        <v>MUHAMMED SAKINAH ABDU</v>
      </c>
      <c r="GA47" s="109">
        <v>7</v>
      </c>
      <c r="GB47" s="109">
        <v>7</v>
      </c>
      <c r="GC47" s="109">
        <v>2</v>
      </c>
      <c r="GD47" s="109">
        <v>2</v>
      </c>
      <c r="GE47" s="131">
        <f t="shared" si="76"/>
        <v>18</v>
      </c>
      <c r="GF47" s="131">
        <v>20</v>
      </c>
      <c r="GG47" s="131">
        <f t="shared" si="77"/>
        <v>38</v>
      </c>
      <c r="GH47" s="131">
        <f t="shared" si="78"/>
        <v>37</v>
      </c>
      <c r="GI47" s="131" t="str">
        <f t="shared" si="79"/>
        <v>F</v>
      </c>
      <c r="GJ47" s="131" t="str">
        <f t="shared" si="80"/>
        <v>Fail</v>
      </c>
      <c r="GK47">
        <v>44</v>
      </c>
      <c r="GL47" s="108" t="str">
        <f>Data!B45</f>
        <v>MUHAMMED SAKINAH ABDU</v>
      </c>
      <c r="GM47" s="132"/>
      <c r="GN47" s="132"/>
      <c r="GO47" s="132"/>
      <c r="GP47" s="132"/>
      <c r="GQ47" s="133">
        <f t="shared" si="81"/>
        <v>0</v>
      </c>
      <c r="GR47" s="132"/>
      <c r="GS47" s="133">
        <f t="shared" si="82"/>
        <v>0</v>
      </c>
      <c r="GT47" s="133" t="str">
        <f t="shared" si="83"/>
        <v/>
      </c>
      <c r="GU47" s="133" t="str">
        <f t="shared" si="84"/>
        <v/>
      </c>
      <c r="GV47" s="133" t="str">
        <f t="shared" si="85"/>
        <v/>
      </c>
      <c r="GW47">
        <v>44</v>
      </c>
      <c r="GX47" s="108" t="str">
        <f>Data!B45</f>
        <v>MUHAMMED SAKINAH ABDU</v>
      </c>
      <c r="GY47" s="109">
        <v>5</v>
      </c>
      <c r="GZ47" s="109">
        <v>8</v>
      </c>
      <c r="HA47" s="109">
        <v>10</v>
      </c>
      <c r="HB47" s="109">
        <v>8</v>
      </c>
      <c r="HC47" s="119">
        <f t="shared" si="86"/>
        <v>31</v>
      </c>
      <c r="HD47" s="119"/>
      <c r="HE47" s="119">
        <f t="shared" si="87"/>
        <v>31</v>
      </c>
      <c r="HF47" s="119">
        <f t="shared" si="88"/>
        <v>6</v>
      </c>
      <c r="HG47" s="119" t="str">
        <f t="shared" si="89"/>
        <v>F</v>
      </c>
      <c r="HH47" s="119" t="str">
        <f t="shared" si="90"/>
        <v>Fail</v>
      </c>
      <c r="HI47">
        <v>44</v>
      </c>
      <c r="HJ47" s="108" t="str">
        <f>Data!B45</f>
        <v>MUHAMMED SAKINAH ABDU</v>
      </c>
      <c r="HK47" s="144"/>
      <c r="HL47" s="145"/>
      <c r="HM47" s="145"/>
      <c r="HN47" s="145"/>
      <c r="HO47" s="136">
        <f t="shared" si="91"/>
        <v>0</v>
      </c>
      <c r="HP47" s="144"/>
      <c r="HQ47" s="136">
        <f t="shared" si="92"/>
        <v>0</v>
      </c>
      <c r="HR47" s="136" t="str">
        <f t="shared" si="93"/>
        <v/>
      </c>
      <c r="HS47" s="136" t="str">
        <f t="shared" si="94"/>
        <v/>
      </c>
      <c r="HT47" s="136" t="str">
        <f t="shared" si="95"/>
        <v/>
      </c>
      <c r="HU47">
        <v>44</v>
      </c>
      <c r="HV47" s="108" t="str">
        <f>Data!B45</f>
        <v>MUHAMMED SAKINAH ABDU</v>
      </c>
      <c r="HW47" s="109"/>
      <c r="HX47" s="109"/>
      <c r="HY47" s="109"/>
      <c r="HZ47" s="109"/>
      <c r="IA47" s="117">
        <f t="shared" si="96"/>
        <v>0</v>
      </c>
      <c r="IB47" s="117"/>
      <c r="IC47" s="117">
        <f t="shared" si="97"/>
        <v>0</v>
      </c>
      <c r="ID47" s="117" t="str">
        <f t="shared" si="98"/>
        <v/>
      </c>
      <c r="IE47" s="117" t="str">
        <f t="shared" si="99"/>
        <v/>
      </c>
      <c r="IF47" s="117" t="str">
        <f t="shared" si="100"/>
        <v/>
      </c>
      <c r="IG47">
        <v>44</v>
      </c>
      <c r="IH47" s="108" t="str">
        <f>Data!B45</f>
        <v>MUHAMMED SAKINAH ABDU</v>
      </c>
      <c r="II47" s="109"/>
      <c r="IJ47" s="109"/>
      <c r="IK47" s="109"/>
      <c r="IL47" s="109"/>
      <c r="IM47" s="137">
        <f t="shared" si="101"/>
        <v>0</v>
      </c>
      <c r="IN47" s="137"/>
      <c r="IO47" s="137">
        <f t="shared" si="102"/>
        <v>0</v>
      </c>
      <c r="IP47" s="137" t="str">
        <f t="shared" si="103"/>
        <v/>
      </c>
      <c r="IQ47" s="137" t="str">
        <f t="shared" si="104"/>
        <v/>
      </c>
      <c r="IR47" s="137" t="str">
        <f t="shared" si="105"/>
        <v/>
      </c>
      <c r="IS47">
        <v>44</v>
      </c>
      <c r="IT47" s="108" t="str">
        <f t="shared" si="106"/>
        <v>MUHAMMED SAKINAH ABDU</v>
      </c>
      <c r="IU47" s="150"/>
      <c r="IV47" s="150"/>
      <c r="IW47" s="150"/>
      <c r="IX47" s="150"/>
      <c r="IY47" s="131">
        <f t="shared" si="129"/>
        <v>0</v>
      </c>
      <c r="IZ47" s="138"/>
      <c r="JA47" s="131">
        <f t="shared" si="108"/>
        <v>0</v>
      </c>
      <c r="JB47" s="131" t="str">
        <f t="shared" si="109"/>
        <v/>
      </c>
      <c r="JC47" s="131" t="str">
        <f t="shared" si="110"/>
        <v/>
      </c>
      <c r="JD47" s="131" t="str">
        <f t="shared" si="111"/>
        <v/>
      </c>
      <c r="JE47">
        <v>44</v>
      </c>
      <c r="JF47" s="108" t="str">
        <f t="shared" si="112"/>
        <v>MUHAMMED SAKINAH ABDU</v>
      </c>
      <c r="JG47" s="147"/>
      <c r="JH47" s="147"/>
      <c r="JI47" s="147"/>
      <c r="JJ47" s="147"/>
      <c r="JK47" s="113">
        <f t="shared" si="113"/>
        <v>0</v>
      </c>
      <c r="JL47" s="147"/>
      <c r="JM47" s="113">
        <f t="shared" si="114"/>
        <v>0</v>
      </c>
      <c r="JN47" s="113" t="str">
        <f t="shared" si="115"/>
        <v/>
      </c>
      <c r="JO47" s="113" t="str">
        <f t="shared" si="116"/>
        <v/>
      </c>
      <c r="JP47" s="113" t="str">
        <f t="shared" si="117"/>
        <v/>
      </c>
      <c r="JQ47">
        <v>44</v>
      </c>
      <c r="JR47" s="108" t="str">
        <f t="shared" si="118"/>
        <v>MUHAMMED SAKINAH ABDU</v>
      </c>
      <c r="JS47" s="140"/>
      <c r="JT47" s="140"/>
      <c r="JU47" s="140"/>
      <c r="JV47" s="140"/>
      <c r="JW47" s="111">
        <f t="shared" si="119"/>
        <v>0</v>
      </c>
      <c r="JX47" s="141"/>
      <c r="JY47" s="111">
        <f t="shared" si="0"/>
        <v>0</v>
      </c>
      <c r="JZ47" s="111" t="str">
        <f t="shared" si="120"/>
        <v/>
      </c>
      <c r="KA47" s="111" t="str">
        <f t="shared" si="121"/>
        <v/>
      </c>
      <c r="KB47" s="111" t="str">
        <f t="shared" si="122"/>
        <v/>
      </c>
      <c r="KD47" s="47"/>
      <c r="KE47" s="47"/>
      <c r="KF47" s="47"/>
      <c r="KG47" s="47"/>
      <c r="KH47" s="47"/>
      <c r="KI47" s="47"/>
      <c r="KJ47" s="47"/>
      <c r="KK47" s="47"/>
      <c r="KM47" s="47"/>
      <c r="KN47" s="47"/>
      <c r="KO47" s="47"/>
      <c r="KP47" s="47"/>
      <c r="KQ47" s="47"/>
      <c r="KR47" s="47"/>
      <c r="KS47" s="47"/>
      <c r="KT47" s="47"/>
      <c r="KU47" s="47"/>
      <c r="KV47" s="47"/>
    </row>
    <row r="48" spans="1:308" ht="23.25">
      <c r="A48" s="211">
        <v>45</v>
      </c>
      <c r="B48" s="108" t="str">
        <f>Data!B46</f>
        <v>NASIRU KHADIJAH GAJI</v>
      </c>
      <c r="C48" s="109">
        <v>6</v>
      </c>
      <c r="D48" s="109">
        <v>1</v>
      </c>
      <c r="E48" s="109">
        <v>1</v>
      </c>
      <c r="F48" s="109">
        <v>1</v>
      </c>
      <c r="G48" s="111">
        <f t="shared" ref="G48:G52" si="130">SUM(C48:F48)</f>
        <v>9</v>
      </c>
      <c r="H48" s="111">
        <v>18</v>
      </c>
      <c r="I48" s="111">
        <f t="shared" si="126"/>
        <v>27</v>
      </c>
      <c r="J48" s="110">
        <f t="shared" si="3"/>
        <v>33</v>
      </c>
      <c r="K48" s="110" t="str">
        <f t="shared" si="4"/>
        <v>F</v>
      </c>
      <c r="L48" s="110" t="str">
        <f t="shared" si="5"/>
        <v>Fail</v>
      </c>
      <c r="M48" s="48">
        <v>45</v>
      </c>
      <c r="N48" s="108" t="str">
        <f>Data!B46</f>
        <v>NASIRU KHADIJAH GAJI</v>
      </c>
      <c r="O48" s="109"/>
      <c r="P48" s="109"/>
      <c r="Q48" s="109"/>
      <c r="R48" s="109"/>
      <c r="S48" s="111">
        <f t="shared" si="6"/>
        <v>0</v>
      </c>
      <c r="T48" s="111"/>
      <c r="U48" s="111">
        <f t="shared" si="7"/>
        <v>0</v>
      </c>
      <c r="V48" s="111" t="str">
        <f t="shared" si="8"/>
        <v/>
      </c>
      <c r="W48" s="111" t="str">
        <f t="shared" si="9"/>
        <v/>
      </c>
      <c r="X48" s="111" t="str">
        <f t="shared" si="10"/>
        <v/>
      </c>
      <c r="Y48" s="42">
        <v>45</v>
      </c>
      <c r="Z48" s="108" t="str">
        <f>Data!B46</f>
        <v>NASIRU KHADIJAH GAJI</v>
      </c>
      <c r="AA48" s="109">
        <v>6</v>
      </c>
      <c r="AB48" s="109">
        <v>1</v>
      </c>
      <c r="AC48" s="109">
        <v>1</v>
      </c>
      <c r="AD48" s="109">
        <v>1</v>
      </c>
      <c r="AE48" s="111">
        <f t="shared" ref="AE48:AE52" si="131">SUM(AA48:AD48)</f>
        <v>9</v>
      </c>
      <c r="AF48" s="112">
        <v>42</v>
      </c>
      <c r="AG48" s="113">
        <f t="shared" si="12"/>
        <v>51</v>
      </c>
      <c r="AH48" s="113">
        <f t="shared" si="13"/>
        <v>34</v>
      </c>
      <c r="AI48" s="113" t="str">
        <f t="shared" si="14"/>
        <v>C6</v>
      </c>
      <c r="AJ48" s="113" t="str">
        <f t="shared" si="15"/>
        <v>Credit</v>
      </c>
      <c r="AK48" s="42">
        <v>45</v>
      </c>
      <c r="AL48" s="108" t="str">
        <f>Data!B46</f>
        <v>NASIRU KHADIJAH GAJI</v>
      </c>
      <c r="AM48" s="114"/>
      <c r="AN48" s="114"/>
      <c r="AO48" s="114"/>
      <c r="AP48" s="114"/>
      <c r="AQ48" s="115">
        <f t="shared" si="16"/>
        <v>0</v>
      </c>
      <c r="AR48" s="114"/>
      <c r="AS48" s="115">
        <f t="shared" si="17"/>
        <v>0</v>
      </c>
      <c r="AT48" s="115" t="str">
        <f t="shared" si="18"/>
        <v/>
      </c>
      <c r="AU48" s="115" t="str">
        <f t="shared" si="19"/>
        <v/>
      </c>
      <c r="AV48" s="115" t="str">
        <f t="shared" si="20"/>
        <v/>
      </c>
      <c r="AW48" s="42">
        <v>45</v>
      </c>
      <c r="AX48" s="108" t="str">
        <f>Data!B46</f>
        <v>NASIRU KHADIJAH GAJI</v>
      </c>
      <c r="AY48" s="116"/>
      <c r="AZ48" s="116"/>
      <c r="BA48" s="116"/>
      <c r="BB48" s="116"/>
      <c r="BC48" s="117">
        <f t="shared" si="21"/>
        <v>0</v>
      </c>
      <c r="BD48" s="116"/>
      <c r="BE48" s="117">
        <f t="shared" si="22"/>
        <v>0</v>
      </c>
      <c r="BF48" s="117" t="str">
        <f t="shared" si="23"/>
        <v/>
      </c>
      <c r="BG48" s="117" t="str">
        <f t="shared" si="24"/>
        <v/>
      </c>
      <c r="BH48" s="117" t="str">
        <f t="shared" si="25"/>
        <v/>
      </c>
      <c r="BI48" s="67">
        <v>45</v>
      </c>
      <c r="BJ48" s="108" t="str">
        <f>Data!B46</f>
        <v>NASIRU KHADIJAH GAJI</v>
      </c>
      <c r="BK48" s="149"/>
      <c r="BL48" s="149"/>
      <c r="BM48" s="149"/>
      <c r="BN48" s="149"/>
      <c r="BO48" s="119">
        <f t="shared" si="128"/>
        <v>0</v>
      </c>
      <c r="BP48" s="149"/>
      <c r="BQ48" s="119">
        <f t="shared" si="27"/>
        <v>0</v>
      </c>
      <c r="BR48" s="119" t="str">
        <f t="shared" si="28"/>
        <v/>
      </c>
      <c r="BS48" s="119" t="str">
        <f t="shared" si="29"/>
        <v/>
      </c>
      <c r="BT48" s="119" t="str">
        <f t="shared" si="30"/>
        <v/>
      </c>
      <c r="BU48">
        <v>45</v>
      </c>
      <c r="BV48" s="108" t="str">
        <f>Data!B46</f>
        <v>NASIRU KHADIJAH GAJI</v>
      </c>
      <c r="BW48" s="120">
        <v>6</v>
      </c>
      <c r="BX48" s="120">
        <v>5</v>
      </c>
      <c r="BY48" s="120">
        <v>8</v>
      </c>
      <c r="BZ48" s="120"/>
      <c r="CA48" s="121">
        <f t="shared" si="31"/>
        <v>19</v>
      </c>
      <c r="CB48" s="120">
        <v>24</v>
      </c>
      <c r="CC48" s="121">
        <f t="shared" si="32"/>
        <v>43</v>
      </c>
      <c r="CD48" s="121">
        <f t="shared" si="33"/>
        <v>32</v>
      </c>
      <c r="CE48" s="121" t="str">
        <f t="shared" si="34"/>
        <v>E8</v>
      </c>
      <c r="CF48" s="121" t="str">
        <f t="shared" si="35"/>
        <v>Pass</v>
      </c>
      <c r="CG48">
        <v>45</v>
      </c>
      <c r="CH48" s="108" t="str">
        <f>Data!B46</f>
        <v>NASIRU KHADIJAH GAJI</v>
      </c>
      <c r="CI48" s="109"/>
      <c r="CJ48" s="109"/>
      <c r="CK48" s="109"/>
      <c r="CL48" s="109"/>
      <c r="CM48" s="122">
        <f t="shared" si="36"/>
        <v>0</v>
      </c>
      <c r="CN48" s="122"/>
      <c r="CO48" s="122">
        <f t="shared" si="37"/>
        <v>0</v>
      </c>
      <c r="CP48" s="122" t="str">
        <f t="shared" si="38"/>
        <v/>
      </c>
      <c r="CQ48" s="122" t="str">
        <f t="shared" si="39"/>
        <v/>
      </c>
      <c r="CR48" s="122" t="str">
        <f t="shared" si="40"/>
        <v/>
      </c>
      <c r="CS48">
        <v>45</v>
      </c>
      <c r="CT48" s="108" t="str">
        <f>Data!B46</f>
        <v>NASIRU KHADIJAH GAJI</v>
      </c>
      <c r="CU48" s="109"/>
      <c r="CV48" s="109"/>
      <c r="CW48" s="109"/>
      <c r="CX48" s="109"/>
      <c r="CY48" s="123">
        <f t="shared" si="41"/>
        <v>0</v>
      </c>
      <c r="CZ48" s="151"/>
      <c r="DA48" s="123">
        <f t="shared" si="42"/>
        <v>0</v>
      </c>
      <c r="DB48" s="123" t="str">
        <f t="shared" si="43"/>
        <v/>
      </c>
      <c r="DC48" s="123" t="str">
        <f t="shared" si="44"/>
        <v/>
      </c>
      <c r="DD48" s="123" t="str">
        <f t="shared" si="45"/>
        <v/>
      </c>
      <c r="DE48">
        <v>45</v>
      </c>
      <c r="DF48" s="108" t="str">
        <f>Data!B46</f>
        <v>NASIRU KHADIJAH GAJI</v>
      </c>
      <c r="DG48" s="109"/>
      <c r="DH48" s="109"/>
      <c r="DI48" s="109"/>
      <c r="DJ48" s="109"/>
      <c r="DK48" s="117">
        <f t="shared" si="46"/>
        <v>0</v>
      </c>
      <c r="DL48" s="117"/>
      <c r="DM48" s="117">
        <f t="shared" si="47"/>
        <v>0</v>
      </c>
      <c r="DN48" s="117" t="str">
        <f t="shared" si="48"/>
        <v/>
      </c>
      <c r="DO48" s="117" t="str">
        <f t="shared" si="49"/>
        <v/>
      </c>
      <c r="DP48" s="117" t="str">
        <f t="shared" si="50"/>
        <v/>
      </c>
      <c r="DQ48">
        <v>45</v>
      </c>
      <c r="DR48" s="108" t="str">
        <f>Data!B46</f>
        <v>NASIRU KHADIJAH GAJI</v>
      </c>
      <c r="DS48" s="152"/>
      <c r="DT48" s="152"/>
      <c r="DU48" s="152"/>
      <c r="DV48" s="152"/>
      <c r="DW48" s="125">
        <f t="shared" si="51"/>
        <v>0</v>
      </c>
      <c r="DX48" s="153"/>
      <c r="DY48" s="125">
        <f t="shared" si="52"/>
        <v>0</v>
      </c>
      <c r="DZ48" s="125" t="str">
        <f t="shared" si="53"/>
        <v/>
      </c>
      <c r="EA48" s="125" t="str">
        <f t="shared" si="54"/>
        <v/>
      </c>
      <c r="EB48" s="125" t="str">
        <f t="shared" si="55"/>
        <v/>
      </c>
      <c r="EC48">
        <v>45</v>
      </c>
      <c r="ED48" s="108" t="str">
        <f>Data!B46</f>
        <v>NASIRU KHADIJAH GAJI</v>
      </c>
      <c r="EE48" s="109"/>
      <c r="EF48" s="109"/>
      <c r="EG48" s="109"/>
      <c r="EH48" s="109"/>
      <c r="EI48" s="127">
        <f t="shared" si="56"/>
        <v>0</v>
      </c>
      <c r="EJ48" s="127"/>
      <c r="EK48" s="127">
        <f t="shared" si="57"/>
        <v>0</v>
      </c>
      <c r="EL48" s="127" t="str">
        <f t="shared" si="58"/>
        <v/>
      </c>
      <c r="EM48" s="127" t="str">
        <f t="shared" si="59"/>
        <v/>
      </c>
      <c r="EN48" s="127" t="str">
        <f t="shared" si="60"/>
        <v/>
      </c>
      <c r="EO48">
        <v>45</v>
      </c>
      <c r="EP48" s="128" t="str">
        <f>Data!B46</f>
        <v>NASIRU KHADIJAH GAJI</v>
      </c>
      <c r="EQ48" s="109"/>
      <c r="ER48" s="109"/>
      <c r="ES48" s="109"/>
      <c r="ET48" s="109"/>
      <c r="EU48" s="123">
        <f t="shared" si="61"/>
        <v>0</v>
      </c>
      <c r="EV48" s="123"/>
      <c r="EW48" s="123">
        <f t="shared" si="62"/>
        <v>0</v>
      </c>
      <c r="EX48" s="123" t="str">
        <f t="shared" si="63"/>
        <v/>
      </c>
      <c r="EY48" s="123" t="str">
        <f t="shared" si="64"/>
        <v/>
      </c>
      <c r="EZ48" s="123" t="str">
        <f t="shared" si="65"/>
        <v/>
      </c>
      <c r="FA48">
        <v>45</v>
      </c>
      <c r="FB48" s="108" t="str">
        <f>Data!B46</f>
        <v>NASIRU KHADIJAH GAJI</v>
      </c>
      <c r="FC48" s="109"/>
      <c r="FD48" s="109"/>
      <c r="FE48" s="109"/>
      <c r="FF48" s="109"/>
      <c r="FG48" s="129">
        <f t="shared" si="66"/>
        <v>0</v>
      </c>
      <c r="FH48" s="129"/>
      <c r="FI48" s="129">
        <f t="shared" si="67"/>
        <v>0</v>
      </c>
      <c r="FJ48" s="129" t="str">
        <f t="shared" si="68"/>
        <v/>
      </c>
      <c r="FK48" s="129" t="str">
        <f t="shared" si="69"/>
        <v/>
      </c>
      <c r="FL48" s="129" t="str">
        <f t="shared" si="70"/>
        <v/>
      </c>
      <c r="FM48">
        <v>45</v>
      </c>
      <c r="FN48" s="108" t="str">
        <f>Data!B46</f>
        <v>NASIRU KHADIJAH GAJI</v>
      </c>
      <c r="FO48" s="109"/>
      <c r="FP48" s="109"/>
      <c r="FQ48" s="109"/>
      <c r="FR48" s="109"/>
      <c r="FS48" s="130">
        <f t="shared" si="71"/>
        <v>0</v>
      </c>
      <c r="FT48" s="130"/>
      <c r="FU48" s="130">
        <f t="shared" si="72"/>
        <v>0</v>
      </c>
      <c r="FV48" s="130" t="str">
        <f t="shared" si="73"/>
        <v/>
      </c>
      <c r="FW48" s="130" t="str">
        <f t="shared" si="74"/>
        <v/>
      </c>
      <c r="FX48" s="130" t="str">
        <f t="shared" si="75"/>
        <v/>
      </c>
      <c r="FY48">
        <v>45</v>
      </c>
      <c r="FZ48" s="108" t="str">
        <f>Data!B46</f>
        <v>NASIRU KHADIJAH GAJI</v>
      </c>
      <c r="GA48" s="109">
        <v>8</v>
      </c>
      <c r="GB48" s="109">
        <v>8</v>
      </c>
      <c r="GC48" s="109">
        <v>2</v>
      </c>
      <c r="GD48" s="109">
        <v>2</v>
      </c>
      <c r="GE48" s="131">
        <f t="shared" si="76"/>
        <v>20</v>
      </c>
      <c r="GF48" s="131">
        <v>21</v>
      </c>
      <c r="GG48" s="131">
        <f t="shared" si="77"/>
        <v>41</v>
      </c>
      <c r="GH48" s="131">
        <f t="shared" si="78"/>
        <v>36</v>
      </c>
      <c r="GI48" s="131" t="str">
        <f t="shared" si="79"/>
        <v>E</v>
      </c>
      <c r="GJ48" s="131" t="str">
        <f t="shared" si="80"/>
        <v>Pass</v>
      </c>
      <c r="GK48">
        <v>45</v>
      </c>
      <c r="GL48" s="108" t="str">
        <f>Data!B46</f>
        <v>NASIRU KHADIJAH GAJI</v>
      </c>
      <c r="GM48" s="132"/>
      <c r="GN48" s="132"/>
      <c r="GO48" s="132"/>
      <c r="GP48" s="132"/>
      <c r="GQ48" s="133">
        <f t="shared" si="81"/>
        <v>0</v>
      </c>
      <c r="GR48" s="132"/>
      <c r="GS48" s="133">
        <f t="shared" si="82"/>
        <v>0</v>
      </c>
      <c r="GT48" s="133" t="str">
        <f t="shared" si="83"/>
        <v/>
      </c>
      <c r="GU48" s="133" t="str">
        <f t="shared" si="84"/>
        <v/>
      </c>
      <c r="GV48" s="133" t="str">
        <f t="shared" si="85"/>
        <v/>
      </c>
      <c r="GW48">
        <v>45</v>
      </c>
      <c r="GX48" s="108" t="str">
        <f>Data!B46</f>
        <v>NASIRU KHADIJAH GAJI</v>
      </c>
      <c r="GY48" s="109"/>
      <c r="GZ48" s="109"/>
      <c r="HA48" s="109"/>
      <c r="HB48" s="109"/>
      <c r="HC48" s="119">
        <f t="shared" si="86"/>
        <v>0</v>
      </c>
      <c r="HD48" s="119"/>
      <c r="HE48" s="119">
        <f t="shared" si="87"/>
        <v>0</v>
      </c>
      <c r="HF48" s="119" t="str">
        <f t="shared" si="88"/>
        <v/>
      </c>
      <c r="HG48" s="119" t="str">
        <f t="shared" si="89"/>
        <v/>
      </c>
      <c r="HH48" s="119" t="str">
        <f t="shared" si="90"/>
        <v/>
      </c>
      <c r="HI48">
        <v>45</v>
      </c>
      <c r="HJ48" s="108" t="str">
        <f>Data!B46</f>
        <v>NASIRU KHADIJAH GAJI</v>
      </c>
      <c r="HK48" s="144">
        <v>2</v>
      </c>
      <c r="HL48" s="145">
        <v>8</v>
      </c>
      <c r="HM48" s="145"/>
      <c r="HN48" s="145"/>
      <c r="HO48" s="136">
        <f t="shared" si="91"/>
        <v>10</v>
      </c>
      <c r="HP48" s="144"/>
      <c r="HQ48" s="136">
        <f t="shared" si="92"/>
        <v>10</v>
      </c>
      <c r="HR48" s="136">
        <f t="shared" si="93"/>
        <v>11</v>
      </c>
      <c r="HS48" s="136" t="str">
        <f t="shared" si="94"/>
        <v>F</v>
      </c>
      <c r="HT48" s="136" t="str">
        <f t="shared" si="95"/>
        <v>Fail</v>
      </c>
      <c r="HU48">
        <v>45</v>
      </c>
      <c r="HV48" s="108" t="str">
        <f>Data!B46</f>
        <v>NASIRU KHADIJAH GAJI</v>
      </c>
      <c r="HW48" s="109"/>
      <c r="HX48" s="109"/>
      <c r="HY48" s="109"/>
      <c r="HZ48" s="109"/>
      <c r="IA48" s="117">
        <f t="shared" si="96"/>
        <v>0</v>
      </c>
      <c r="IB48" s="117"/>
      <c r="IC48" s="117">
        <f t="shared" si="97"/>
        <v>0</v>
      </c>
      <c r="ID48" s="117" t="str">
        <f t="shared" si="98"/>
        <v/>
      </c>
      <c r="IE48" s="117" t="str">
        <f t="shared" si="99"/>
        <v/>
      </c>
      <c r="IF48" s="117" t="str">
        <f t="shared" si="100"/>
        <v/>
      </c>
      <c r="IG48">
        <v>45</v>
      </c>
      <c r="IH48" s="108" t="str">
        <f>Data!B46</f>
        <v>NASIRU KHADIJAH GAJI</v>
      </c>
      <c r="II48" s="109"/>
      <c r="IJ48" s="109"/>
      <c r="IK48" s="109"/>
      <c r="IL48" s="109"/>
      <c r="IM48" s="137">
        <f t="shared" si="101"/>
        <v>0</v>
      </c>
      <c r="IN48" s="137"/>
      <c r="IO48" s="137">
        <f t="shared" si="102"/>
        <v>0</v>
      </c>
      <c r="IP48" s="137" t="str">
        <f t="shared" si="103"/>
        <v/>
      </c>
      <c r="IQ48" s="137" t="str">
        <f t="shared" si="104"/>
        <v/>
      </c>
      <c r="IR48" s="137" t="str">
        <f t="shared" si="105"/>
        <v/>
      </c>
      <c r="IS48">
        <v>45</v>
      </c>
      <c r="IT48" s="108" t="str">
        <f t="shared" si="106"/>
        <v>NASIRU KHADIJAH GAJI</v>
      </c>
      <c r="IU48" s="150"/>
      <c r="IV48" s="150"/>
      <c r="IW48" s="150"/>
      <c r="IX48" s="150"/>
      <c r="IY48" s="131">
        <f t="shared" si="129"/>
        <v>0</v>
      </c>
      <c r="IZ48" s="138"/>
      <c r="JA48" s="131">
        <f t="shared" si="108"/>
        <v>0</v>
      </c>
      <c r="JB48" s="131" t="str">
        <f t="shared" si="109"/>
        <v/>
      </c>
      <c r="JC48" s="131" t="str">
        <f t="shared" si="110"/>
        <v/>
      </c>
      <c r="JD48" s="131" t="str">
        <f t="shared" si="111"/>
        <v/>
      </c>
      <c r="JE48">
        <v>45</v>
      </c>
      <c r="JF48" s="108" t="str">
        <f t="shared" si="112"/>
        <v>NASIRU KHADIJAH GAJI</v>
      </c>
      <c r="JG48" s="147"/>
      <c r="JH48" s="147"/>
      <c r="JI48" s="147"/>
      <c r="JJ48" s="147"/>
      <c r="JK48" s="113">
        <f t="shared" si="113"/>
        <v>0</v>
      </c>
      <c r="JL48" s="147"/>
      <c r="JM48" s="113">
        <f t="shared" si="114"/>
        <v>0</v>
      </c>
      <c r="JN48" s="113" t="str">
        <f t="shared" si="115"/>
        <v/>
      </c>
      <c r="JO48" s="113" t="str">
        <f t="shared" si="116"/>
        <v/>
      </c>
      <c r="JP48" s="113" t="str">
        <f t="shared" si="117"/>
        <v/>
      </c>
      <c r="JQ48">
        <v>45</v>
      </c>
      <c r="JR48" s="108" t="str">
        <f t="shared" si="118"/>
        <v>NASIRU KHADIJAH GAJI</v>
      </c>
      <c r="JS48" s="140"/>
      <c r="JT48" s="140"/>
      <c r="JU48" s="140"/>
      <c r="JV48" s="140"/>
      <c r="JW48" s="111">
        <f t="shared" si="119"/>
        <v>0</v>
      </c>
      <c r="JX48" s="141"/>
      <c r="JY48" s="111">
        <f t="shared" si="0"/>
        <v>0</v>
      </c>
      <c r="JZ48" s="111" t="str">
        <f t="shared" si="120"/>
        <v/>
      </c>
      <c r="KA48" s="111" t="str">
        <f t="shared" si="121"/>
        <v/>
      </c>
      <c r="KB48" s="111" t="str">
        <f t="shared" si="122"/>
        <v/>
      </c>
      <c r="KD48" s="47"/>
      <c r="KE48" s="47"/>
      <c r="KF48" s="47"/>
      <c r="KG48" s="47"/>
      <c r="KH48" s="47"/>
      <c r="KI48" s="47"/>
      <c r="KJ48" s="47"/>
      <c r="KK48" s="47"/>
      <c r="KM48" s="47"/>
      <c r="KN48" s="47"/>
      <c r="KO48" s="47"/>
      <c r="KP48" s="47"/>
      <c r="KQ48" s="47"/>
      <c r="KR48" s="47"/>
      <c r="KS48" s="47"/>
      <c r="KT48" s="47"/>
      <c r="KU48" s="47"/>
      <c r="KV48" s="47"/>
    </row>
    <row r="49" spans="1:308" ht="23.25">
      <c r="A49" s="211">
        <v>46</v>
      </c>
      <c r="B49" s="108" t="str">
        <f>Data!B47</f>
        <v>SULEIMAN LAILA</v>
      </c>
      <c r="C49" s="109">
        <v>8</v>
      </c>
      <c r="D49" s="109">
        <v>3</v>
      </c>
      <c r="E49" s="109">
        <v>10</v>
      </c>
      <c r="F49" s="109">
        <v>5</v>
      </c>
      <c r="G49" s="111">
        <f t="shared" si="130"/>
        <v>26</v>
      </c>
      <c r="H49" s="111">
        <v>26</v>
      </c>
      <c r="I49" s="111">
        <f t="shared" si="126"/>
        <v>52</v>
      </c>
      <c r="J49" s="110">
        <f t="shared" si="3"/>
        <v>10</v>
      </c>
      <c r="K49" s="110" t="str">
        <f t="shared" si="4"/>
        <v>C6</v>
      </c>
      <c r="L49" s="110" t="str">
        <f t="shared" si="5"/>
        <v>Credit</v>
      </c>
      <c r="M49" s="48">
        <v>46</v>
      </c>
      <c r="N49" s="108" t="str">
        <f>Data!B47</f>
        <v>SULEIMAN LAILA</v>
      </c>
      <c r="O49" s="109"/>
      <c r="P49" s="109"/>
      <c r="Q49" s="109"/>
      <c r="R49" s="109"/>
      <c r="S49" s="111">
        <f t="shared" si="6"/>
        <v>0</v>
      </c>
      <c r="T49" s="111"/>
      <c r="U49" s="111">
        <f t="shared" si="7"/>
        <v>0</v>
      </c>
      <c r="V49" s="111" t="str">
        <f t="shared" si="8"/>
        <v/>
      </c>
      <c r="W49" s="111" t="str">
        <f t="shared" si="9"/>
        <v/>
      </c>
      <c r="X49" s="111" t="str">
        <f t="shared" si="10"/>
        <v/>
      </c>
      <c r="Y49" s="42">
        <v>46</v>
      </c>
      <c r="Z49" s="108" t="str">
        <f>Data!B47</f>
        <v>SULEIMAN LAILA</v>
      </c>
      <c r="AA49" s="109">
        <v>8</v>
      </c>
      <c r="AB49" s="109">
        <v>3</v>
      </c>
      <c r="AC49" s="109">
        <v>10</v>
      </c>
      <c r="AD49" s="109">
        <v>5</v>
      </c>
      <c r="AE49" s="111">
        <f t="shared" si="131"/>
        <v>26</v>
      </c>
      <c r="AF49" s="112">
        <v>42</v>
      </c>
      <c r="AG49" s="113">
        <f t="shared" si="12"/>
        <v>68</v>
      </c>
      <c r="AH49" s="113">
        <f t="shared" si="13"/>
        <v>9</v>
      </c>
      <c r="AI49" s="113" t="str">
        <f t="shared" si="14"/>
        <v>B3</v>
      </c>
      <c r="AJ49" s="113" t="str">
        <f t="shared" si="15"/>
        <v>Good</v>
      </c>
      <c r="AK49" s="42">
        <v>46</v>
      </c>
      <c r="AL49" s="108" t="str">
        <f>Data!B47</f>
        <v>SULEIMAN LAILA</v>
      </c>
      <c r="AM49" s="114"/>
      <c r="AN49" s="114"/>
      <c r="AO49" s="114"/>
      <c r="AP49" s="114"/>
      <c r="AQ49" s="115">
        <f t="shared" si="16"/>
        <v>0</v>
      </c>
      <c r="AR49" s="114"/>
      <c r="AS49" s="115">
        <f t="shared" si="17"/>
        <v>0</v>
      </c>
      <c r="AT49" s="115" t="str">
        <f t="shared" si="18"/>
        <v/>
      </c>
      <c r="AU49" s="115" t="str">
        <f t="shared" si="19"/>
        <v/>
      </c>
      <c r="AV49" s="115" t="str">
        <f t="shared" si="20"/>
        <v/>
      </c>
      <c r="AW49" s="42">
        <v>46</v>
      </c>
      <c r="AX49" s="108" t="str">
        <f>Data!B47</f>
        <v>SULEIMAN LAILA</v>
      </c>
      <c r="AY49" s="116"/>
      <c r="AZ49" s="116"/>
      <c r="BA49" s="116"/>
      <c r="BB49" s="116"/>
      <c r="BC49" s="117">
        <f t="shared" si="21"/>
        <v>0</v>
      </c>
      <c r="BD49" s="116"/>
      <c r="BE49" s="117">
        <f t="shared" si="22"/>
        <v>0</v>
      </c>
      <c r="BF49" s="117" t="str">
        <f t="shared" si="23"/>
        <v/>
      </c>
      <c r="BG49" s="117" t="str">
        <f t="shared" si="24"/>
        <v/>
      </c>
      <c r="BH49" s="117" t="str">
        <f t="shared" si="25"/>
        <v/>
      </c>
      <c r="BI49" s="67">
        <v>46</v>
      </c>
      <c r="BJ49" s="108" t="str">
        <f>Data!B47</f>
        <v>SULEIMAN LAILA</v>
      </c>
      <c r="BK49" s="149"/>
      <c r="BL49" s="149"/>
      <c r="BM49" s="149"/>
      <c r="BN49" s="149"/>
      <c r="BO49" s="119">
        <f t="shared" si="128"/>
        <v>0</v>
      </c>
      <c r="BP49" s="149"/>
      <c r="BQ49" s="119">
        <f t="shared" si="27"/>
        <v>0</v>
      </c>
      <c r="BR49" s="119" t="str">
        <f t="shared" si="28"/>
        <v/>
      </c>
      <c r="BS49" s="119" t="str">
        <f t="shared" si="29"/>
        <v/>
      </c>
      <c r="BT49" s="119" t="str">
        <f t="shared" si="30"/>
        <v/>
      </c>
      <c r="BU49">
        <v>46</v>
      </c>
      <c r="BV49" s="108" t="str">
        <f>Data!B47</f>
        <v>SULEIMAN LAILA</v>
      </c>
      <c r="BW49" s="120">
        <v>7</v>
      </c>
      <c r="BX49" s="120">
        <v>10</v>
      </c>
      <c r="BY49" s="120">
        <v>10</v>
      </c>
      <c r="BZ49" s="120">
        <v>10</v>
      </c>
      <c r="CA49" s="121">
        <f t="shared" si="31"/>
        <v>37</v>
      </c>
      <c r="CB49" s="120">
        <v>54</v>
      </c>
      <c r="CC49" s="121">
        <f t="shared" si="32"/>
        <v>91</v>
      </c>
      <c r="CD49" s="121">
        <f t="shared" si="33"/>
        <v>1</v>
      </c>
      <c r="CE49" s="121" t="str">
        <f t="shared" si="34"/>
        <v>A1</v>
      </c>
      <c r="CF49" s="121" t="str">
        <f t="shared" si="35"/>
        <v>Excellent</v>
      </c>
      <c r="CG49">
        <v>46</v>
      </c>
      <c r="CH49" s="108" t="str">
        <f>Data!B47</f>
        <v>SULEIMAN LAILA</v>
      </c>
      <c r="CI49" s="109"/>
      <c r="CJ49" s="109"/>
      <c r="CK49" s="109"/>
      <c r="CL49" s="109"/>
      <c r="CM49" s="122">
        <f t="shared" si="36"/>
        <v>0</v>
      </c>
      <c r="CN49" s="122"/>
      <c r="CO49" s="122">
        <f t="shared" si="37"/>
        <v>0</v>
      </c>
      <c r="CP49" s="122" t="str">
        <f t="shared" si="38"/>
        <v/>
      </c>
      <c r="CQ49" s="122" t="str">
        <f t="shared" si="39"/>
        <v/>
      </c>
      <c r="CR49" s="122" t="str">
        <f t="shared" si="40"/>
        <v/>
      </c>
      <c r="CS49">
        <v>46</v>
      </c>
      <c r="CT49" s="108" t="str">
        <f>Data!B47</f>
        <v>SULEIMAN LAILA</v>
      </c>
      <c r="CU49" s="109"/>
      <c r="CV49" s="109"/>
      <c r="CW49" s="109"/>
      <c r="CX49" s="109"/>
      <c r="CY49" s="123">
        <f t="shared" si="41"/>
        <v>0</v>
      </c>
      <c r="CZ49" s="151"/>
      <c r="DA49" s="123">
        <f t="shared" si="42"/>
        <v>0</v>
      </c>
      <c r="DB49" s="123" t="str">
        <f t="shared" si="43"/>
        <v/>
      </c>
      <c r="DC49" s="123" t="str">
        <f t="shared" si="44"/>
        <v/>
      </c>
      <c r="DD49" s="123" t="str">
        <f t="shared" si="45"/>
        <v/>
      </c>
      <c r="DE49">
        <v>46</v>
      </c>
      <c r="DF49" s="108" t="str">
        <f>Data!B47</f>
        <v>SULEIMAN LAILA</v>
      </c>
      <c r="DG49" s="109"/>
      <c r="DH49" s="109"/>
      <c r="DI49" s="109"/>
      <c r="DJ49" s="109"/>
      <c r="DK49" s="117">
        <f t="shared" si="46"/>
        <v>0</v>
      </c>
      <c r="DL49" s="117"/>
      <c r="DM49" s="117">
        <f t="shared" si="47"/>
        <v>0</v>
      </c>
      <c r="DN49" s="117" t="str">
        <f t="shared" si="48"/>
        <v/>
      </c>
      <c r="DO49" s="117" t="str">
        <f t="shared" si="49"/>
        <v/>
      </c>
      <c r="DP49" s="117" t="str">
        <f t="shared" si="50"/>
        <v/>
      </c>
      <c r="DQ49">
        <v>46</v>
      </c>
      <c r="DR49" s="108" t="str">
        <f>Data!B47</f>
        <v>SULEIMAN LAILA</v>
      </c>
      <c r="DS49" s="152"/>
      <c r="DT49" s="152"/>
      <c r="DU49" s="152"/>
      <c r="DV49" s="152"/>
      <c r="DW49" s="125">
        <f t="shared" si="51"/>
        <v>0</v>
      </c>
      <c r="DX49" s="153"/>
      <c r="DY49" s="125">
        <f t="shared" si="52"/>
        <v>0</v>
      </c>
      <c r="DZ49" s="125" t="str">
        <f t="shared" si="53"/>
        <v/>
      </c>
      <c r="EA49" s="125" t="str">
        <f t="shared" si="54"/>
        <v/>
      </c>
      <c r="EB49" s="125" t="str">
        <f t="shared" si="55"/>
        <v/>
      </c>
      <c r="EC49">
        <v>46</v>
      </c>
      <c r="ED49" s="108" t="str">
        <f>Data!B47</f>
        <v>SULEIMAN LAILA</v>
      </c>
      <c r="EE49" s="109"/>
      <c r="EF49" s="109"/>
      <c r="EG49" s="109"/>
      <c r="EH49" s="109"/>
      <c r="EI49" s="127">
        <f t="shared" si="56"/>
        <v>0</v>
      </c>
      <c r="EJ49" s="127"/>
      <c r="EK49" s="127">
        <f t="shared" si="57"/>
        <v>0</v>
      </c>
      <c r="EL49" s="127" t="str">
        <f t="shared" si="58"/>
        <v/>
      </c>
      <c r="EM49" s="127" t="str">
        <f t="shared" si="59"/>
        <v/>
      </c>
      <c r="EN49" s="127" t="str">
        <f t="shared" si="60"/>
        <v/>
      </c>
      <c r="EO49">
        <v>46</v>
      </c>
      <c r="EP49" s="128" t="str">
        <f>Data!B47</f>
        <v>SULEIMAN LAILA</v>
      </c>
      <c r="EQ49" s="109"/>
      <c r="ER49" s="109"/>
      <c r="ES49" s="109"/>
      <c r="ET49" s="109"/>
      <c r="EU49" s="123">
        <f t="shared" si="61"/>
        <v>0</v>
      </c>
      <c r="EV49" s="123"/>
      <c r="EW49" s="123">
        <f t="shared" si="62"/>
        <v>0</v>
      </c>
      <c r="EX49" s="123" t="str">
        <f t="shared" si="63"/>
        <v/>
      </c>
      <c r="EY49" s="123" t="str">
        <f t="shared" si="64"/>
        <v/>
      </c>
      <c r="EZ49" s="123" t="str">
        <f t="shared" si="65"/>
        <v/>
      </c>
      <c r="FA49">
        <v>46</v>
      </c>
      <c r="FB49" s="108" t="str">
        <f>Data!B47</f>
        <v>SULEIMAN LAILA</v>
      </c>
      <c r="FC49" s="109"/>
      <c r="FD49" s="109"/>
      <c r="FE49" s="109"/>
      <c r="FF49" s="109"/>
      <c r="FG49" s="129">
        <f t="shared" si="66"/>
        <v>0</v>
      </c>
      <c r="FH49" s="129"/>
      <c r="FI49" s="129">
        <f t="shared" si="67"/>
        <v>0</v>
      </c>
      <c r="FJ49" s="129" t="str">
        <f t="shared" si="68"/>
        <v/>
      </c>
      <c r="FK49" s="129" t="str">
        <f t="shared" si="69"/>
        <v/>
      </c>
      <c r="FL49" s="129" t="str">
        <f t="shared" si="70"/>
        <v/>
      </c>
      <c r="FM49">
        <v>46</v>
      </c>
      <c r="FN49" s="108" t="str">
        <f>Data!B47</f>
        <v>SULEIMAN LAILA</v>
      </c>
      <c r="FO49" s="109"/>
      <c r="FP49" s="109"/>
      <c r="FQ49" s="109"/>
      <c r="FR49" s="109"/>
      <c r="FS49" s="130">
        <f t="shared" si="71"/>
        <v>0</v>
      </c>
      <c r="FT49" s="130"/>
      <c r="FU49" s="130">
        <f t="shared" si="72"/>
        <v>0</v>
      </c>
      <c r="FV49" s="130" t="str">
        <f t="shared" si="73"/>
        <v/>
      </c>
      <c r="FW49" s="130" t="str">
        <f t="shared" si="74"/>
        <v/>
      </c>
      <c r="FX49" s="130" t="str">
        <f t="shared" si="75"/>
        <v/>
      </c>
      <c r="FY49">
        <v>46</v>
      </c>
      <c r="FZ49" s="108" t="str">
        <f>Data!B47</f>
        <v>SULEIMAN LAILA</v>
      </c>
      <c r="GA49" s="109">
        <v>6</v>
      </c>
      <c r="GB49" s="109">
        <v>7</v>
      </c>
      <c r="GC49" s="109">
        <v>10</v>
      </c>
      <c r="GD49" s="109">
        <v>10</v>
      </c>
      <c r="GE49" s="131">
        <f t="shared" si="76"/>
        <v>33</v>
      </c>
      <c r="GF49" s="131">
        <v>44</v>
      </c>
      <c r="GG49" s="131">
        <f t="shared" si="77"/>
        <v>77</v>
      </c>
      <c r="GH49" s="131">
        <f t="shared" si="78"/>
        <v>1</v>
      </c>
      <c r="GI49" s="131" t="str">
        <f t="shared" si="79"/>
        <v>A</v>
      </c>
      <c r="GJ49" s="131" t="str">
        <f t="shared" si="80"/>
        <v>Excellent</v>
      </c>
      <c r="GK49">
        <v>46</v>
      </c>
      <c r="GL49" s="108" t="str">
        <f>Data!B47</f>
        <v>SULEIMAN LAILA</v>
      </c>
      <c r="GM49" s="132"/>
      <c r="GN49" s="132"/>
      <c r="GO49" s="132"/>
      <c r="GP49" s="132"/>
      <c r="GQ49" s="133">
        <f t="shared" si="81"/>
        <v>0</v>
      </c>
      <c r="GR49" s="132"/>
      <c r="GS49" s="133">
        <f t="shared" si="82"/>
        <v>0</v>
      </c>
      <c r="GT49" s="133" t="str">
        <f t="shared" si="83"/>
        <v/>
      </c>
      <c r="GU49" s="133" t="str">
        <f t="shared" si="84"/>
        <v/>
      </c>
      <c r="GV49" s="133" t="str">
        <f t="shared" si="85"/>
        <v/>
      </c>
      <c r="GW49">
        <v>46</v>
      </c>
      <c r="GX49" s="108" t="str">
        <f>Data!B47</f>
        <v>SULEIMAN LAILA</v>
      </c>
      <c r="GY49" s="109">
        <v>10</v>
      </c>
      <c r="GZ49" s="109">
        <v>10</v>
      </c>
      <c r="HA49" s="109">
        <v>10</v>
      </c>
      <c r="HB49" s="109">
        <v>10</v>
      </c>
      <c r="HC49" s="119">
        <f t="shared" si="86"/>
        <v>40</v>
      </c>
      <c r="HD49" s="119"/>
      <c r="HE49" s="119">
        <f t="shared" si="87"/>
        <v>40</v>
      </c>
      <c r="HF49" s="119">
        <f t="shared" si="88"/>
        <v>1</v>
      </c>
      <c r="HG49" s="119" t="str">
        <f t="shared" si="89"/>
        <v>E</v>
      </c>
      <c r="HH49" s="119" t="str">
        <f t="shared" si="90"/>
        <v>Pass</v>
      </c>
      <c r="HI49">
        <v>46</v>
      </c>
      <c r="HJ49" s="108" t="str">
        <f>Data!B47</f>
        <v>SULEIMAN LAILA</v>
      </c>
      <c r="HK49" s="144"/>
      <c r="HL49" s="145"/>
      <c r="HM49" s="145"/>
      <c r="HN49" s="145"/>
      <c r="HO49" s="136">
        <f t="shared" si="91"/>
        <v>0</v>
      </c>
      <c r="HP49" s="144"/>
      <c r="HQ49" s="136">
        <f t="shared" si="92"/>
        <v>0</v>
      </c>
      <c r="HR49" s="136" t="str">
        <f t="shared" si="93"/>
        <v/>
      </c>
      <c r="HS49" s="136" t="str">
        <f t="shared" si="94"/>
        <v/>
      </c>
      <c r="HT49" s="136" t="str">
        <f t="shared" si="95"/>
        <v/>
      </c>
      <c r="HU49">
        <v>46</v>
      </c>
      <c r="HV49" s="108" t="str">
        <f>Data!B47</f>
        <v>SULEIMAN LAILA</v>
      </c>
      <c r="HW49" s="109"/>
      <c r="HX49" s="109"/>
      <c r="HY49" s="109"/>
      <c r="HZ49" s="109"/>
      <c r="IA49" s="117">
        <f t="shared" si="96"/>
        <v>0</v>
      </c>
      <c r="IB49" s="117"/>
      <c r="IC49" s="117">
        <f t="shared" si="97"/>
        <v>0</v>
      </c>
      <c r="ID49" s="117" t="str">
        <f t="shared" si="98"/>
        <v/>
      </c>
      <c r="IE49" s="117" t="str">
        <f t="shared" si="99"/>
        <v/>
      </c>
      <c r="IF49" s="117" t="str">
        <f t="shared" si="100"/>
        <v/>
      </c>
      <c r="IG49">
        <v>46</v>
      </c>
      <c r="IH49" s="108" t="str">
        <f>Data!B47</f>
        <v>SULEIMAN LAILA</v>
      </c>
      <c r="II49" s="109"/>
      <c r="IJ49" s="109"/>
      <c r="IK49" s="109"/>
      <c r="IL49" s="109"/>
      <c r="IM49" s="137">
        <f t="shared" si="101"/>
        <v>0</v>
      </c>
      <c r="IN49" s="137"/>
      <c r="IO49" s="137">
        <f t="shared" si="102"/>
        <v>0</v>
      </c>
      <c r="IP49" s="137" t="str">
        <f t="shared" si="103"/>
        <v/>
      </c>
      <c r="IQ49" s="137" t="str">
        <f t="shared" si="104"/>
        <v/>
      </c>
      <c r="IR49" s="137" t="str">
        <f t="shared" si="105"/>
        <v/>
      </c>
      <c r="IS49">
        <v>46</v>
      </c>
      <c r="IT49" s="108" t="str">
        <f t="shared" si="106"/>
        <v>SULEIMAN LAILA</v>
      </c>
      <c r="IU49" s="150"/>
      <c r="IV49" s="150"/>
      <c r="IW49" s="150"/>
      <c r="IX49" s="150"/>
      <c r="IY49" s="131">
        <f t="shared" si="129"/>
        <v>0</v>
      </c>
      <c r="IZ49" s="150"/>
      <c r="JA49" s="131">
        <f t="shared" si="108"/>
        <v>0</v>
      </c>
      <c r="JB49" s="131" t="str">
        <f t="shared" si="109"/>
        <v/>
      </c>
      <c r="JC49" s="131" t="str">
        <f t="shared" si="110"/>
        <v/>
      </c>
      <c r="JD49" s="131" t="str">
        <f t="shared" si="111"/>
        <v/>
      </c>
      <c r="JE49">
        <v>46</v>
      </c>
      <c r="JF49" s="108" t="str">
        <f t="shared" si="112"/>
        <v>SULEIMAN LAILA</v>
      </c>
      <c r="JG49" s="147"/>
      <c r="JH49" s="147"/>
      <c r="JI49" s="147"/>
      <c r="JJ49" s="147"/>
      <c r="JK49" s="113">
        <f t="shared" si="113"/>
        <v>0</v>
      </c>
      <c r="JL49" s="147"/>
      <c r="JM49" s="113">
        <f t="shared" si="114"/>
        <v>0</v>
      </c>
      <c r="JN49" s="113" t="str">
        <f t="shared" si="115"/>
        <v/>
      </c>
      <c r="JO49" s="113" t="str">
        <f t="shared" si="116"/>
        <v/>
      </c>
      <c r="JP49" s="113" t="str">
        <f t="shared" si="117"/>
        <v/>
      </c>
      <c r="JQ49">
        <v>46</v>
      </c>
      <c r="JR49" s="108" t="str">
        <f t="shared" si="118"/>
        <v>SULEIMAN LAILA</v>
      </c>
      <c r="JS49" s="140"/>
      <c r="JT49" s="140"/>
      <c r="JU49" s="140"/>
      <c r="JV49" s="140"/>
      <c r="JW49" s="111">
        <f t="shared" si="119"/>
        <v>0</v>
      </c>
      <c r="JX49" s="141"/>
      <c r="JY49" s="111">
        <f t="shared" si="0"/>
        <v>0</v>
      </c>
      <c r="JZ49" s="111" t="str">
        <f t="shared" si="120"/>
        <v/>
      </c>
      <c r="KA49" s="111" t="str">
        <f t="shared" si="121"/>
        <v/>
      </c>
      <c r="KB49" s="111" t="str">
        <f t="shared" si="122"/>
        <v/>
      </c>
      <c r="KD49" s="47"/>
      <c r="KE49" s="47"/>
      <c r="KF49" s="47"/>
      <c r="KG49" s="47"/>
      <c r="KH49" s="47"/>
      <c r="KI49" s="47"/>
      <c r="KJ49" s="47"/>
      <c r="KK49" s="47"/>
      <c r="KM49" s="47"/>
      <c r="KN49" s="47"/>
      <c r="KO49" s="47"/>
      <c r="KP49" s="47"/>
      <c r="KQ49" s="47"/>
      <c r="KR49" s="47"/>
      <c r="KS49" s="47"/>
      <c r="KT49" s="47"/>
      <c r="KU49" s="47"/>
      <c r="KV49" s="47"/>
    </row>
    <row r="50" spans="1:308" ht="23.25">
      <c r="A50" s="211">
        <v>47</v>
      </c>
      <c r="B50" s="108" t="str">
        <f>Data!B48</f>
        <v>TAHA AMINA</v>
      </c>
      <c r="C50" s="109">
        <v>9</v>
      </c>
      <c r="D50" s="109">
        <v>2</v>
      </c>
      <c r="E50" s="109">
        <v>10</v>
      </c>
      <c r="F50" s="109">
        <v>5</v>
      </c>
      <c r="G50" s="111">
        <f t="shared" si="130"/>
        <v>26</v>
      </c>
      <c r="H50" s="111">
        <v>27</v>
      </c>
      <c r="I50" s="111">
        <f t="shared" si="126"/>
        <v>53</v>
      </c>
      <c r="J50" s="110">
        <f t="shared" si="3"/>
        <v>8</v>
      </c>
      <c r="K50" s="110" t="str">
        <f t="shared" si="4"/>
        <v>C6</v>
      </c>
      <c r="L50" s="110" t="str">
        <f t="shared" si="5"/>
        <v>Credit</v>
      </c>
      <c r="M50" s="48">
        <v>47</v>
      </c>
      <c r="N50" s="108" t="str">
        <f>Data!B48</f>
        <v>TAHA AMINA</v>
      </c>
      <c r="O50" s="109"/>
      <c r="P50" s="109"/>
      <c r="Q50" s="109"/>
      <c r="R50" s="109"/>
      <c r="S50" s="111">
        <f t="shared" si="6"/>
        <v>0</v>
      </c>
      <c r="T50" s="111"/>
      <c r="U50" s="111">
        <f t="shared" si="7"/>
        <v>0</v>
      </c>
      <c r="V50" s="111" t="str">
        <f t="shared" si="8"/>
        <v/>
      </c>
      <c r="W50" s="111" t="str">
        <f t="shared" si="9"/>
        <v/>
      </c>
      <c r="X50" s="111" t="str">
        <f t="shared" si="10"/>
        <v/>
      </c>
      <c r="Y50" s="42">
        <v>47</v>
      </c>
      <c r="Z50" s="108" t="str">
        <f>Data!B48</f>
        <v>TAHA AMINA</v>
      </c>
      <c r="AA50" s="109">
        <v>9</v>
      </c>
      <c r="AB50" s="109">
        <v>2</v>
      </c>
      <c r="AC50" s="109">
        <v>10</v>
      </c>
      <c r="AD50" s="109">
        <v>5</v>
      </c>
      <c r="AE50" s="111">
        <f t="shared" si="131"/>
        <v>26</v>
      </c>
      <c r="AF50" s="112">
        <v>42</v>
      </c>
      <c r="AG50" s="113">
        <f t="shared" si="12"/>
        <v>68</v>
      </c>
      <c r="AH50" s="113">
        <f t="shared" si="13"/>
        <v>9</v>
      </c>
      <c r="AI50" s="113" t="str">
        <f t="shared" si="14"/>
        <v>B3</v>
      </c>
      <c r="AJ50" s="113" t="str">
        <f t="shared" si="15"/>
        <v>Good</v>
      </c>
      <c r="AK50" s="42">
        <v>47</v>
      </c>
      <c r="AL50" s="108" t="str">
        <f>Data!B48</f>
        <v>TAHA AMINA</v>
      </c>
      <c r="AM50" s="114"/>
      <c r="AN50" s="114"/>
      <c r="AO50" s="114"/>
      <c r="AP50" s="114"/>
      <c r="AQ50" s="115">
        <f t="shared" si="16"/>
        <v>0</v>
      </c>
      <c r="AR50" s="114"/>
      <c r="AS50" s="115">
        <f t="shared" si="17"/>
        <v>0</v>
      </c>
      <c r="AT50" s="115" t="str">
        <f t="shared" si="18"/>
        <v/>
      </c>
      <c r="AU50" s="115" t="str">
        <f t="shared" si="19"/>
        <v/>
      </c>
      <c r="AV50" s="115" t="str">
        <f t="shared" si="20"/>
        <v/>
      </c>
      <c r="AW50" s="42">
        <v>47</v>
      </c>
      <c r="AX50" s="108" t="str">
        <f>Data!B48</f>
        <v>TAHA AMINA</v>
      </c>
      <c r="AY50" s="116"/>
      <c r="AZ50" s="116"/>
      <c r="BA50" s="116"/>
      <c r="BB50" s="116"/>
      <c r="BC50" s="117">
        <f t="shared" si="21"/>
        <v>0</v>
      </c>
      <c r="BD50" s="116"/>
      <c r="BE50" s="117">
        <f t="shared" si="22"/>
        <v>0</v>
      </c>
      <c r="BF50" s="117" t="str">
        <f t="shared" si="23"/>
        <v/>
      </c>
      <c r="BG50" s="117" t="str">
        <f t="shared" si="24"/>
        <v/>
      </c>
      <c r="BH50" s="117" t="str">
        <f t="shared" si="25"/>
        <v/>
      </c>
      <c r="BI50" s="67">
        <v>47</v>
      </c>
      <c r="BJ50" s="108" t="str">
        <f>Data!B48</f>
        <v>TAHA AMINA</v>
      </c>
      <c r="BK50" s="149"/>
      <c r="BL50" s="149"/>
      <c r="BM50" s="149"/>
      <c r="BN50" s="149"/>
      <c r="BO50" s="119">
        <f t="shared" si="128"/>
        <v>0</v>
      </c>
      <c r="BP50" s="149"/>
      <c r="BQ50" s="119">
        <f t="shared" si="27"/>
        <v>0</v>
      </c>
      <c r="BR50" s="119" t="str">
        <f t="shared" si="28"/>
        <v/>
      </c>
      <c r="BS50" s="119" t="str">
        <f t="shared" si="29"/>
        <v/>
      </c>
      <c r="BT50" s="119" t="str">
        <f t="shared" si="30"/>
        <v/>
      </c>
      <c r="BU50">
        <v>47</v>
      </c>
      <c r="BV50" s="108" t="str">
        <f>Data!B48</f>
        <v>TAHA AMINA</v>
      </c>
      <c r="BW50" s="120">
        <v>9</v>
      </c>
      <c r="BX50" s="120">
        <v>6</v>
      </c>
      <c r="BY50" s="120">
        <v>10</v>
      </c>
      <c r="BZ50" s="120">
        <v>9</v>
      </c>
      <c r="CA50" s="121">
        <f t="shared" si="31"/>
        <v>34</v>
      </c>
      <c r="CB50" s="120">
        <v>47</v>
      </c>
      <c r="CC50" s="121">
        <f t="shared" si="32"/>
        <v>81</v>
      </c>
      <c r="CD50" s="121">
        <f t="shared" si="33"/>
        <v>3</v>
      </c>
      <c r="CE50" s="121" t="str">
        <f t="shared" si="34"/>
        <v>A1</v>
      </c>
      <c r="CF50" s="121" t="str">
        <f t="shared" si="35"/>
        <v>Excellent</v>
      </c>
      <c r="CG50">
        <v>47</v>
      </c>
      <c r="CH50" s="108" t="str">
        <f>Data!B48</f>
        <v>TAHA AMINA</v>
      </c>
      <c r="CI50" s="109"/>
      <c r="CJ50" s="109"/>
      <c r="CK50" s="109"/>
      <c r="CL50" s="109"/>
      <c r="CM50" s="122">
        <f t="shared" si="36"/>
        <v>0</v>
      </c>
      <c r="CN50" s="122"/>
      <c r="CO50" s="122">
        <f t="shared" si="37"/>
        <v>0</v>
      </c>
      <c r="CP50" s="122" t="str">
        <f t="shared" si="38"/>
        <v/>
      </c>
      <c r="CQ50" s="122" t="str">
        <f t="shared" si="39"/>
        <v/>
      </c>
      <c r="CR50" s="122" t="str">
        <f t="shared" si="40"/>
        <v/>
      </c>
      <c r="CS50">
        <v>47</v>
      </c>
      <c r="CT50" s="108" t="str">
        <f>Data!B48</f>
        <v>TAHA AMINA</v>
      </c>
      <c r="CU50" s="109"/>
      <c r="CV50" s="109"/>
      <c r="CW50" s="109"/>
      <c r="CX50" s="109"/>
      <c r="CY50" s="123">
        <f t="shared" si="41"/>
        <v>0</v>
      </c>
      <c r="CZ50" s="123"/>
      <c r="DA50" s="123">
        <f t="shared" si="42"/>
        <v>0</v>
      </c>
      <c r="DB50" s="123" t="str">
        <f t="shared" si="43"/>
        <v/>
      </c>
      <c r="DC50" s="123" t="str">
        <f t="shared" si="44"/>
        <v/>
      </c>
      <c r="DD50" s="123" t="str">
        <f t="shared" si="45"/>
        <v/>
      </c>
      <c r="DE50">
        <v>47</v>
      </c>
      <c r="DF50" s="108" t="str">
        <f>Data!B48</f>
        <v>TAHA AMINA</v>
      </c>
      <c r="DG50" s="109">
        <v>5</v>
      </c>
      <c r="DH50" s="109">
        <v>6</v>
      </c>
      <c r="DI50" s="109">
        <v>6</v>
      </c>
      <c r="DJ50" s="109">
        <v>10</v>
      </c>
      <c r="DK50" s="117">
        <f t="shared" si="46"/>
        <v>27</v>
      </c>
      <c r="DL50" s="117">
        <v>37</v>
      </c>
      <c r="DM50" s="117">
        <f t="shared" si="47"/>
        <v>64</v>
      </c>
      <c r="DN50" s="117">
        <f t="shared" si="48"/>
        <v>1</v>
      </c>
      <c r="DO50" s="117" t="str">
        <f t="shared" si="49"/>
        <v>C4</v>
      </c>
      <c r="DP50" s="117" t="str">
        <f t="shared" si="50"/>
        <v>Credit</v>
      </c>
      <c r="DQ50">
        <v>47</v>
      </c>
      <c r="DR50" s="108" t="str">
        <f>Data!B48</f>
        <v>TAHA AMINA</v>
      </c>
      <c r="DS50" s="152"/>
      <c r="DT50" s="152"/>
      <c r="DU50" s="152"/>
      <c r="DV50" s="152"/>
      <c r="DW50" s="125">
        <f t="shared" si="51"/>
        <v>0</v>
      </c>
      <c r="DX50" s="153"/>
      <c r="DY50" s="125">
        <f t="shared" si="52"/>
        <v>0</v>
      </c>
      <c r="DZ50" s="125" t="str">
        <f t="shared" si="53"/>
        <v/>
      </c>
      <c r="EA50" s="125" t="str">
        <f t="shared" si="54"/>
        <v/>
      </c>
      <c r="EB50" s="125" t="str">
        <f t="shared" si="55"/>
        <v/>
      </c>
      <c r="EC50">
        <v>47</v>
      </c>
      <c r="ED50" s="108" t="str">
        <f>Data!B48</f>
        <v>TAHA AMINA</v>
      </c>
      <c r="EE50" s="109"/>
      <c r="EF50" s="109"/>
      <c r="EG50" s="109"/>
      <c r="EH50" s="109"/>
      <c r="EI50" s="127">
        <f t="shared" si="56"/>
        <v>0</v>
      </c>
      <c r="EJ50" s="127"/>
      <c r="EK50" s="127">
        <f t="shared" si="57"/>
        <v>0</v>
      </c>
      <c r="EL50" s="127" t="str">
        <f t="shared" si="58"/>
        <v/>
      </c>
      <c r="EM50" s="127" t="str">
        <f t="shared" si="59"/>
        <v/>
      </c>
      <c r="EN50" s="127" t="str">
        <f t="shared" si="60"/>
        <v/>
      </c>
      <c r="EO50">
        <v>47</v>
      </c>
      <c r="EP50" s="128" t="str">
        <f>Data!B48</f>
        <v>TAHA AMINA</v>
      </c>
      <c r="EQ50" s="109"/>
      <c r="ER50" s="109"/>
      <c r="ES50" s="109"/>
      <c r="ET50" s="109"/>
      <c r="EU50" s="123">
        <f t="shared" si="61"/>
        <v>0</v>
      </c>
      <c r="EV50" s="123"/>
      <c r="EW50" s="123">
        <f t="shared" si="62"/>
        <v>0</v>
      </c>
      <c r="EX50" s="123" t="str">
        <f t="shared" si="63"/>
        <v/>
      </c>
      <c r="EY50" s="123" t="str">
        <f t="shared" si="64"/>
        <v/>
      </c>
      <c r="EZ50" s="123" t="str">
        <f t="shared" si="65"/>
        <v/>
      </c>
      <c r="FA50">
        <v>47</v>
      </c>
      <c r="FB50" s="108" t="str">
        <f>Data!B48</f>
        <v>TAHA AMINA</v>
      </c>
      <c r="FC50" s="109"/>
      <c r="FD50" s="109"/>
      <c r="FE50" s="109"/>
      <c r="FF50" s="109"/>
      <c r="FG50" s="129">
        <f t="shared" si="66"/>
        <v>0</v>
      </c>
      <c r="FH50" s="129"/>
      <c r="FI50" s="129">
        <f t="shared" si="67"/>
        <v>0</v>
      </c>
      <c r="FJ50" s="129" t="str">
        <f t="shared" si="68"/>
        <v/>
      </c>
      <c r="FK50" s="129" t="str">
        <f t="shared" si="69"/>
        <v/>
      </c>
      <c r="FL50" s="129" t="str">
        <f t="shared" si="70"/>
        <v/>
      </c>
      <c r="FM50">
        <v>47</v>
      </c>
      <c r="FN50" s="108" t="str">
        <f>Data!B48</f>
        <v>TAHA AMINA</v>
      </c>
      <c r="FO50" s="109"/>
      <c r="FP50" s="109"/>
      <c r="FQ50" s="109"/>
      <c r="FR50" s="109"/>
      <c r="FS50" s="130">
        <f t="shared" si="71"/>
        <v>0</v>
      </c>
      <c r="FT50" s="130"/>
      <c r="FU50" s="130">
        <f t="shared" si="72"/>
        <v>0</v>
      </c>
      <c r="FV50" s="130" t="str">
        <f t="shared" si="73"/>
        <v/>
      </c>
      <c r="FW50" s="130" t="str">
        <f t="shared" si="74"/>
        <v/>
      </c>
      <c r="FX50" s="130" t="str">
        <f t="shared" si="75"/>
        <v/>
      </c>
      <c r="FY50">
        <v>47</v>
      </c>
      <c r="FZ50" s="108" t="str">
        <f>Data!B48</f>
        <v>TAHA AMINA</v>
      </c>
      <c r="GA50" s="109">
        <v>8</v>
      </c>
      <c r="GB50" s="109">
        <v>9</v>
      </c>
      <c r="GC50" s="109">
        <v>10</v>
      </c>
      <c r="GD50" s="109">
        <v>10</v>
      </c>
      <c r="GE50" s="131">
        <f t="shared" si="76"/>
        <v>37</v>
      </c>
      <c r="GF50" s="131">
        <v>33</v>
      </c>
      <c r="GG50" s="131">
        <f t="shared" si="77"/>
        <v>70</v>
      </c>
      <c r="GH50" s="131">
        <f t="shared" si="78"/>
        <v>6</v>
      </c>
      <c r="GI50" s="131" t="str">
        <f t="shared" si="79"/>
        <v>B2</v>
      </c>
      <c r="GJ50" s="131" t="str">
        <f t="shared" si="80"/>
        <v>V.Good</v>
      </c>
      <c r="GK50">
        <v>47</v>
      </c>
      <c r="GL50" s="108" t="str">
        <f>Data!B48</f>
        <v>TAHA AMINA</v>
      </c>
      <c r="GM50" s="132"/>
      <c r="GN50" s="132"/>
      <c r="GO50" s="132"/>
      <c r="GP50" s="132"/>
      <c r="GQ50" s="133">
        <f t="shared" si="81"/>
        <v>0</v>
      </c>
      <c r="GR50" s="132"/>
      <c r="GS50" s="133">
        <f t="shared" si="82"/>
        <v>0</v>
      </c>
      <c r="GT50" s="133" t="str">
        <f t="shared" si="83"/>
        <v/>
      </c>
      <c r="GU50" s="133" t="str">
        <f t="shared" si="84"/>
        <v/>
      </c>
      <c r="GV50" s="133" t="str">
        <f t="shared" si="85"/>
        <v/>
      </c>
      <c r="GW50">
        <v>47</v>
      </c>
      <c r="GX50" s="108" t="str">
        <f>Data!B48</f>
        <v>TAHA AMINA</v>
      </c>
      <c r="GY50" s="109"/>
      <c r="GZ50" s="109"/>
      <c r="HA50" s="109"/>
      <c r="HB50" s="109"/>
      <c r="HC50" s="119">
        <f t="shared" si="86"/>
        <v>0</v>
      </c>
      <c r="HD50" s="119"/>
      <c r="HE50" s="119">
        <f t="shared" si="87"/>
        <v>0</v>
      </c>
      <c r="HF50" s="119" t="str">
        <f t="shared" si="88"/>
        <v/>
      </c>
      <c r="HG50" s="119" t="str">
        <f t="shared" si="89"/>
        <v/>
      </c>
      <c r="HH50" s="119" t="str">
        <f t="shared" si="90"/>
        <v/>
      </c>
      <c r="HI50">
        <v>47</v>
      </c>
      <c r="HJ50" s="108" t="str">
        <f>Data!B48</f>
        <v>TAHA AMINA</v>
      </c>
      <c r="HK50" s="144"/>
      <c r="HL50" s="145"/>
      <c r="HM50" s="145"/>
      <c r="HN50" s="145"/>
      <c r="HO50" s="136">
        <f t="shared" si="91"/>
        <v>0</v>
      </c>
      <c r="HP50" s="144"/>
      <c r="HQ50" s="136">
        <f t="shared" si="92"/>
        <v>0</v>
      </c>
      <c r="HR50" s="136" t="str">
        <f t="shared" si="93"/>
        <v/>
      </c>
      <c r="HS50" s="136" t="str">
        <f t="shared" si="94"/>
        <v/>
      </c>
      <c r="HT50" s="136" t="str">
        <f t="shared" si="95"/>
        <v/>
      </c>
      <c r="HU50">
        <v>47</v>
      </c>
      <c r="HV50" s="108" t="str">
        <f>Data!B48</f>
        <v>TAHA AMINA</v>
      </c>
      <c r="HW50" s="109"/>
      <c r="HX50" s="109"/>
      <c r="HY50" s="109"/>
      <c r="HZ50" s="109"/>
      <c r="IA50" s="117">
        <f t="shared" si="96"/>
        <v>0</v>
      </c>
      <c r="IB50" s="117"/>
      <c r="IC50" s="117">
        <f t="shared" si="97"/>
        <v>0</v>
      </c>
      <c r="ID50" s="117" t="str">
        <f t="shared" si="98"/>
        <v/>
      </c>
      <c r="IE50" s="117" t="str">
        <f t="shared" si="99"/>
        <v/>
      </c>
      <c r="IF50" s="117" t="str">
        <f t="shared" si="100"/>
        <v/>
      </c>
      <c r="IG50">
        <v>47</v>
      </c>
      <c r="IH50" s="108" t="str">
        <f>Data!B48</f>
        <v>TAHA AMINA</v>
      </c>
      <c r="II50" s="109"/>
      <c r="IJ50" s="109"/>
      <c r="IK50" s="109"/>
      <c r="IL50" s="109"/>
      <c r="IM50" s="137">
        <f t="shared" si="101"/>
        <v>0</v>
      </c>
      <c r="IN50" s="137"/>
      <c r="IO50" s="137">
        <f t="shared" si="102"/>
        <v>0</v>
      </c>
      <c r="IP50" s="137" t="str">
        <f t="shared" si="103"/>
        <v/>
      </c>
      <c r="IQ50" s="137" t="str">
        <f t="shared" si="104"/>
        <v/>
      </c>
      <c r="IR50" s="137" t="str">
        <f t="shared" si="105"/>
        <v/>
      </c>
      <c r="IS50">
        <v>47</v>
      </c>
      <c r="IT50" s="108" t="str">
        <f t="shared" si="106"/>
        <v>TAHA AMINA</v>
      </c>
      <c r="IU50" s="150"/>
      <c r="IV50" s="150"/>
      <c r="IW50" s="150"/>
      <c r="IX50" s="150"/>
      <c r="IY50" s="131">
        <f t="shared" si="129"/>
        <v>0</v>
      </c>
      <c r="IZ50" s="150"/>
      <c r="JA50" s="131">
        <f t="shared" si="108"/>
        <v>0</v>
      </c>
      <c r="JB50" s="131" t="str">
        <f t="shared" si="109"/>
        <v/>
      </c>
      <c r="JC50" s="131" t="str">
        <f t="shared" si="110"/>
        <v/>
      </c>
      <c r="JD50" s="131" t="str">
        <f t="shared" si="111"/>
        <v/>
      </c>
      <c r="JE50">
        <v>47</v>
      </c>
      <c r="JF50" s="108" t="str">
        <f t="shared" si="112"/>
        <v>TAHA AMINA</v>
      </c>
      <c r="JG50" s="112"/>
      <c r="JH50" s="112"/>
      <c r="JI50" s="112"/>
      <c r="JJ50" s="112"/>
      <c r="JK50" s="113">
        <f t="shared" si="113"/>
        <v>0</v>
      </c>
      <c r="JL50" s="112"/>
      <c r="JM50" s="113">
        <f t="shared" si="114"/>
        <v>0</v>
      </c>
      <c r="JN50" s="113" t="str">
        <f t="shared" si="115"/>
        <v/>
      </c>
      <c r="JO50" s="113" t="str">
        <f t="shared" si="116"/>
        <v/>
      </c>
      <c r="JP50" s="113" t="str">
        <f t="shared" si="117"/>
        <v/>
      </c>
      <c r="JQ50">
        <v>47</v>
      </c>
      <c r="JR50" s="108" t="str">
        <f t="shared" si="118"/>
        <v>TAHA AMINA</v>
      </c>
      <c r="JS50" s="140"/>
      <c r="JT50" s="140"/>
      <c r="JU50" s="140"/>
      <c r="JV50" s="140"/>
      <c r="JW50" s="111">
        <f t="shared" si="119"/>
        <v>0</v>
      </c>
      <c r="JX50" s="141"/>
      <c r="JY50" s="111">
        <f t="shared" si="0"/>
        <v>0</v>
      </c>
      <c r="JZ50" s="111" t="str">
        <f t="shared" si="120"/>
        <v/>
      </c>
      <c r="KA50" s="111" t="str">
        <f t="shared" si="121"/>
        <v/>
      </c>
      <c r="KB50" s="111" t="str">
        <f t="shared" si="122"/>
        <v/>
      </c>
      <c r="KD50" s="47"/>
      <c r="KE50" s="47"/>
      <c r="KF50" s="47"/>
      <c r="KG50" s="47"/>
      <c r="KH50" s="47"/>
      <c r="KI50" s="47"/>
      <c r="KJ50" s="47"/>
      <c r="KK50" s="47"/>
      <c r="KN50" s="47"/>
      <c r="KO50" s="47"/>
      <c r="KP50" s="47"/>
      <c r="KQ50" s="47"/>
      <c r="KR50" s="47"/>
      <c r="KS50" s="47"/>
      <c r="KT50" s="47"/>
      <c r="KU50" s="47"/>
      <c r="KV50" s="47"/>
    </row>
    <row r="51" spans="1:308" ht="23.25">
      <c r="A51" s="211">
        <v>48</v>
      </c>
      <c r="B51" s="108" t="str">
        <f>Data!B49</f>
        <v>UMAR ZAINAB ZARMA</v>
      </c>
      <c r="C51" s="109">
        <v>10</v>
      </c>
      <c r="D51" s="109"/>
      <c r="E51" s="109">
        <v>10</v>
      </c>
      <c r="F51" s="109">
        <v>10</v>
      </c>
      <c r="G51" s="111">
        <f t="shared" si="130"/>
        <v>30</v>
      </c>
      <c r="H51" s="111">
        <v>33</v>
      </c>
      <c r="I51" s="111">
        <f t="shared" si="126"/>
        <v>63</v>
      </c>
      <c r="J51" s="110">
        <f t="shared" si="3"/>
        <v>1</v>
      </c>
      <c r="K51" s="110" t="str">
        <f t="shared" si="4"/>
        <v>C4</v>
      </c>
      <c r="L51" s="110" t="str">
        <f t="shared" si="5"/>
        <v>Credit</v>
      </c>
      <c r="M51" s="48">
        <v>48</v>
      </c>
      <c r="N51" s="108" t="str">
        <f>Data!B49</f>
        <v>UMAR ZAINAB ZARMA</v>
      </c>
      <c r="O51" s="109"/>
      <c r="P51" s="109"/>
      <c r="Q51" s="109"/>
      <c r="R51" s="109"/>
      <c r="S51" s="111">
        <f t="shared" si="6"/>
        <v>0</v>
      </c>
      <c r="T51" s="111"/>
      <c r="U51" s="111">
        <f t="shared" si="7"/>
        <v>0</v>
      </c>
      <c r="V51" s="111" t="str">
        <f t="shared" si="8"/>
        <v/>
      </c>
      <c r="W51" s="111" t="str">
        <f t="shared" si="9"/>
        <v/>
      </c>
      <c r="X51" s="111" t="str">
        <f t="shared" si="10"/>
        <v/>
      </c>
      <c r="Y51" s="42">
        <v>48</v>
      </c>
      <c r="Z51" s="108" t="str">
        <f>Data!B49</f>
        <v>UMAR ZAINAB ZARMA</v>
      </c>
      <c r="AA51" s="109">
        <v>10</v>
      </c>
      <c r="AB51" s="109"/>
      <c r="AC51" s="109">
        <v>10</v>
      </c>
      <c r="AD51" s="109">
        <v>10</v>
      </c>
      <c r="AE51" s="111">
        <f t="shared" si="131"/>
        <v>30</v>
      </c>
      <c r="AF51" s="112">
        <v>42</v>
      </c>
      <c r="AG51" s="113">
        <f t="shared" si="12"/>
        <v>72</v>
      </c>
      <c r="AH51" s="113">
        <f t="shared" si="13"/>
        <v>4</v>
      </c>
      <c r="AI51" s="113" t="str">
        <f t="shared" si="14"/>
        <v>B2</v>
      </c>
      <c r="AJ51" s="113" t="str">
        <f t="shared" si="15"/>
        <v>V.Good</v>
      </c>
      <c r="AK51" s="42">
        <v>48</v>
      </c>
      <c r="AL51" s="108" t="str">
        <f>Data!B49</f>
        <v>UMAR ZAINAB ZARMA</v>
      </c>
      <c r="AM51" s="115"/>
      <c r="AN51" s="115"/>
      <c r="AO51" s="115"/>
      <c r="AP51" s="115"/>
      <c r="AQ51" s="115">
        <f t="shared" si="16"/>
        <v>0</v>
      </c>
      <c r="AR51" s="115"/>
      <c r="AS51" s="115">
        <f t="shared" si="17"/>
        <v>0</v>
      </c>
      <c r="AT51" s="115" t="str">
        <f t="shared" si="18"/>
        <v/>
      </c>
      <c r="AU51" s="115" t="str">
        <f t="shared" si="19"/>
        <v/>
      </c>
      <c r="AV51" s="115" t="str">
        <f t="shared" si="20"/>
        <v/>
      </c>
      <c r="AW51" s="42">
        <v>48</v>
      </c>
      <c r="AX51" s="108" t="str">
        <f>Data!B49</f>
        <v>UMAR ZAINAB ZARMA</v>
      </c>
      <c r="AY51" s="116"/>
      <c r="AZ51" s="116"/>
      <c r="BA51" s="116"/>
      <c r="BB51" s="116"/>
      <c r="BC51" s="117">
        <f t="shared" si="21"/>
        <v>0</v>
      </c>
      <c r="BD51" s="116"/>
      <c r="BE51" s="117">
        <f t="shared" si="22"/>
        <v>0</v>
      </c>
      <c r="BF51" s="117" t="str">
        <f t="shared" si="23"/>
        <v/>
      </c>
      <c r="BG51" s="117" t="str">
        <f t="shared" si="24"/>
        <v/>
      </c>
      <c r="BH51" s="117" t="str">
        <f t="shared" si="25"/>
        <v/>
      </c>
      <c r="BI51" s="67">
        <v>48</v>
      </c>
      <c r="BJ51" s="108" t="str">
        <f>Data!B49</f>
        <v>UMAR ZAINAB ZARMA</v>
      </c>
      <c r="BK51" s="149"/>
      <c r="BL51" s="149"/>
      <c r="BM51" s="149"/>
      <c r="BN51" s="149"/>
      <c r="BO51" s="119">
        <f t="shared" si="128"/>
        <v>0</v>
      </c>
      <c r="BP51" s="149"/>
      <c r="BQ51" s="119">
        <f t="shared" si="27"/>
        <v>0</v>
      </c>
      <c r="BR51" s="119" t="str">
        <f t="shared" si="28"/>
        <v/>
      </c>
      <c r="BS51" s="119" t="str">
        <f t="shared" si="29"/>
        <v/>
      </c>
      <c r="BT51" s="119" t="str">
        <f t="shared" si="30"/>
        <v/>
      </c>
      <c r="BU51">
        <v>48</v>
      </c>
      <c r="BV51" s="108" t="str">
        <f>Data!B49</f>
        <v>UMAR ZAINAB ZARMA</v>
      </c>
      <c r="BW51" s="120">
        <v>10</v>
      </c>
      <c r="BX51" s="120">
        <v>8</v>
      </c>
      <c r="BY51" s="120">
        <v>10</v>
      </c>
      <c r="BZ51" s="120">
        <v>9</v>
      </c>
      <c r="CA51" s="121">
        <f t="shared" si="31"/>
        <v>37</v>
      </c>
      <c r="CB51" s="120">
        <v>43</v>
      </c>
      <c r="CC51" s="121">
        <f t="shared" si="32"/>
        <v>80</v>
      </c>
      <c r="CD51" s="121">
        <f t="shared" si="33"/>
        <v>5</v>
      </c>
      <c r="CE51" s="121" t="str">
        <f t="shared" si="34"/>
        <v>A1</v>
      </c>
      <c r="CF51" s="121" t="str">
        <f t="shared" si="35"/>
        <v>Excellent</v>
      </c>
      <c r="CG51">
        <v>48</v>
      </c>
      <c r="CH51" s="108" t="str">
        <f>Data!B49</f>
        <v>UMAR ZAINAB ZARMA</v>
      </c>
      <c r="CI51" s="109"/>
      <c r="CJ51" s="109"/>
      <c r="CK51" s="109"/>
      <c r="CL51" s="109"/>
      <c r="CM51" s="122">
        <f t="shared" si="36"/>
        <v>0</v>
      </c>
      <c r="CN51" s="122"/>
      <c r="CO51" s="122">
        <f t="shared" si="37"/>
        <v>0</v>
      </c>
      <c r="CP51" s="122" t="str">
        <f t="shared" si="38"/>
        <v/>
      </c>
      <c r="CQ51" s="122" t="str">
        <f t="shared" si="39"/>
        <v/>
      </c>
      <c r="CR51" s="122" t="str">
        <f t="shared" si="40"/>
        <v/>
      </c>
      <c r="CS51">
        <v>48</v>
      </c>
      <c r="CT51" s="108" t="str">
        <f>Data!B49</f>
        <v>UMAR ZAINAB ZARMA</v>
      </c>
      <c r="CU51" s="109"/>
      <c r="CV51" s="109"/>
      <c r="CW51" s="109"/>
      <c r="CX51" s="109"/>
      <c r="CY51" s="123">
        <f t="shared" si="41"/>
        <v>0</v>
      </c>
      <c r="CZ51" s="123"/>
      <c r="DA51" s="123">
        <f t="shared" si="42"/>
        <v>0</v>
      </c>
      <c r="DB51" s="123" t="str">
        <f t="shared" si="43"/>
        <v/>
      </c>
      <c r="DC51" s="123" t="str">
        <f t="shared" si="44"/>
        <v/>
      </c>
      <c r="DD51" s="123" t="str">
        <f t="shared" si="45"/>
        <v/>
      </c>
      <c r="DE51">
        <v>48</v>
      </c>
      <c r="DF51" s="108" t="str">
        <f>Data!B49</f>
        <v>UMAR ZAINAB ZARMA</v>
      </c>
      <c r="DG51" s="109"/>
      <c r="DH51" s="109"/>
      <c r="DI51" s="109"/>
      <c r="DJ51" s="109"/>
      <c r="DK51" s="117">
        <f t="shared" si="46"/>
        <v>0</v>
      </c>
      <c r="DL51" s="117"/>
      <c r="DM51" s="117">
        <f t="shared" si="47"/>
        <v>0</v>
      </c>
      <c r="DN51" s="117" t="str">
        <f t="shared" si="48"/>
        <v/>
      </c>
      <c r="DO51" s="117" t="str">
        <f t="shared" si="49"/>
        <v/>
      </c>
      <c r="DP51" s="117" t="str">
        <f t="shared" si="50"/>
        <v/>
      </c>
      <c r="DQ51">
        <v>48</v>
      </c>
      <c r="DR51" s="108" t="str">
        <f>Data!B49</f>
        <v>UMAR ZAINAB ZARMA</v>
      </c>
      <c r="DS51" s="152"/>
      <c r="DT51" s="152"/>
      <c r="DU51" s="152"/>
      <c r="DV51" s="152"/>
      <c r="DW51" s="125">
        <f t="shared" si="51"/>
        <v>0</v>
      </c>
      <c r="DX51" s="153"/>
      <c r="DY51" s="125">
        <f t="shared" si="52"/>
        <v>0</v>
      </c>
      <c r="DZ51" s="125" t="str">
        <f t="shared" si="53"/>
        <v/>
      </c>
      <c r="EA51" s="125" t="str">
        <f t="shared" si="54"/>
        <v/>
      </c>
      <c r="EB51" s="125" t="str">
        <f t="shared" si="55"/>
        <v/>
      </c>
      <c r="EC51">
        <v>48</v>
      </c>
      <c r="ED51" s="108" t="str">
        <f>Data!B49</f>
        <v>UMAR ZAINAB ZARMA</v>
      </c>
      <c r="EE51" s="109"/>
      <c r="EF51" s="109"/>
      <c r="EG51" s="109"/>
      <c r="EH51" s="109"/>
      <c r="EI51" s="127">
        <f t="shared" si="56"/>
        <v>0</v>
      </c>
      <c r="EJ51" s="127"/>
      <c r="EK51" s="127">
        <f t="shared" si="57"/>
        <v>0</v>
      </c>
      <c r="EL51" s="127" t="str">
        <f t="shared" si="58"/>
        <v/>
      </c>
      <c r="EM51" s="127" t="str">
        <f t="shared" si="59"/>
        <v/>
      </c>
      <c r="EN51" s="127" t="str">
        <f t="shared" si="60"/>
        <v/>
      </c>
      <c r="EO51">
        <v>48</v>
      </c>
      <c r="EP51" s="128" t="str">
        <f>Data!B49</f>
        <v>UMAR ZAINAB ZARMA</v>
      </c>
      <c r="EQ51" s="109"/>
      <c r="ER51" s="109"/>
      <c r="ES51" s="109"/>
      <c r="ET51" s="109"/>
      <c r="EU51" s="123">
        <f t="shared" si="61"/>
        <v>0</v>
      </c>
      <c r="EV51" s="123"/>
      <c r="EW51" s="123">
        <f t="shared" si="62"/>
        <v>0</v>
      </c>
      <c r="EX51" s="123" t="str">
        <f t="shared" si="63"/>
        <v/>
      </c>
      <c r="EY51" s="123" t="str">
        <f t="shared" si="64"/>
        <v/>
      </c>
      <c r="EZ51" s="123" t="str">
        <f t="shared" si="65"/>
        <v/>
      </c>
      <c r="FA51">
        <v>48</v>
      </c>
      <c r="FB51" s="108" t="str">
        <f>Data!B49</f>
        <v>UMAR ZAINAB ZARMA</v>
      </c>
      <c r="FC51" s="109"/>
      <c r="FD51" s="109"/>
      <c r="FE51" s="109"/>
      <c r="FF51" s="109"/>
      <c r="FG51" s="129">
        <f t="shared" si="66"/>
        <v>0</v>
      </c>
      <c r="FH51" s="129"/>
      <c r="FI51" s="129">
        <f t="shared" si="67"/>
        <v>0</v>
      </c>
      <c r="FJ51" s="129" t="str">
        <f t="shared" si="68"/>
        <v/>
      </c>
      <c r="FK51" s="129" t="str">
        <f t="shared" si="69"/>
        <v/>
      </c>
      <c r="FL51" s="129" t="str">
        <f t="shared" si="70"/>
        <v/>
      </c>
      <c r="FM51">
        <v>48</v>
      </c>
      <c r="FN51" s="108" t="str">
        <f>Data!B49</f>
        <v>UMAR ZAINAB ZARMA</v>
      </c>
      <c r="FO51" s="109"/>
      <c r="FP51" s="109"/>
      <c r="FQ51" s="109"/>
      <c r="FR51" s="109"/>
      <c r="FS51" s="130">
        <f t="shared" si="71"/>
        <v>0</v>
      </c>
      <c r="FT51" s="130"/>
      <c r="FU51" s="130">
        <f t="shared" si="72"/>
        <v>0</v>
      </c>
      <c r="FV51" s="130" t="str">
        <f t="shared" si="73"/>
        <v/>
      </c>
      <c r="FW51" s="130" t="str">
        <f t="shared" si="74"/>
        <v/>
      </c>
      <c r="FX51" s="130" t="str">
        <f t="shared" si="75"/>
        <v/>
      </c>
      <c r="FY51">
        <v>48</v>
      </c>
      <c r="FZ51" s="108" t="str">
        <f>Data!B49</f>
        <v>UMAR ZAINAB ZARMA</v>
      </c>
      <c r="GA51" s="109">
        <v>9</v>
      </c>
      <c r="GB51" s="109">
        <v>9</v>
      </c>
      <c r="GC51" s="109">
        <v>8</v>
      </c>
      <c r="GD51" s="109">
        <v>9</v>
      </c>
      <c r="GE51" s="131">
        <f t="shared" si="76"/>
        <v>35</v>
      </c>
      <c r="GF51" s="131">
        <v>37</v>
      </c>
      <c r="GG51" s="131">
        <f t="shared" si="77"/>
        <v>72</v>
      </c>
      <c r="GH51" s="131">
        <f t="shared" si="78"/>
        <v>4</v>
      </c>
      <c r="GI51" s="131" t="str">
        <f t="shared" si="79"/>
        <v>B2</v>
      </c>
      <c r="GJ51" s="131" t="str">
        <f t="shared" si="80"/>
        <v>V.Good</v>
      </c>
      <c r="GK51">
        <v>48</v>
      </c>
      <c r="GL51" s="108" t="str">
        <f>Data!B49</f>
        <v>UMAR ZAINAB ZARMA</v>
      </c>
      <c r="GM51" s="132"/>
      <c r="GN51" s="132"/>
      <c r="GO51" s="132"/>
      <c r="GP51" s="132"/>
      <c r="GQ51" s="133">
        <f t="shared" si="81"/>
        <v>0</v>
      </c>
      <c r="GR51" s="132"/>
      <c r="GS51" s="133">
        <f t="shared" si="82"/>
        <v>0</v>
      </c>
      <c r="GT51" s="133" t="str">
        <f t="shared" si="83"/>
        <v/>
      </c>
      <c r="GU51" s="133" t="str">
        <f t="shared" si="84"/>
        <v/>
      </c>
      <c r="GV51" s="133" t="str">
        <f t="shared" si="85"/>
        <v/>
      </c>
      <c r="GW51">
        <v>48</v>
      </c>
      <c r="GX51" s="108" t="str">
        <f>Data!B49</f>
        <v>UMAR ZAINAB ZARMA</v>
      </c>
      <c r="GY51" s="109">
        <v>7</v>
      </c>
      <c r="GZ51" s="109"/>
      <c r="HA51" s="109">
        <v>5</v>
      </c>
      <c r="HB51" s="109">
        <v>10</v>
      </c>
      <c r="HC51" s="119">
        <f t="shared" si="86"/>
        <v>22</v>
      </c>
      <c r="HD51" s="119"/>
      <c r="HE51" s="119">
        <f t="shared" si="87"/>
        <v>22</v>
      </c>
      <c r="HF51" s="119">
        <f t="shared" si="88"/>
        <v>8</v>
      </c>
      <c r="HG51" s="119" t="str">
        <f t="shared" si="89"/>
        <v>F</v>
      </c>
      <c r="HH51" s="119" t="str">
        <f t="shared" si="90"/>
        <v>Fail</v>
      </c>
      <c r="HI51">
        <v>48</v>
      </c>
      <c r="HJ51" s="108" t="str">
        <f>Data!B49</f>
        <v>UMAR ZAINAB ZARMA</v>
      </c>
      <c r="HK51" s="144">
        <v>10</v>
      </c>
      <c r="HL51" s="145">
        <v>5</v>
      </c>
      <c r="HM51" s="145"/>
      <c r="HN51" s="145"/>
      <c r="HO51" s="136">
        <f t="shared" si="91"/>
        <v>15</v>
      </c>
      <c r="HP51" s="144"/>
      <c r="HQ51" s="136">
        <f t="shared" si="92"/>
        <v>15</v>
      </c>
      <c r="HR51" s="136">
        <f t="shared" si="93"/>
        <v>7</v>
      </c>
      <c r="HS51" s="136" t="str">
        <f t="shared" si="94"/>
        <v>F</v>
      </c>
      <c r="HT51" s="136" t="str">
        <f t="shared" si="95"/>
        <v>Fail</v>
      </c>
      <c r="HU51">
        <v>48</v>
      </c>
      <c r="HV51" s="108" t="str">
        <f>Data!B49</f>
        <v>UMAR ZAINAB ZARMA</v>
      </c>
      <c r="HW51" s="109"/>
      <c r="HX51" s="109"/>
      <c r="HY51" s="109"/>
      <c r="HZ51" s="109"/>
      <c r="IA51" s="117">
        <f t="shared" si="96"/>
        <v>0</v>
      </c>
      <c r="IB51" s="117"/>
      <c r="IC51" s="117">
        <f t="shared" si="97"/>
        <v>0</v>
      </c>
      <c r="ID51" s="117" t="str">
        <f t="shared" si="98"/>
        <v/>
      </c>
      <c r="IE51" s="117" t="str">
        <f t="shared" si="99"/>
        <v/>
      </c>
      <c r="IF51" s="117" t="str">
        <f t="shared" si="100"/>
        <v/>
      </c>
      <c r="IG51">
        <v>48</v>
      </c>
      <c r="IH51" s="108" t="str">
        <f>Data!B49</f>
        <v>UMAR ZAINAB ZARMA</v>
      </c>
      <c r="II51" s="109"/>
      <c r="IJ51" s="109"/>
      <c r="IK51" s="109"/>
      <c r="IL51" s="109"/>
      <c r="IM51" s="137">
        <f t="shared" si="101"/>
        <v>0</v>
      </c>
      <c r="IN51" s="137"/>
      <c r="IO51" s="137">
        <f t="shared" si="102"/>
        <v>0</v>
      </c>
      <c r="IP51" s="137" t="str">
        <f t="shared" si="103"/>
        <v/>
      </c>
      <c r="IQ51" s="137" t="str">
        <f t="shared" si="104"/>
        <v/>
      </c>
      <c r="IR51" s="137" t="str">
        <f t="shared" si="105"/>
        <v/>
      </c>
      <c r="IS51">
        <v>48</v>
      </c>
      <c r="IT51" s="108" t="str">
        <f t="shared" si="106"/>
        <v>UMAR ZAINAB ZARMA</v>
      </c>
      <c r="IU51" s="150"/>
      <c r="IV51" s="150"/>
      <c r="IW51" s="150"/>
      <c r="IX51" s="150"/>
      <c r="IY51" s="131">
        <f t="shared" si="129"/>
        <v>0</v>
      </c>
      <c r="IZ51" s="150"/>
      <c r="JA51" s="131">
        <f t="shared" si="108"/>
        <v>0</v>
      </c>
      <c r="JB51" s="131" t="str">
        <f t="shared" si="109"/>
        <v/>
      </c>
      <c r="JC51" s="131" t="str">
        <f t="shared" si="110"/>
        <v/>
      </c>
      <c r="JD51" s="131" t="str">
        <f t="shared" si="111"/>
        <v/>
      </c>
      <c r="JE51">
        <v>48</v>
      </c>
      <c r="JF51" s="108" t="str">
        <f t="shared" si="112"/>
        <v>UMAR ZAINAB ZARMA</v>
      </c>
      <c r="JG51" s="112"/>
      <c r="JH51" s="112"/>
      <c r="JI51" s="112"/>
      <c r="JJ51" s="112"/>
      <c r="JK51" s="113">
        <f t="shared" si="113"/>
        <v>0</v>
      </c>
      <c r="JL51" s="112"/>
      <c r="JM51" s="113">
        <f t="shared" si="114"/>
        <v>0</v>
      </c>
      <c r="JN51" s="113" t="str">
        <f t="shared" si="115"/>
        <v/>
      </c>
      <c r="JO51" s="113" t="str">
        <f t="shared" si="116"/>
        <v/>
      </c>
      <c r="JP51" s="113" t="str">
        <f t="shared" si="117"/>
        <v/>
      </c>
      <c r="JQ51">
        <v>48</v>
      </c>
      <c r="JR51" s="108" t="str">
        <f t="shared" si="118"/>
        <v>UMAR ZAINAB ZARMA</v>
      </c>
      <c r="JS51" s="140"/>
      <c r="JT51" s="140"/>
      <c r="JU51" s="140"/>
      <c r="JV51" s="140"/>
      <c r="JW51" s="111">
        <f t="shared" si="119"/>
        <v>0</v>
      </c>
      <c r="JX51" s="141"/>
      <c r="JY51" s="111">
        <f t="shared" si="0"/>
        <v>0</v>
      </c>
      <c r="JZ51" s="111" t="str">
        <f t="shared" si="120"/>
        <v/>
      </c>
      <c r="KA51" s="111" t="str">
        <f t="shared" si="121"/>
        <v/>
      </c>
      <c r="KB51" s="111" t="str">
        <f t="shared" si="122"/>
        <v/>
      </c>
      <c r="KD51" s="47"/>
      <c r="KE51" s="47"/>
      <c r="KF51" s="47"/>
      <c r="KG51" s="47"/>
      <c r="KH51" s="47"/>
      <c r="KI51" s="47"/>
      <c r="KJ51" s="47"/>
      <c r="KK51" s="47"/>
      <c r="KM51" s="47"/>
      <c r="KN51" s="47"/>
      <c r="KO51" s="47"/>
      <c r="KP51" s="47"/>
      <c r="KQ51" s="47"/>
      <c r="KR51" s="47"/>
      <c r="KS51" s="47"/>
      <c r="KT51" s="47"/>
      <c r="KU51" s="47"/>
      <c r="KV51" s="47"/>
    </row>
    <row r="52" spans="1:308">
      <c r="A52" s="211">
        <v>49</v>
      </c>
      <c r="B52" s="108" t="str">
        <f>Data!B50</f>
        <v>ZANNA ZARA MUSTAPHA</v>
      </c>
      <c r="C52" s="109">
        <v>9</v>
      </c>
      <c r="D52" s="109">
        <v>2</v>
      </c>
      <c r="E52" s="109">
        <v>1</v>
      </c>
      <c r="F52" s="109">
        <v>4</v>
      </c>
      <c r="G52" s="111">
        <f t="shared" si="130"/>
        <v>16</v>
      </c>
      <c r="H52" s="111">
        <v>25</v>
      </c>
      <c r="I52" s="111">
        <f t="shared" si="126"/>
        <v>41</v>
      </c>
      <c r="J52" s="110">
        <f t="shared" si="3"/>
        <v>19</v>
      </c>
      <c r="K52" s="110" t="str">
        <f t="shared" si="4"/>
        <v>E8</v>
      </c>
      <c r="L52" s="110" t="str">
        <f t="shared" si="5"/>
        <v>Pass</v>
      </c>
      <c r="M52" s="48">
        <v>49</v>
      </c>
      <c r="N52" s="108" t="str">
        <f>Data!B50</f>
        <v>ZANNA ZARA MUSTAPHA</v>
      </c>
      <c r="O52" s="111"/>
      <c r="P52" s="111"/>
      <c r="Q52" s="111"/>
      <c r="R52" s="111"/>
      <c r="S52" s="111">
        <f t="shared" si="6"/>
        <v>0</v>
      </c>
      <c r="T52" s="111"/>
      <c r="U52" s="111">
        <f t="shared" si="7"/>
        <v>0</v>
      </c>
      <c r="V52" s="111" t="str">
        <f t="shared" si="8"/>
        <v/>
      </c>
      <c r="W52" s="111" t="b">
        <f t="shared" ref="W52" si="132">IF(U52&gt;=75,"A1",IF(U52&gt;=70,"B2",IF(U52&gt;=65,"B3",IF(U52&gt;=60,"C4",IF(U52&gt;=55,"C5",IF(U52&gt;=50,"C6",IF(U52&gt;=45,"D7",IF(U52&gt;=40,"E8",IF(U52&gt;=6,"F",IF(I52&lt;5,""))))))))))</f>
        <v>0</v>
      </c>
      <c r="X52" s="111" t="str">
        <f t="shared" si="10"/>
        <v/>
      </c>
      <c r="Y52" s="42">
        <v>49</v>
      </c>
      <c r="Z52" s="108" t="str">
        <f>Data!B50</f>
        <v>ZANNA ZARA MUSTAPHA</v>
      </c>
      <c r="AA52" s="109">
        <v>9</v>
      </c>
      <c r="AB52" s="109">
        <v>2</v>
      </c>
      <c r="AC52" s="109">
        <v>1</v>
      </c>
      <c r="AD52" s="109">
        <v>4</v>
      </c>
      <c r="AE52" s="111">
        <f t="shared" si="131"/>
        <v>16</v>
      </c>
      <c r="AF52" s="112">
        <v>42</v>
      </c>
      <c r="AG52" s="113">
        <f t="shared" si="12"/>
        <v>58</v>
      </c>
      <c r="AH52" s="113">
        <f t="shared" si="13"/>
        <v>19</v>
      </c>
      <c r="AI52" s="113" t="str">
        <f t="shared" ref="AI52:AI57" si="133">IF(AG52&gt;=75,"A",IF(AG52&gt;=70,"B2",IF(AG52&gt;=50,"C",IF(AG52&gt;=45,"D",IF(AG52&gt;=40,"E",IF(AG52&gt;=6,"F",IF(AG52&lt;5,"")))))))</f>
        <v>C</v>
      </c>
      <c r="AJ52" s="113" t="str">
        <f t="shared" si="15"/>
        <v>Credit</v>
      </c>
      <c r="AK52" s="42">
        <v>49</v>
      </c>
      <c r="AL52" s="108" t="str">
        <f>Data!B50</f>
        <v>ZANNA ZARA MUSTAPHA</v>
      </c>
      <c r="AM52" s="115"/>
      <c r="AN52" s="115"/>
      <c r="AO52" s="115"/>
      <c r="AP52" s="115"/>
      <c r="AQ52" s="115">
        <f t="shared" si="16"/>
        <v>0</v>
      </c>
      <c r="AR52" s="115"/>
      <c r="AS52" s="115">
        <f t="shared" si="17"/>
        <v>0</v>
      </c>
      <c r="AT52" s="115" t="str">
        <f t="shared" si="18"/>
        <v/>
      </c>
      <c r="AU52" s="115" t="str">
        <f t="shared" ref="AU52:AU53" si="134">IF(AS52&gt;=75,"A",IF(AS52&gt;=70,"B2",IF(AS52&gt;=50,"C",IF(AS52&gt;=45,"D",IF(AS52&gt;=40,"E",IF(AS52&gt;=6,"F",IF(AS52&lt;5,"")))))))</f>
        <v/>
      </c>
      <c r="AV52" s="115" t="str">
        <f t="shared" si="20"/>
        <v/>
      </c>
      <c r="AW52" s="42">
        <v>49</v>
      </c>
      <c r="AX52" s="108" t="str">
        <f>Data!B50</f>
        <v>ZANNA ZARA MUSTAPHA</v>
      </c>
      <c r="AY52" s="117"/>
      <c r="AZ52" s="117"/>
      <c r="BA52" s="117"/>
      <c r="BB52" s="117"/>
      <c r="BC52" s="117">
        <f t="shared" si="21"/>
        <v>0</v>
      </c>
      <c r="BD52" s="117"/>
      <c r="BE52" s="117">
        <f t="shared" si="22"/>
        <v>0</v>
      </c>
      <c r="BF52" s="117" t="str">
        <f t="shared" si="23"/>
        <v/>
      </c>
      <c r="BG52" s="117" t="str">
        <f t="shared" si="24"/>
        <v/>
      </c>
      <c r="BH52" s="117" t="str">
        <f t="shared" si="25"/>
        <v/>
      </c>
      <c r="BI52" s="67">
        <v>49</v>
      </c>
      <c r="BJ52" s="108" t="str">
        <f>Data!B50</f>
        <v>ZANNA ZARA MUSTAPHA</v>
      </c>
      <c r="BK52" s="119"/>
      <c r="BL52" s="119"/>
      <c r="BM52" s="119"/>
      <c r="BN52" s="119"/>
      <c r="BO52" s="119">
        <f t="shared" si="128"/>
        <v>0</v>
      </c>
      <c r="BP52" s="119"/>
      <c r="BQ52" s="119">
        <f t="shared" si="27"/>
        <v>0</v>
      </c>
      <c r="BR52" s="119" t="str">
        <f t="shared" si="28"/>
        <v/>
      </c>
      <c r="BS52" s="119" t="str">
        <f t="shared" si="29"/>
        <v/>
      </c>
      <c r="BT52" s="119" t="str">
        <f t="shared" si="30"/>
        <v/>
      </c>
      <c r="BU52">
        <v>49</v>
      </c>
      <c r="BV52" s="108" t="str">
        <f>Data!B50</f>
        <v>ZANNA ZARA MUSTAPHA</v>
      </c>
      <c r="BW52" s="121">
        <v>8</v>
      </c>
      <c r="BX52" s="121">
        <v>7</v>
      </c>
      <c r="BY52" s="121">
        <v>9</v>
      </c>
      <c r="BZ52" s="121">
        <v>7</v>
      </c>
      <c r="CA52" s="121">
        <f t="shared" si="31"/>
        <v>31</v>
      </c>
      <c r="CB52" s="120">
        <v>20</v>
      </c>
      <c r="CC52" s="121">
        <f t="shared" si="32"/>
        <v>51</v>
      </c>
      <c r="CD52" s="121">
        <f t="shared" si="33"/>
        <v>19</v>
      </c>
      <c r="CE52" s="121" t="str">
        <f t="shared" si="34"/>
        <v>C6</v>
      </c>
      <c r="CF52" s="121" t="str">
        <f t="shared" si="35"/>
        <v>Credit</v>
      </c>
      <c r="CG52">
        <v>49</v>
      </c>
      <c r="CH52" s="108" t="str">
        <f>Data!B50</f>
        <v>ZANNA ZARA MUSTAPHA</v>
      </c>
      <c r="CI52" s="122"/>
      <c r="CJ52" s="122"/>
      <c r="CK52" s="122"/>
      <c r="CL52" s="122"/>
      <c r="CM52" s="122">
        <f t="shared" si="36"/>
        <v>0</v>
      </c>
      <c r="CN52" s="122"/>
      <c r="CO52" s="122">
        <f t="shared" si="37"/>
        <v>0</v>
      </c>
      <c r="CP52" s="122" t="str">
        <f t="shared" si="38"/>
        <v/>
      </c>
      <c r="CQ52" s="122" t="str">
        <f t="shared" si="39"/>
        <v/>
      </c>
      <c r="CR52" s="122" t="str">
        <f t="shared" si="40"/>
        <v/>
      </c>
      <c r="CS52">
        <v>49</v>
      </c>
      <c r="CT52" s="108" t="str">
        <f>Data!B50</f>
        <v>ZANNA ZARA MUSTAPHA</v>
      </c>
      <c r="CU52" s="123"/>
      <c r="CV52" s="123"/>
      <c r="CW52" s="123"/>
      <c r="CX52" s="123"/>
      <c r="CY52" s="123">
        <f t="shared" si="41"/>
        <v>0</v>
      </c>
      <c r="CZ52" s="123"/>
      <c r="DA52" s="123">
        <f t="shared" si="42"/>
        <v>0</v>
      </c>
      <c r="DB52" s="123" t="str">
        <f t="shared" si="43"/>
        <v/>
      </c>
      <c r="DC52" s="123" t="str">
        <f t="shared" si="44"/>
        <v/>
      </c>
      <c r="DD52" s="123" t="str">
        <f t="shared" si="45"/>
        <v/>
      </c>
      <c r="DE52">
        <v>49</v>
      </c>
      <c r="DF52" s="108" t="str">
        <f>Data!B50</f>
        <v>ZANNA ZARA MUSTAPHA</v>
      </c>
      <c r="DG52" s="117"/>
      <c r="DH52" s="117"/>
      <c r="DI52" s="117"/>
      <c r="DJ52" s="117"/>
      <c r="DK52" s="117">
        <f t="shared" si="46"/>
        <v>0</v>
      </c>
      <c r="DL52" s="117"/>
      <c r="DM52" s="117">
        <f t="shared" si="47"/>
        <v>0</v>
      </c>
      <c r="DN52" s="117" t="str">
        <f t="shared" si="48"/>
        <v/>
      </c>
      <c r="DO52" s="117" t="str">
        <f t="shared" si="49"/>
        <v/>
      </c>
      <c r="DP52" s="117" t="str">
        <f t="shared" si="50"/>
        <v/>
      </c>
      <c r="DQ52">
        <v>49</v>
      </c>
      <c r="DR52" s="108" t="str">
        <f>Data!B50</f>
        <v>ZANNA ZARA MUSTAPHA</v>
      </c>
      <c r="DS52" s="152"/>
      <c r="DT52" s="152"/>
      <c r="DU52" s="152"/>
      <c r="DV52" s="152"/>
      <c r="DW52" s="125">
        <f t="shared" si="51"/>
        <v>0</v>
      </c>
      <c r="DX52" s="153"/>
      <c r="DY52" s="125">
        <f t="shared" si="52"/>
        <v>0</v>
      </c>
      <c r="DZ52" s="125" t="str">
        <f t="shared" si="53"/>
        <v/>
      </c>
      <c r="EA52" s="125" t="str">
        <f t="shared" si="54"/>
        <v/>
      </c>
      <c r="EB52" s="125" t="str">
        <f t="shared" si="55"/>
        <v/>
      </c>
      <c r="EC52">
        <v>49</v>
      </c>
      <c r="ED52" s="108" t="str">
        <f>Data!B50</f>
        <v>ZANNA ZARA MUSTAPHA</v>
      </c>
      <c r="EE52" s="127"/>
      <c r="EF52" s="127"/>
      <c r="EG52" s="127"/>
      <c r="EH52" s="127"/>
      <c r="EI52" s="127">
        <f t="shared" si="56"/>
        <v>0</v>
      </c>
      <c r="EJ52" s="127"/>
      <c r="EK52" s="127">
        <f t="shared" si="57"/>
        <v>0</v>
      </c>
      <c r="EL52" s="127" t="str">
        <f t="shared" si="58"/>
        <v/>
      </c>
      <c r="EM52" s="127" t="str">
        <f t="shared" si="59"/>
        <v/>
      </c>
      <c r="EN52" s="127" t="str">
        <f t="shared" si="60"/>
        <v/>
      </c>
      <c r="EO52">
        <v>49</v>
      </c>
      <c r="EP52" s="128" t="str">
        <f>Data!B50</f>
        <v>ZANNA ZARA MUSTAPHA</v>
      </c>
      <c r="EQ52" s="123"/>
      <c r="ER52" s="123"/>
      <c r="ES52" s="123"/>
      <c r="ET52" s="123"/>
      <c r="EU52" s="123">
        <f t="shared" si="61"/>
        <v>0</v>
      </c>
      <c r="EV52" s="123"/>
      <c r="EW52" s="123">
        <f t="shared" si="62"/>
        <v>0</v>
      </c>
      <c r="EX52" s="123" t="str">
        <f t="shared" si="63"/>
        <v/>
      </c>
      <c r="EY52" s="123" t="str">
        <f t="shared" si="64"/>
        <v/>
      </c>
      <c r="EZ52" s="123" t="str">
        <f t="shared" si="65"/>
        <v/>
      </c>
      <c r="FA52">
        <v>49</v>
      </c>
      <c r="FB52" s="108" t="str">
        <f>Data!B50</f>
        <v>ZANNA ZARA MUSTAPHA</v>
      </c>
      <c r="FC52" s="129"/>
      <c r="FD52" s="129"/>
      <c r="FE52" s="129"/>
      <c r="FF52" s="129"/>
      <c r="FG52" s="129">
        <f t="shared" si="66"/>
        <v>0</v>
      </c>
      <c r="FH52" s="129"/>
      <c r="FI52" s="129">
        <f t="shared" si="67"/>
        <v>0</v>
      </c>
      <c r="FJ52" s="129" t="str">
        <f t="shared" si="68"/>
        <v/>
      </c>
      <c r="FK52" s="129" t="str">
        <f t="shared" si="69"/>
        <v/>
      </c>
      <c r="FL52" s="129" t="str">
        <f t="shared" si="70"/>
        <v/>
      </c>
      <c r="FM52">
        <v>49</v>
      </c>
      <c r="FN52" s="108" t="str">
        <f>Data!B50</f>
        <v>ZANNA ZARA MUSTAPHA</v>
      </c>
      <c r="FO52" s="130"/>
      <c r="FP52" s="130"/>
      <c r="FQ52" s="130"/>
      <c r="FR52" s="130"/>
      <c r="FS52" s="130">
        <f t="shared" si="71"/>
        <v>0</v>
      </c>
      <c r="FT52" s="130"/>
      <c r="FU52" s="130">
        <f t="shared" si="72"/>
        <v>0</v>
      </c>
      <c r="FV52" s="130" t="str">
        <f t="shared" si="73"/>
        <v/>
      </c>
      <c r="FW52" s="130" t="str">
        <f t="shared" si="74"/>
        <v/>
      </c>
      <c r="FX52" s="130" t="str">
        <f t="shared" si="75"/>
        <v/>
      </c>
      <c r="FY52">
        <v>49</v>
      </c>
      <c r="FZ52" s="108" t="str">
        <f>Data!B50</f>
        <v>ZANNA ZARA MUSTAPHA</v>
      </c>
      <c r="GA52" s="131">
        <v>7</v>
      </c>
      <c r="GB52" s="131">
        <v>9</v>
      </c>
      <c r="GC52" s="131">
        <v>8</v>
      </c>
      <c r="GD52" s="131">
        <v>6</v>
      </c>
      <c r="GE52" s="131">
        <f t="shared" si="76"/>
        <v>30</v>
      </c>
      <c r="GF52" s="131">
        <v>27</v>
      </c>
      <c r="GG52" s="131">
        <f t="shared" si="77"/>
        <v>57</v>
      </c>
      <c r="GH52" s="131">
        <f t="shared" si="78"/>
        <v>17</v>
      </c>
      <c r="GI52" s="131" t="str">
        <f t="shared" si="79"/>
        <v>C</v>
      </c>
      <c r="GJ52" s="131" t="str">
        <f t="shared" si="80"/>
        <v>Credit</v>
      </c>
      <c r="GK52">
        <v>49</v>
      </c>
      <c r="GL52" s="108" t="str">
        <f>Data!B50</f>
        <v>ZANNA ZARA MUSTAPHA</v>
      </c>
      <c r="GM52" s="133"/>
      <c r="GN52" s="133"/>
      <c r="GO52" s="133"/>
      <c r="GP52" s="133"/>
      <c r="GQ52" s="133">
        <f t="shared" si="81"/>
        <v>0</v>
      </c>
      <c r="GR52" s="133"/>
      <c r="GS52" s="133">
        <f t="shared" si="82"/>
        <v>0</v>
      </c>
      <c r="GT52" s="133" t="str">
        <f t="shared" si="83"/>
        <v/>
      </c>
      <c r="GU52" s="133" t="str">
        <f t="shared" si="84"/>
        <v/>
      </c>
      <c r="GV52" s="133" t="str">
        <f t="shared" si="85"/>
        <v/>
      </c>
      <c r="GW52">
        <v>49</v>
      </c>
      <c r="GX52" s="108" t="str">
        <f>Data!B50</f>
        <v>ZANNA ZARA MUSTAPHA</v>
      </c>
      <c r="GY52" s="119"/>
      <c r="GZ52" s="119">
        <v>10</v>
      </c>
      <c r="HA52" s="119">
        <v>9</v>
      </c>
      <c r="HB52" s="119">
        <v>9</v>
      </c>
      <c r="HC52" s="119">
        <f t="shared" si="86"/>
        <v>28</v>
      </c>
      <c r="HD52" s="119"/>
      <c r="HE52" s="119">
        <f t="shared" si="87"/>
        <v>28</v>
      </c>
      <c r="HF52" s="119">
        <f t="shared" si="88"/>
        <v>7</v>
      </c>
      <c r="HG52" s="119" t="str">
        <f t="shared" si="89"/>
        <v>F</v>
      </c>
      <c r="HH52" s="119" t="str">
        <f t="shared" si="90"/>
        <v>Fail</v>
      </c>
      <c r="HI52">
        <v>49</v>
      </c>
      <c r="HJ52" s="108" t="str">
        <f>Data!B50</f>
        <v>ZANNA ZARA MUSTAPHA</v>
      </c>
      <c r="HK52" s="144"/>
      <c r="HL52" s="145"/>
      <c r="HM52" s="145"/>
      <c r="HN52" s="145"/>
      <c r="HO52" s="136">
        <f t="shared" si="91"/>
        <v>0</v>
      </c>
      <c r="HP52" s="144"/>
      <c r="HQ52" s="136">
        <f t="shared" si="92"/>
        <v>0</v>
      </c>
      <c r="HR52" s="136" t="str">
        <f t="shared" si="93"/>
        <v/>
      </c>
      <c r="HS52" s="136" t="str">
        <f t="shared" si="94"/>
        <v/>
      </c>
      <c r="HT52" s="136" t="str">
        <f t="shared" si="95"/>
        <v/>
      </c>
      <c r="HU52">
        <v>49</v>
      </c>
      <c r="HV52" s="108" t="str">
        <f>Data!B50</f>
        <v>ZANNA ZARA MUSTAPHA</v>
      </c>
      <c r="HW52" s="117"/>
      <c r="HX52" s="117"/>
      <c r="HY52" s="117"/>
      <c r="HZ52" s="117"/>
      <c r="IA52" s="117">
        <f t="shared" si="96"/>
        <v>0</v>
      </c>
      <c r="IB52" s="117"/>
      <c r="IC52" s="117">
        <f t="shared" si="97"/>
        <v>0</v>
      </c>
      <c r="ID52" s="117" t="str">
        <f t="shared" si="98"/>
        <v/>
      </c>
      <c r="IE52" s="117" t="str">
        <f t="shared" si="99"/>
        <v/>
      </c>
      <c r="IF52" s="117" t="str">
        <f t="shared" si="100"/>
        <v/>
      </c>
      <c r="IG52">
        <v>49</v>
      </c>
      <c r="IH52" s="108" t="str">
        <f>Data!B50</f>
        <v>ZANNA ZARA MUSTAPHA</v>
      </c>
      <c r="II52" s="137"/>
      <c r="IJ52" s="137"/>
      <c r="IK52" s="137"/>
      <c r="IL52" s="137"/>
      <c r="IM52" s="137">
        <f t="shared" si="101"/>
        <v>0</v>
      </c>
      <c r="IN52" s="137"/>
      <c r="IO52" s="137">
        <f t="shared" si="102"/>
        <v>0</v>
      </c>
      <c r="IP52" s="137" t="str">
        <f t="shared" si="103"/>
        <v/>
      </c>
      <c r="IQ52" s="137" t="str">
        <f t="shared" si="104"/>
        <v/>
      </c>
      <c r="IR52" s="137" t="str">
        <f t="shared" si="105"/>
        <v/>
      </c>
      <c r="IS52">
        <v>49</v>
      </c>
      <c r="IT52" s="108" t="str">
        <f t="shared" si="106"/>
        <v>ZANNA ZARA MUSTAPHA</v>
      </c>
      <c r="IU52" s="131"/>
      <c r="IV52" s="131"/>
      <c r="IW52" s="131"/>
      <c r="IX52" s="131"/>
      <c r="IY52" s="131">
        <f t="shared" si="129"/>
        <v>0</v>
      </c>
      <c r="IZ52" s="150"/>
      <c r="JA52" s="131">
        <f t="shared" si="108"/>
        <v>0</v>
      </c>
      <c r="JB52" s="131" t="str">
        <f t="shared" si="109"/>
        <v/>
      </c>
      <c r="JC52" s="131" t="str">
        <f t="shared" si="110"/>
        <v/>
      </c>
      <c r="JD52" s="131" t="str">
        <f t="shared" si="111"/>
        <v/>
      </c>
      <c r="JE52">
        <v>49</v>
      </c>
      <c r="JF52" s="108" t="str">
        <f t="shared" si="112"/>
        <v>ZANNA ZARA MUSTAPHA</v>
      </c>
      <c r="JG52" s="113"/>
      <c r="JH52" s="113"/>
      <c r="JI52" s="113"/>
      <c r="JJ52" s="113"/>
      <c r="JK52" s="113">
        <f t="shared" si="113"/>
        <v>0</v>
      </c>
      <c r="JL52" s="113"/>
      <c r="JM52" s="113">
        <f t="shared" si="114"/>
        <v>0</v>
      </c>
      <c r="JN52" s="113" t="str">
        <f t="shared" si="115"/>
        <v/>
      </c>
      <c r="JO52" s="113" t="str">
        <f t="shared" si="116"/>
        <v/>
      </c>
      <c r="JP52" s="113" t="str">
        <f t="shared" si="117"/>
        <v/>
      </c>
      <c r="JQ52">
        <v>49</v>
      </c>
      <c r="JR52" s="108" t="str">
        <f t="shared" si="118"/>
        <v>ZANNA ZARA MUSTAPHA</v>
      </c>
      <c r="JS52" s="140"/>
      <c r="JT52" s="140"/>
      <c r="JU52" s="140"/>
      <c r="JV52" s="140"/>
      <c r="JW52" s="111">
        <f t="shared" si="119"/>
        <v>0</v>
      </c>
      <c r="JX52" s="141"/>
      <c r="JY52" s="111">
        <f t="shared" si="0"/>
        <v>0</v>
      </c>
      <c r="JZ52" s="111" t="str">
        <f t="shared" si="120"/>
        <v/>
      </c>
      <c r="KA52" s="111" t="str">
        <f t="shared" si="121"/>
        <v/>
      </c>
      <c r="KB52" s="111" t="str">
        <f t="shared" si="122"/>
        <v/>
      </c>
      <c r="KD52" s="47"/>
      <c r="KE52" s="47"/>
      <c r="KF52" s="47"/>
      <c r="KG52" s="47"/>
      <c r="KH52" s="47"/>
      <c r="KI52" s="47"/>
      <c r="KJ52" s="47"/>
      <c r="KK52" s="47"/>
      <c r="KM52" s="47"/>
      <c r="KN52" s="47"/>
      <c r="KO52" s="47"/>
      <c r="KP52" s="47"/>
      <c r="KQ52" s="47"/>
      <c r="KR52" s="47"/>
      <c r="KS52" s="47"/>
      <c r="KT52" s="47"/>
      <c r="KU52" s="47"/>
      <c r="KV52" s="47"/>
    </row>
    <row r="53" spans="1:308">
      <c r="A53" s="211">
        <v>50</v>
      </c>
      <c r="B53" s="108" t="str">
        <f>Data!B51</f>
        <v>ZUBAIRU KHADIJA H ALIN</v>
      </c>
      <c r="C53" s="109">
        <v>7.7197620489153396</v>
      </c>
      <c r="D53" s="109">
        <v>2.3312873569380002</v>
      </c>
      <c r="E53" s="109">
        <v>5.14389230006483</v>
      </c>
      <c r="F53" s="109">
        <v>5.1494046169687797</v>
      </c>
      <c r="G53" s="111">
        <f>SUM(C53:F53)</f>
        <v>20.344346322886949</v>
      </c>
      <c r="H53" s="111"/>
      <c r="I53" s="111"/>
      <c r="J53" s="110" t="str">
        <f t="shared" si="3"/>
        <v/>
      </c>
      <c r="K53" s="110" t="str">
        <f t="shared" si="4"/>
        <v/>
      </c>
      <c r="L53" s="110" t="str">
        <f t="shared" si="5"/>
        <v/>
      </c>
      <c r="M53" s="48">
        <v>50</v>
      </c>
      <c r="N53" s="108" t="str">
        <f>Data!B51</f>
        <v>ZUBAIRU KHADIJA H ALIN</v>
      </c>
      <c r="O53" s="111"/>
      <c r="P53" s="111"/>
      <c r="Q53" s="111"/>
      <c r="R53" s="111"/>
      <c r="S53" s="111">
        <f t="shared" si="6"/>
        <v>0</v>
      </c>
      <c r="T53" s="111"/>
      <c r="U53" s="111">
        <f t="shared" si="7"/>
        <v>0</v>
      </c>
      <c r="V53" s="111" t="str">
        <f t="shared" si="8"/>
        <v/>
      </c>
      <c r="W53" s="111" t="str">
        <f t="shared" ref="W53:W57" si="135">IF(U53&gt;=75,"A",IF(U53&gt;=70,"B2",IF(U53&gt;=50,"C",IF(U53&gt;=45,"D",IF(U53&gt;=40,"E",IF(U53&gt;=6,"F",IF(U53&lt;5,"")))))))</f>
        <v/>
      </c>
      <c r="X53" s="111" t="str">
        <f t="shared" si="10"/>
        <v/>
      </c>
      <c r="Y53" s="42">
        <v>50</v>
      </c>
      <c r="Z53" s="108" t="str">
        <f>Data!B51</f>
        <v>ZUBAIRU KHADIJA H ALIN</v>
      </c>
      <c r="AA53" s="109">
        <v>7.7197620489153396</v>
      </c>
      <c r="AB53" s="109">
        <v>2.3312873569380002</v>
      </c>
      <c r="AC53" s="109">
        <v>5.14389230006483</v>
      </c>
      <c r="AD53" s="109">
        <v>5.1494046169687797</v>
      </c>
      <c r="AE53" s="111">
        <f>SUM(AA53:AD53)</f>
        <v>20.344346322886949</v>
      </c>
      <c r="AF53" s="112">
        <v>42</v>
      </c>
      <c r="AG53" s="113">
        <f t="shared" si="12"/>
        <v>62.344346322886949</v>
      </c>
      <c r="AH53" s="113">
        <f t="shared" si="13"/>
        <v>14</v>
      </c>
      <c r="AI53" s="113" t="str">
        <f t="shared" si="133"/>
        <v>C</v>
      </c>
      <c r="AJ53" s="113" t="str">
        <f t="shared" si="15"/>
        <v>Credit</v>
      </c>
      <c r="AK53" s="42">
        <v>50</v>
      </c>
      <c r="AL53" s="108" t="str">
        <f>Data!B51</f>
        <v>ZUBAIRU KHADIJA H ALIN</v>
      </c>
      <c r="AM53" s="115"/>
      <c r="AN53" s="115"/>
      <c r="AO53" s="115"/>
      <c r="AP53" s="115"/>
      <c r="AQ53" s="115">
        <f t="shared" si="16"/>
        <v>0</v>
      </c>
      <c r="AR53" s="115"/>
      <c r="AS53" s="115">
        <f t="shared" si="17"/>
        <v>0</v>
      </c>
      <c r="AT53" s="115" t="str">
        <f t="shared" si="18"/>
        <v/>
      </c>
      <c r="AU53" s="115" t="str">
        <f t="shared" si="134"/>
        <v/>
      </c>
      <c r="AV53" s="115" t="str">
        <f t="shared" si="20"/>
        <v/>
      </c>
      <c r="AW53" s="42">
        <v>50</v>
      </c>
      <c r="AX53" s="108" t="str">
        <f>Data!B51</f>
        <v>ZUBAIRU KHADIJA H ALIN</v>
      </c>
      <c r="AY53" s="117"/>
      <c r="AZ53" s="117"/>
      <c r="BA53" s="117"/>
      <c r="BB53" s="117"/>
      <c r="BC53" s="117">
        <f t="shared" si="21"/>
        <v>0</v>
      </c>
      <c r="BD53" s="117"/>
      <c r="BE53" s="117">
        <f t="shared" si="22"/>
        <v>0</v>
      </c>
      <c r="BF53" s="117" t="str">
        <f t="shared" si="23"/>
        <v/>
      </c>
      <c r="BG53" s="117" t="str">
        <f t="shared" si="24"/>
        <v/>
      </c>
      <c r="BH53" s="117" t="str">
        <f t="shared" si="25"/>
        <v/>
      </c>
      <c r="BI53" s="67">
        <v>50</v>
      </c>
      <c r="BJ53" s="108" t="str">
        <f>Data!B51</f>
        <v>ZUBAIRU KHADIJA H ALIN</v>
      </c>
      <c r="BK53" s="119"/>
      <c r="BL53" s="119"/>
      <c r="BM53" s="119"/>
      <c r="BN53" s="119"/>
      <c r="BO53" s="119">
        <f t="shared" si="128"/>
        <v>0</v>
      </c>
      <c r="BP53" s="119"/>
      <c r="BQ53" s="119">
        <f t="shared" si="27"/>
        <v>0</v>
      </c>
      <c r="BR53" s="119" t="str">
        <f t="shared" si="28"/>
        <v/>
      </c>
      <c r="BS53" s="119" t="str">
        <f t="shared" ref="BS53" si="136">IF(BQ53&gt;=75,"A1",IF(BQ53&gt;=70,"B2",IF(BQ53&gt;=65,"B3",IF(BQ53&gt;=60,"C4",IF(BQ53&gt;=55,"C5",IF(BQ53&gt;=50,"C6",IF(BQ53&gt;=45,"D7",IF(BQ53&gt;=40,"E8",IF(BQ53&gt;=6,"F",IF(BQ53&lt;5,""))))))))))</f>
        <v/>
      </c>
      <c r="BT53" s="119" t="str">
        <f t="shared" si="30"/>
        <v/>
      </c>
      <c r="BU53">
        <v>50</v>
      </c>
      <c r="BV53" s="108" t="str">
        <f>Data!B51</f>
        <v>ZUBAIRU KHADIJA H ALIN</v>
      </c>
      <c r="BW53" s="121">
        <v>8</v>
      </c>
      <c r="BX53" s="121">
        <v>8</v>
      </c>
      <c r="BY53" s="121">
        <v>9</v>
      </c>
      <c r="BZ53" s="121">
        <v>9</v>
      </c>
      <c r="CA53" s="121">
        <f t="shared" si="31"/>
        <v>34</v>
      </c>
      <c r="CB53" s="121">
        <v>30</v>
      </c>
      <c r="CC53" s="121">
        <f t="shared" si="32"/>
        <v>64</v>
      </c>
      <c r="CD53" s="121">
        <f t="shared" si="33"/>
        <v>11</v>
      </c>
      <c r="CE53" s="121" t="str">
        <f t="shared" si="34"/>
        <v>C4</v>
      </c>
      <c r="CF53" s="121" t="str">
        <f t="shared" si="35"/>
        <v>Credit</v>
      </c>
      <c r="CG53">
        <v>50</v>
      </c>
      <c r="CH53" s="108" t="str">
        <f>Data!B51</f>
        <v>ZUBAIRU KHADIJA H ALIN</v>
      </c>
      <c r="CI53" s="122"/>
      <c r="CJ53" s="122"/>
      <c r="CK53" s="122"/>
      <c r="CL53" s="122"/>
      <c r="CM53" s="122">
        <f t="shared" si="36"/>
        <v>0</v>
      </c>
      <c r="CN53" s="122"/>
      <c r="CO53" s="122">
        <f t="shared" si="37"/>
        <v>0</v>
      </c>
      <c r="CP53" s="122" t="str">
        <f t="shared" si="38"/>
        <v/>
      </c>
      <c r="CQ53" s="122" t="str">
        <f t="shared" si="39"/>
        <v/>
      </c>
      <c r="CR53" s="122" t="str">
        <f t="shared" si="40"/>
        <v/>
      </c>
      <c r="CS53">
        <v>50</v>
      </c>
      <c r="CT53" s="108" t="str">
        <f>Data!B51</f>
        <v>ZUBAIRU KHADIJA H ALIN</v>
      </c>
      <c r="CU53" s="123"/>
      <c r="CV53" s="123"/>
      <c r="CW53" s="123"/>
      <c r="CX53" s="123"/>
      <c r="CY53" s="123">
        <f t="shared" si="41"/>
        <v>0</v>
      </c>
      <c r="CZ53" s="123"/>
      <c r="DA53" s="123">
        <f t="shared" si="42"/>
        <v>0</v>
      </c>
      <c r="DB53" s="123" t="str">
        <f t="shared" si="43"/>
        <v/>
      </c>
      <c r="DC53" s="123" t="str">
        <f t="shared" si="44"/>
        <v/>
      </c>
      <c r="DD53" s="123" t="str">
        <f t="shared" si="45"/>
        <v/>
      </c>
      <c r="DE53">
        <v>50</v>
      </c>
      <c r="DF53" s="108" t="str">
        <f>Data!B51</f>
        <v>ZUBAIRU KHADIJA H ALIN</v>
      </c>
      <c r="DG53" s="117">
        <v>8</v>
      </c>
      <c r="DH53" s="117">
        <v>2</v>
      </c>
      <c r="DI53" s="117">
        <v>2</v>
      </c>
      <c r="DJ53" s="117">
        <v>5</v>
      </c>
      <c r="DK53" s="117">
        <f t="shared" si="46"/>
        <v>17</v>
      </c>
      <c r="DL53" s="117">
        <v>24</v>
      </c>
      <c r="DM53" s="117">
        <f t="shared" si="47"/>
        <v>41</v>
      </c>
      <c r="DN53" s="117">
        <f t="shared" si="48"/>
        <v>4</v>
      </c>
      <c r="DO53" s="117" t="str">
        <f t="shared" si="49"/>
        <v>E8</v>
      </c>
      <c r="DP53" s="117" t="str">
        <f t="shared" si="50"/>
        <v>Pass</v>
      </c>
      <c r="DQ53">
        <v>50</v>
      </c>
      <c r="DR53" s="108" t="str">
        <f>Data!B51</f>
        <v>ZUBAIRU KHADIJA H ALIN</v>
      </c>
      <c r="DS53" s="152"/>
      <c r="DT53" s="152"/>
      <c r="DU53" s="152"/>
      <c r="DV53" s="152"/>
      <c r="DW53" s="125">
        <f t="shared" si="51"/>
        <v>0</v>
      </c>
      <c r="DX53" s="154"/>
      <c r="DY53" s="125">
        <f t="shared" si="52"/>
        <v>0</v>
      </c>
      <c r="DZ53" s="125" t="str">
        <f t="shared" si="53"/>
        <v/>
      </c>
      <c r="EA53" s="125" t="str">
        <f t="shared" si="54"/>
        <v/>
      </c>
      <c r="EB53" s="125" t="str">
        <f t="shared" si="55"/>
        <v/>
      </c>
      <c r="EC53">
        <v>50</v>
      </c>
      <c r="ED53" s="108" t="str">
        <f>Data!B51</f>
        <v>ZUBAIRU KHADIJA H ALIN</v>
      </c>
      <c r="EE53" s="127"/>
      <c r="EF53" s="127"/>
      <c r="EG53" s="127"/>
      <c r="EH53" s="127"/>
      <c r="EI53" s="127">
        <f t="shared" si="56"/>
        <v>0</v>
      </c>
      <c r="EJ53" s="127"/>
      <c r="EK53" s="127">
        <f t="shared" si="57"/>
        <v>0</v>
      </c>
      <c r="EL53" s="127" t="str">
        <f t="shared" si="58"/>
        <v/>
      </c>
      <c r="EM53" s="127" t="str">
        <f t="shared" si="59"/>
        <v/>
      </c>
      <c r="EN53" s="127" t="str">
        <f t="shared" si="60"/>
        <v/>
      </c>
      <c r="EO53">
        <v>50</v>
      </c>
      <c r="EP53" s="128" t="str">
        <f>Data!B51</f>
        <v>ZUBAIRU KHADIJA H ALIN</v>
      </c>
      <c r="EQ53" s="123"/>
      <c r="ER53" s="123"/>
      <c r="ES53" s="123"/>
      <c r="ET53" s="123"/>
      <c r="EU53" s="123">
        <f t="shared" si="61"/>
        <v>0</v>
      </c>
      <c r="EV53" s="123"/>
      <c r="EW53" s="123">
        <f t="shared" si="62"/>
        <v>0</v>
      </c>
      <c r="EX53" s="123" t="str">
        <f t="shared" si="63"/>
        <v/>
      </c>
      <c r="EY53" s="123" t="str">
        <f t="shared" si="64"/>
        <v/>
      </c>
      <c r="EZ53" s="123" t="str">
        <f t="shared" si="65"/>
        <v/>
      </c>
      <c r="FA53">
        <v>50</v>
      </c>
      <c r="FB53" s="108" t="str">
        <f>Data!B51</f>
        <v>ZUBAIRU KHADIJA H ALIN</v>
      </c>
      <c r="FC53" s="129"/>
      <c r="FD53" s="129"/>
      <c r="FE53" s="129"/>
      <c r="FF53" s="129"/>
      <c r="FG53" s="129">
        <f t="shared" si="66"/>
        <v>0</v>
      </c>
      <c r="FH53" s="129"/>
      <c r="FI53" s="129">
        <f t="shared" si="67"/>
        <v>0</v>
      </c>
      <c r="FJ53" s="129" t="str">
        <f t="shared" si="68"/>
        <v/>
      </c>
      <c r="FK53" s="129" t="str">
        <f t="shared" si="69"/>
        <v/>
      </c>
      <c r="FL53" s="129" t="str">
        <f t="shared" si="70"/>
        <v/>
      </c>
      <c r="FM53">
        <v>50</v>
      </c>
      <c r="FN53" s="108" t="str">
        <f>Data!B51</f>
        <v>ZUBAIRU KHADIJA H ALIN</v>
      </c>
      <c r="FO53" s="130"/>
      <c r="FP53" s="130"/>
      <c r="FQ53" s="130"/>
      <c r="FR53" s="130"/>
      <c r="FS53" s="130">
        <f t="shared" si="71"/>
        <v>0</v>
      </c>
      <c r="FT53" s="130"/>
      <c r="FU53" s="130">
        <f t="shared" si="72"/>
        <v>0</v>
      </c>
      <c r="FV53" s="130" t="str">
        <f t="shared" si="73"/>
        <v/>
      </c>
      <c r="FW53" s="130" t="str">
        <f t="shared" si="74"/>
        <v/>
      </c>
      <c r="FX53" s="130" t="str">
        <f t="shared" si="75"/>
        <v/>
      </c>
      <c r="FY53">
        <v>50</v>
      </c>
      <c r="FZ53" s="108" t="str">
        <f>Data!B51</f>
        <v>ZUBAIRU KHADIJA H ALIN</v>
      </c>
      <c r="GA53" s="131">
        <v>10</v>
      </c>
      <c r="GB53" s="131">
        <v>9</v>
      </c>
      <c r="GC53" s="131">
        <v>9</v>
      </c>
      <c r="GD53" s="131">
        <v>8</v>
      </c>
      <c r="GE53" s="131">
        <f t="shared" si="76"/>
        <v>36</v>
      </c>
      <c r="GF53" s="131">
        <v>28</v>
      </c>
      <c r="GG53" s="131">
        <f t="shared" si="77"/>
        <v>64</v>
      </c>
      <c r="GH53" s="131">
        <f t="shared" si="78"/>
        <v>9</v>
      </c>
      <c r="GI53" s="131" t="str">
        <f t="shared" si="79"/>
        <v>C</v>
      </c>
      <c r="GJ53" s="131" t="str">
        <f t="shared" si="80"/>
        <v>Credit</v>
      </c>
      <c r="GK53">
        <v>50</v>
      </c>
      <c r="GL53" s="108" t="str">
        <f>Data!B51</f>
        <v>ZUBAIRU KHADIJA H ALIN</v>
      </c>
      <c r="GM53" s="133"/>
      <c r="GN53" s="133"/>
      <c r="GO53" s="133"/>
      <c r="GP53" s="133"/>
      <c r="GQ53" s="133">
        <f t="shared" si="81"/>
        <v>0</v>
      </c>
      <c r="GR53" s="133"/>
      <c r="GS53" s="133">
        <f t="shared" si="82"/>
        <v>0</v>
      </c>
      <c r="GT53" s="133" t="str">
        <f t="shared" si="83"/>
        <v/>
      </c>
      <c r="GU53" s="133" t="str">
        <f t="shared" si="84"/>
        <v/>
      </c>
      <c r="GV53" s="133" t="str">
        <f t="shared" si="85"/>
        <v/>
      </c>
      <c r="GW53">
        <v>50</v>
      </c>
      <c r="GX53" s="108" t="str">
        <f>Data!B51</f>
        <v>ZUBAIRU KHADIJA H ALIN</v>
      </c>
      <c r="GY53" s="119"/>
      <c r="GZ53" s="119"/>
      <c r="HA53" s="119"/>
      <c r="HB53" s="119"/>
      <c r="HC53" s="119">
        <f t="shared" si="86"/>
        <v>0</v>
      </c>
      <c r="HD53" s="119"/>
      <c r="HE53" s="119">
        <f t="shared" si="87"/>
        <v>0</v>
      </c>
      <c r="HF53" s="119" t="str">
        <f t="shared" si="88"/>
        <v/>
      </c>
      <c r="HG53" s="119" t="str">
        <f t="shared" si="89"/>
        <v/>
      </c>
      <c r="HH53" s="119" t="str">
        <f t="shared" si="90"/>
        <v/>
      </c>
      <c r="HI53">
        <v>50</v>
      </c>
      <c r="HJ53" s="108" t="str">
        <f>Data!B51</f>
        <v>ZUBAIRU KHADIJA H ALIN</v>
      </c>
      <c r="HK53" s="144"/>
      <c r="HL53" s="145"/>
      <c r="HM53" s="145"/>
      <c r="HN53" s="145"/>
      <c r="HO53" s="136">
        <f t="shared" si="91"/>
        <v>0</v>
      </c>
      <c r="HP53" s="144"/>
      <c r="HQ53" s="136">
        <f t="shared" si="92"/>
        <v>0</v>
      </c>
      <c r="HR53" s="136" t="str">
        <f t="shared" si="93"/>
        <v/>
      </c>
      <c r="HS53" s="136" t="str">
        <f t="shared" si="94"/>
        <v/>
      </c>
      <c r="HT53" s="136" t="str">
        <f t="shared" si="95"/>
        <v/>
      </c>
      <c r="HU53">
        <v>50</v>
      </c>
      <c r="HV53" s="108" t="str">
        <f>Data!B51</f>
        <v>ZUBAIRU KHADIJA H ALIN</v>
      </c>
      <c r="HW53" s="117"/>
      <c r="HX53" s="117"/>
      <c r="HY53" s="117"/>
      <c r="HZ53" s="117"/>
      <c r="IA53" s="117">
        <f t="shared" si="96"/>
        <v>0</v>
      </c>
      <c r="IB53" s="117"/>
      <c r="IC53" s="117">
        <f t="shared" si="97"/>
        <v>0</v>
      </c>
      <c r="ID53" s="117" t="str">
        <f t="shared" si="98"/>
        <v/>
      </c>
      <c r="IE53" s="117" t="str">
        <f t="shared" si="99"/>
        <v/>
      </c>
      <c r="IF53" s="117" t="str">
        <f t="shared" si="100"/>
        <v/>
      </c>
      <c r="IG53">
        <v>50</v>
      </c>
      <c r="IH53" s="108" t="str">
        <f>Data!B51</f>
        <v>ZUBAIRU KHADIJA H ALIN</v>
      </c>
      <c r="II53" s="137"/>
      <c r="IJ53" s="137"/>
      <c r="IK53" s="137"/>
      <c r="IL53" s="137"/>
      <c r="IM53" s="137">
        <f t="shared" si="101"/>
        <v>0</v>
      </c>
      <c r="IN53" s="137"/>
      <c r="IO53" s="137">
        <f t="shared" si="102"/>
        <v>0</v>
      </c>
      <c r="IP53" s="137" t="str">
        <f t="shared" si="103"/>
        <v/>
      </c>
      <c r="IQ53" s="137" t="str">
        <f t="shared" si="104"/>
        <v/>
      </c>
      <c r="IR53" s="137" t="str">
        <f t="shared" si="105"/>
        <v/>
      </c>
      <c r="IS53">
        <v>50</v>
      </c>
      <c r="IT53" s="108" t="str">
        <f t="shared" si="106"/>
        <v>ZUBAIRU KHADIJA H ALIN</v>
      </c>
      <c r="IU53" s="131"/>
      <c r="IV53" s="131"/>
      <c r="IW53" s="131"/>
      <c r="IX53" s="131"/>
      <c r="IY53" s="131">
        <f t="shared" si="129"/>
        <v>0</v>
      </c>
      <c r="IZ53" s="131"/>
      <c r="JA53" s="131">
        <f t="shared" si="108"/>
        <v>0</v>
      </c>
      <c r="JB53" s="131" t="str">
        <f t="shared" si="109"/>
        <v/>
      </c>
      <c r="JC53" s="131" t="str">
        <f t="shared" si="110"/>
        <v/>
      </c>
      <c r="JD53" s="131" t="str">
        <f t="shared" si="111"/>
        <v/>
      </c>
      <c r="JE53">
        <v>50</v>
      </c>
      <c r="JF53" s="108" t="str">
        <f t="shared" si="112"/>
        <v>ZUBAIRU KHADIJA H ALIN</v>
      </c>
      <c r="JG53" s="113"/>
      <c r="JH53" s="113"/>
      <c r="JI53" s="113"/>
      <c r="JJ53" s="113"/>
      <c r="JK53" s="113">
        <f t="shared" si="113"/>
        <v>0</v>
      </c>
      <c r="JL53" s="113"/>
      <c r="JM53" s="113">
        <f t="shared" si="114"/>
        <v>0</v>
      </c>
      <c r="JN53" s="113" t="str">
        <f t="shared" si="115"/>
        <v/>
      </c>
      <c r="JO53" s="113" t="str">
        <f t="shared" si="116"/>
        <v/>
      </c>
      <c r="JP53" s="113" t="str">
        <f t="shared" si="117"/>
        <v/>
      </c>
      <c r="JQ53">
        <v>50</v>
      </c>
      <c r="JR53" s="108" t="str">
        <f t="shared" si="118"/>
        <v>ZUBAIRU KHADIJA H ALIN</v>
      </c>
      <c r="JS53" s="140"/>
      <c r="JT53" s="140"/>
      <c r="JU53" s="140"/>
      <c r="JV53" s="140"/>
      <c r="JW53" s="111">
        <f t="shared" si="119"/>
        <v>0</v>
      </c>
      <c r="JX53" s="141"/>
      <c r="JY53" s="111">
        <f t="shared" si="0"/>
        <v>0</v>
      </c>
      <c r="JZ53" s="111" t="str">
        <f t="shared" si="120"/>
        <v/>
      </c>
      <c r="KA53" s="111" t="str">
        <f t="shared" si="121"/>
        <v/>
      </c>
      <c r="KB53" s="111" t="str">
        <f t="shared" si="122"/>
        <v/>
      </c>
      <c r="KD53" s="47"/>
      <c r="KE53" s="47"/>
      <c r="KF53" s="47"/>
      <c r="KG53" s="47"/>
      <c r="KH53" s="47"/>
      <c r="KI53" s="47"/>
      <c r="KJ53" s="47"/>
      <c r="KK53" s="47"/>
      <c r="KM53" s="47"/>
      <c r="KN53" s="47"/>
      <c r="KO53" s="47"/>
      <c r="KP53" s="47"/>
      <c r="KQ53" s="47"/>
      <c r="KR53" s="47"/>
      <c r="KS53" s="47"/>
      <c r="KT53" s="47"/>
      <c r="KU53" s="47"/>
      <c r="KV53" s="47"/>
    </row>
    <row r="54" spans="1:308">
      <c r="A54" s="48"/>
      <c r="B54" s="108">
        <f>Data!B52</f>
        <v>0</v>
      </c>
      <c r="C54" s="109"/>
      <c r="D54" s="109"/>
      <c r="E54" s="109"/>
      <c r="F54" s="109"/>
      <c r="G54" s="111"/>
      <c r="H54" s="111"/>
      <c r="I54" s="111"/>
      <c r="J54" s="110" t="str">
        <f t="shared" si="3"/>
        <v/>
      </c>
      <c r="K54" s="110" t="str">
        <f t="shared" si="4"/>
        <v/>
      </c>
      <c r="L54" s="110" t="str">
        <f t="shared" si="5"/>
        <v/>
      </c>
      <c r="M54" s="48">
        <v>51</v>
      </c>
      <c r="N54" s="108">
        <f>Data!B52</f>
        <v>0</v>
      </c>
      <c r="O54" s="111"/>
      <c r="P54" s="111"/>
      <c r="Q54" s="111"/>
      <c r="R54" s="111"/>
      <c r="S54" s="111">
        <f t="shared" si="6"/>
        <v>0</v>
      </c>
      <c r="T54" s="111"/>
      <c r="U54" s="111">
        <f t="shared" si="7"/>
        <v>0</v>
      </c>
      <c r="V54" s="111" t="str">
        <f t="shared" si="8"/>
        <v/>
      </c>
      <c r="W54" s="111" t="str">
        <f t="shared" si="135"/>
        <v/>
      </c>
      <c r="X54" s="111" t="str">
        <f t="shared" si="10"/>
        <v/>
      </c>
      <c r="Y54" s="42">
        <v>50</v>
      </c>
      <c r="Z54" s="108">
        <f>Data!B52</f>
        <v>0</v>
      </c>
      <c r="AA54" s="113"/>
      <c r="AB54" s="113"/>
      <c r="AC54" s="113"/>
      <c r="AD54" s="113"/>
      <c r="AE54" s="113">
        <f t="shared" ref="AE54:AE57" si="137">SUM(AA54:AD54)</f>
        <v>0</v>
      </c>
      <c r="AF54" s="113"/>
      <c r="AG54" s="113">
        <f t="shared" si="12"/>
        <v>0</v>
      </c>
      <c r="AH54" s="113" t="str">
        <f t="shared" si="13"/>
        <v/>
      </c>
      <c r="AI54" s="113" t="str">
        <f t="shared" si="133"/>
        <v/>
      </c>
      <c r="AJ54" s="113" t="str">
        <f t="shared" si="15"/>
        <v/>
      </c>
      <c r="AK54" s="42">
        <v>51</v>
      </c>
      <c r="AL54" s="108">
        <f>Data!B52</f>
        <v>0</v>
      </c>
      <c r="AM54" s="115"/>
      <c r="AN54" s="115"/>
      <c r="AO54" s="115"/>
      <c r="AP54" s="115"/>
      <c r="AQ54" s="115">
        <f t="shared" si="16"/>
        <v>0</v>
      </c>
      <c r="AR54" s="115"/>
      <c r="AS54" s="115">
        <f t="shared" si="17"/>
        <v>0</v>
      </c>
      <c r="AT54" s="115" t="str">
        <f t="shared" si="18"/>
        <v/>
      </c>
      <c r="AU54" s="115" t="str">
        <f t="shared" ref="AU54:AU57" si="138">IF(AS54&gt;=75,"A",IF(AS54&gt;=70,"B2",IF(AS54&gt;=50,"C",IF(AS54&gt;=45,"D",IF(AS54&gt;=40,"E",IF(AS54&gt;=6,"F",IF(AS54&lt;5,"")))))))</f>
        <v/>
      </c>
      <c r="AV54" s="115" t="str">
        <f t="shared" ref="AV54:AV57" si="139">IF(AS54&gt;=75,"Excellent",IF(AS54&gt;=70,"V.Good",IF(AS54&gt;=65,"Good",IF(AS54&gt;=60,"Credit",IF(AS54&gt;=55,"Credit",IF(AS54&gt;=50,"Credit",IF(AS54&gt;=45,"Pass",IF(AS54&gt;=40,"Pass",IF(AS54&gt;=6,"Fail",IF(AS54&lt;5,""))))))))))</f>
        <v/>
      </c>
      <c r="AW54" s="42">
        <v>51</v>
      </c>
      <c r="AX54" s="108">
        <f>Data!B52</f>
        <v>0</v>
      </c>
      <c r="AY54" s="117"/>
      <c r="AZ54" s="117"/>
      <c r="BA54" s="117"/>
      <c r="BB54" s="117"/>
      <c r="BC54" s="117">
        <f t="shared" ref="BC54:BC57" si="140">SUM(AY54:BB54)</f>
        <v>0</v>
      </c>
      <c r="BD54" s="117"/>
      <c r="BE54" s="117">
        <f t="shared" ref="BE54:BE57" si="141">BC54+BD54</f>
        <v>0</v>
      </c>
      <c r="BF54" s="117" t="str">
        <f t="shared" si="23"/>
        <v/>
      </c>
      <c r="BG54" s="117" t="str">
        <f t="shared" ref="BG54:BG57" si="142">IF(BE54&gt;=75,"A1",IF(BE54&gt;=70,"B2",IF(BE54&gt;=65,"B3",IF(BE54&gt;=60,"C4",IF(BE54&gt;=55,"C5",IF(BE54&gt;=50,"C6",IF(BE54&gt;=45,"D7",IF(BE54&gt;=40,"E8",IF(BE54&gt;=6,"F",IF(BE54&lt;5,""))))))))))</f>
        <v/>
      </c>
      <c r="BH54" s="117" t="str">
        <f t="shared" ref="BH54:BH57" si="143">IF(BE54&gt;=75,"Excellent",IF(BE54&gt;=70,"V.Good",IF(BE54&gt;=65,"Good",IF(BE54&gt;=60,"Credit",IF(BE54&gt;=55,"Credit",IF(BE54&gt;=50,"Credit",IF(BE54&gt;=45,"Pass",IF(BE54&gt;=40,"Pass",IF(BE54&gt;=6,"Fail",IF(BE54&lt;5,""))))))))))</f>
        <v/>
      </c>
      <c r="BI54" s="67">
        <v>51</v>
      </c>
      <c r="BJ54" s="108">
        <f>Data!B52</f>
        <v>0</v>
      </c>
      <c r="BK54" s="119"/>
      <c r="BL54" s="119"/>
      <c r="BM54" s="119"/>
      <c r="BN54" s="119"/>
      <c r="BO54" s="119">
        <f t="shared" ref="BO54:BO58" si="144">SUM(BK54:BN54)</f>
        <v>0</v>
      </c>
      <c r="BP54" s="119"/>
      <c r="BQ54" s="119">
        <f t="shared" ref="BQ54:BQ58" si="145">BO54+BP54</f>
        <v>0</v>
      </c>
      <c r="BR54" s="119" t="str">
        <f t="shared" si="28"/>
        <v/>
      </c>
      <c r="BS54" s="119" t="str">
        <f t="shared" ref="BS54:BS58" si="146">IF(BQ54&gt;=75,"A1",IF(BQ54&gt;=70,"B2",IF(BQ54&gt;=65,"B3",IF(BQ54&gt;=60,"C4",IF(BQ54&gt;=55,"C5",IF(BQ54&gt;=50,"C6",IF(BQ54&gt;=45,"D7",IF(BQ54&gt;=40,"E8",IF(BQ54&gt;=6,"F",IF(BQ54&lt;5,""))))))))))</f>
        <v/>
      </c>
      <c r="BT54" s="119" t="str">
        <f t="shared" ref="BT54:BT58" si="147">IF(BQ54&gt;=75,"Excellent",IF(BQ54&gt;=70,"V.Good",IF(BQ54&gt;=65,"Good",IF(BQ54&gt;=60,"Credit",IF(BQ54&gt;=55,"Credit",IF(BQ54&gt;=50,"Credit",IF(BQ54&gt;=45,"Pass",IF(BQ54&gt;=40,"Pass",IF(BQ54&gt;=6,"Fail",IF(BQ54&lt;5,""))))))))))</f>
        <v/>
      </c>
      <c r="BU54">
        <v>51</v>
      </c>
      <c r="BV54" s="108">
        <f>Data!B52</f>
        <v>0</v>
      </c>
      <c r="BW54" s="121"/>
      <c r="BX54" s="121"/>
      <c r="BY54" s="121"/>
      <c r="BZ54" s="121"/>
      <c r="CA54" s="121">
        <f t="shared" ref="CA54:CA58" si="148">SUM(BW54:BZ54)</f>
        <v>0</v>
      </c>
      <c r="CB54" s="121"/>
      <c r="CC54" s="121">
        <f t="shared" ref="CC54:CC58" si="149">CA54+CB54</f>
        <v>0</v>
      </c>
      <c r="CD54" s="121" t="str">
        <f t="shared" si="33"/>
        <v/>
      </c>
      <c r="CE54" s="121" t="str">
        <f t="shared" ref="CE54:CE58" si="150">IF(CC54&gt;=75,"A1",IF(CC54&gt;=70,"B2",IF(CC54&gt;=65,"B3",IF(CC54&gt;=60,"C4",IF(CC54&gt;=55,"C5",IF(CC54&gt;=50,"C6",IF(CC54&gt;=45,"D7",IF(CC54&gt;=40,"E8",IF(CC54&gt;=6,"F",IF(CC54&lt;5,""))))))))))</f>
        <v/>
      </c>
      <c r="CF54" s="121" t="str">
        <f t="shared" ref="CF54:CF58" si="151">IF(CC54&gt;=75,"Excellent",IF(CC54&gt;=70,"V.Good",IF(CC54&gt;=65,"Good",IF(CC54&gt;=60,"Credit",IF(CC54&gt;=55,"Credit",IF(CC54&gt;=50,"Credit",IF(CC54&gt;=45,"Pass",IF(CC54&gt;=40,"Pass",IF(CC54&gt;=6,"Fail",IF(CC54&lt;5,""))))))))))</f>
        <v/>
      </c>
      <c r="CG54">
        <v>51</v>
      </c>
      <c r="CH54" s="108">
        <f>Data!B52</f>
        <v>0</v>
      </c>
      <c r="CI54" s="122"/>
      <c r="CJ54" s="122"/>
      <c r="CK54" s="122"/>
      <c r="CL54" s="122"/>
      <c r="CM54" s="122">
        <f t="shared" ref="CM54:CM58" si="152">SUM(CI54:CL54)</f>
        <v>0</v>
      </c>
      <c r="CN54" s="122"/>
      <c r="CO54" s="122">
        <f t="shared" ref="CO54:CO58" si="153">CM54+CN54</f>
        <v>0</v>
      </c>
      <c r="CP54" s="122" t="str">
        <f t="shared" si="38"/>
        <v/>
      </c>
      <c r="CQ54" s="122" t="str">
        <f t="shared" ref="CQ54:CQ58" si="154">IF(CO54&gt;=75,"A1",IF(CO54&gt;=70,"B2",IF(CO54&gt;=65,"B3",IF(CO54&gt;=60,"C4",IF(CO54&gt;=55,"C5",IF(CO54&gt;=50,"C6",IF(CO54&gt;=45,"D7",IF(CO54&gt;=40,"E8",IF(CO54&gt;=6,"F",IF(CO54&lt;5,""))))))))))</f>
        <v/>
      </c>
      <c r="CR54" s="122" t="str">
        <f t="shared" ref="CR54:CR58" si="155">IF(CO54&gt;=75,"Excellent",IF(CO54&gt;=70,"V.Good",IF(CO54&gt;=65,"Good",IF(CO54&gt;=60,"Credit",IF(CO54&gt;=55,"Credit",IF(CO54&gt;=50,"Credit",IF(CO54&gt;=45,"Pass",IF(CO54&gt;=40,"Pass",IF(CO54&gt;=6,"Fail",IF(CO54&lt;5,""))))))))))</f>
        <v/>
      </c>
      <c r="CS54">
        <v>51</v>
      </c>
      <c r="CT54" s="108">
        <f>Data!B52</f>
        <v>0</v>
      </c>
      <c r="CU54" s="123"/>
      <c r="CV54" s="123"/>
      <c r="CW54" s="123"/>
      <c r="CX54" s="123"/>
      <c r="CY54" s="123">
        <f t="shared" ref="CY54:CY58" si="156">SUM(CU54:CX54)</f>
        <v>0</v>
      </c>
      <c r="CZ54" s="123"/>
      <c r="DA54" s="123">
        <f t="shared" ref="DA54:DA58" si="157">CY54+CZ54</f>
        <v>0</v>
      </c>
      <c r="DB54" s="123" t="str">
        <f t="shared" si="43"/>
        <v/>
      </c>
      <c r="DC54" s="123" t="str">
        <f t="shared" ref="DC54:DC58" si="158">IF(DA54&gt;=75,"A1",IF(DA54&gt;=70,"B2",IF(DA54&gt;=65,"B3",IF(DA54&gt;=60,"C4",IF(DA54&gt;=55,"C5",IF(DA54&gt;=50,"C6",IF(DA54&gt;=45,"D7",IF(DA54&gt;=40,"E8",IF(DA54&gt;=6,"F",IF(DA54&lt;5,""))))))))))</f>
        <v/>
      </c>
      <c r="DD54" s="123" t="str">
        <f t="shared" ref="DD54:DD58" si="159">IF(DA54&gt;=75,"Excellent",IF(DA54&gt;=70,"V.Good",IF(DA54&gt;=65,"Good",IF(DA54&gt;=60,"Credit",IF(DA54&gt;=55,"Credit",IF(DA54&gt;=50,"Credit",IF(DA54&gt;=45,"Pass",IF(DA54&gt;=40,"Pass",IF(DA54&gt;=6,"Fail",IF(DA54&lt;5,""))))))))))</f>
        <v/>
      </c>
      <c r="DE54">
        <v>51</v>
      </c>
      <c r="DF54" s="108">
        <f>Data!B52</f>
        <v>0</v>
      </c>
      <c r="DG54" s="117"/>
      <c r="DH54" s="117"/>
      <c r="DI54" s="117"/>
      <c r="DJ54" s="117"/>
      <c r="DK54" s="117">
        <f t="shared" ref="DK54:DK58" si="160">SUM(DG54:DJ54)</f>
        <v>0</v>
      </c>
      <c r="DL54" s="117"/>
      <c r="DM54" s="117">
        <f t="shared" ref="DM54:DM58" si="161">DK54+DL54</f>
        <v>0</v>
      </c>
      <c r="DN54" s="117" t="str">
        <f t="shared" si="48"/>
        <v/>
      </c>
      <c r="DO54" s="117" t="str">
        <f t="shared" ref="DO54:DO58" si="162">IF(DM54&gt;=75,"A1",IF(DM54&gt;=70,"B2",IF(DM54&gt;=65,"B3",IF(DM54&gt;=60,"C4",IF(DM54&gt;=55,"C5",IF(DM54&gt;=50,"C6",IF(DM54&gt;=45,"D7",IF(DM54&gt;=40,"E8",IF(DM54&gt;=6,"F",IF(DM54&lt;5,""))))))))))</f>
        <v/>
      </c>
      <c r="DP54" s="117" t="str">
        <f t="shared" ref="DP54:DP58" si="163">IF(DM54&gt;=75,"Excellent",IF(DM54&gt;=70,"V.Good",IF(DM54&gt;=65,"Good",IF(DM54&gt;=60,"Credit",IF(DM54&gt;=55,"Credit",IF(DM54&gt;=50,"Credit",IF(DM54&gt;=45,"Pass",IF(DM54&gt;=40,"Pass",IF(DM54&gt;=6,"Fail",IF(DM54&lt;5,""))))))))))</f>
        <v/>
      </c>
      <c r="DQ54">
        <v>51</v>
      </c>
      <c r="DR54" s="108">
        <f>Data!B52</f>
        <v>0</v>
      </c>
      <c r="DS54" s="152"/>
      <c r="DT54" s="152"/>
      <c r="DU54" s="152"/>
      <c r="DV54" s="152"/>
      <c r="DW54" s="125">
        <f t="shared" ref="DW54:DW58" si="164">SUM(DS54:DV54)</f>
        <v>0</v>
      </c>
      <c r="DX54" s="154"/>
      <c r="DY54" s="125">
        <f t="shared" ref="DY54:DY58" si="165">DW54+DX54</f>
        <v>0</v>
      </c>
      <c r="DZ54" s="125" t="str">
        <f t="shared" si="53"/>
        <v/>
      </c>
      <c r="EA54" s="125" t="str">
        <f t="shared" ref="EA54:EA58" si="166">IF(DY54&gt;=75,"A1",IF(DY54&gt;=70,"B2",IF(DY54&gt;=65,"B3",IF(DY54&gt;=60,"C4",IF(DY54&gt;=55,"C5",IF(DY54&gt;=50,"C6",IF(DY54&gt;=45,"D7",IF(DY54&gt;=40,"E8",IF(DY54&gt;=6,"F",IF(DY54&lt;5,""))))))))))</f>
        <v/>
      </c>
      <c r="EB54" s="125" t="str">
        <f t="shared" ref="EB54:EB58" si="167">IF(DY54&gt;=75,"Excellent",IF(DY54&gt;=70,"V.Good",IF(DY54&gt;=65,"Good",IF(DY54&gt;=60,"Credit",IF(DY54&gt;=55,"Credit",IF(DY54&gt;=50,"Credit",IF(DY54&gt;=45,"Pass",IF(DY54&gt;=40,"Pass",IF(DY54&gt;=6,"Fail",IF(DY54&lt;5,""))))))))))</f>
        <v/>
      </c>
      <c r="EC54">
        <v>51</v>
      </c>
      <c r="ED54" s="108">
        <f>Data!B52</f>
        <v>0</v>
      </c>
      <c r="EE54" s="127"/>
      <c r="EF54" s="127"/>
      <c r="EG54" s="127"/>
      <c r="EH54" s="127"/>
      <c r="EI54" s="127">
        <f t="shared" ref="EI54:EI58" si="168">SUM(EE54:EH54)</f>
        <v>0</v>
      </c>
      <c r="EJ54" s="127"/>
      <c r="EK54" s="127">
        <f t="shared" ref="EK54:EK58" si="169">EI54+EJ54</f>
        <v>0</v>
      </c>
      <c r="EL54" s="127" t="str">
        <f t="shared" si="58"/>
        <v/>
      </c>
      <c r="EM54" s="127" t="str">
        <f t="shared" ref="EM54:EM58" si="170">IF(EK54&gt;=75,"A1",IF(EK54&gt;=70,"B2",IF(EK54&gt;=65,"B3",IF(EK54&gt;=60,"C4",IF(EK54&gt;=55,"C5",IF(EK54&gt;=50,"C6",IF(EK54&gt;=45,"D7",IF(EK54&gt;=40,"E8",IF(EK54&gt;=6,"F",IF(EK54&lt;5,""))))))))))</f>
        <v/>
      </c>
      <c r="EN54" s="127" t="str">
        <f t="shared" ref="EN54:EN58" si="171">IF(EK54&gt;=75,"Excellent",IF(EK54&gt;=70,"V.Good",IF(EK54&gt;=65,"Good",IF(EK54&gt;=60,"Credit",IF(EK54&gt;=55,"Credit",IF(EK54&gt;=50,"Credit",IF(EK54&gt;=45,"Pass",IF(EK54&gt;=40,"Pass",IF(EK54&gt;=6,"Fail",IF(EK54&lt;5,""))))))))))</f>
        <v/>
      </c>
      <c r="EO54">
        <v>51</v>
      </c>
      <c r="EP54" s="128">
        <f>Data!B52</f>
        <v>0</v>
      </c>
      <c r="EQ54" s="123"/>
      <c r="ER54" s="123"/>
      <c r="ES54" s="123"/>
      <c r="ET54" s="123"/>
      <c r="EU54" s="123">
        <f t="shared" ref="EU54:EU58" si="172">SUM(EQ54:ET54)</f>
        <v>0</v>
      </c>
      <c r="EV54" s="123"/>
      <c r="EW54" s="123">
        <f t="shared" ref="EW54:EW58" si="173">EU54+EV54</f>
        <v>0</v>
      </c>
      <c r="EX54" s="123" t="str">
        <f t="shared" si="63"/>
        <v/>
      </c>
      <c r="EY54" s="123" t="str">
        <f t="shared" ref="EY54:EY58" si="174">IF(EW54&gt;=75,"A1",IF(EW54&gt;=70,"B2",IF(EW54&gt;=65,"B3",IF(EW54&gt;=60,"C4",IF(EW54&gt;=55,"C5",IF(EW54&gt;=50,"C6",IF(EW54&gt;=45,"D7",IF(EW54&gt;=40,"E8",IF(EW54&gt;=6,"F",IF(EW54&lt;5,""))))))))))</f>
        <v/>
      </c>
      <c r="EZ54" s="123" t="str">
        <f t="shared" ref="EZ54:EZ58" si="175">IF(EW54&gt;=75,"Excellent",IF(EW54&gt;=70,"V.Good",IF(EW54&gt;=65,"Good",IF(EW54&gt;=60,"Credit",IF(EW54&gt;=55,"Credit",IF(EW54&gt;=50,"Credit",IF(EW54&gt;=45,"Pass",IF(EW54&gt;=40,"Pass",IF(EW54&gt;=6,"Fail",IF(EW54&lt;5,""))))))))))</f>
        <v/>
      </c>
      <c r="FA54">
        <v>51</v>
      </c>
      <c r="FB54" s="108">
        <f>Data!B52</f>
        <v>0</v>
      </c>
      <c r="FC54" s="129"/>
      <c r="FD54" s="129"/>
      <c r="FE54" s="129"/>
      <c r="FF54" s="129"/>
      <c r="FG54" s="129">
        <f t="shared" ref="FG54:FG58" si="176">SUM(FC54:FF54)</f>
        <v>0</v>
      </c>
      <c r="FH54" s="129"/>
      <c r="FI54" s="129">
        <f t="shared" ref="FI54:FI58" si="177">FG54+FH54</f>
        <v>0</v>
      </c>
      <c r="FJ54" s="129" t="str">
        <f t="shared" si="68"/>
        <v/>
      </c>
      <c r="FK54" s="129" t="str">
        <f t="shared" ref="FK54:FK58" si="178">IF(FI54&gt;=75,"A",IF(FI54&gt;=70,"B2",IF(FI54&gt;=50,"C",IF(FI54&gt;=45,"D",IF(FI54&gt;=40,"E",IF(FI54&gt;=6,"F",IF(FI54&lt;5,"")))))))</f>
        <v/>
      </c>
      <c r="FL54" s="129" t="str">
        <f t="shared" ref="FL54:FL58" si="179">IF(FI54&gt;=75,"Excellent",IF(FI54&gt;=70,"V.Good",IF(FI54&gt;=65,"Good",IF(FI54&gt;=60,"Credit",IF(FI54&gt;=55,"Credit",IF(FI54&gt;=50,"Credit",IF(FI54&gt;=45,"Pass",IF(FI54&gt;=40,"Pass",IF(FI54&gt;=6,"Fail",IF(FI54&lt;5,""))))))))))</f>
        <v/>
      </c>
      <c r="FM54">
        <v>51</v>
      </c>
      <c r="FN54" s="108">
        <f>Data!B52</f>
        <v>0</v>
      </c>
      <c r="FO54" s="130"/>
      <c r="FP54" s="130"/>
      <c r="FQ54" s="130"/>
      <c r="FR54" s="130"/>
      <c r="FS54" s="130">
        <f t="shared" ref="FS54:FS58" si="180">SUM(FO54:FR54)</f>
        <v>0</v>
      </c>
      <c r="FT54" s="130"/>
      <c r="FU54" s="130">
        <f t="shared" ref="FU54:FU58" si="181">FS54+FT54</f>
        <v>0</v>
      </c>
      <c r="FV54" s="130" t="str">
        <f t="shared" si="73"/>
        <v/>
      </c>
      <c r="FW54" s="130" t="str">
        <f t="shared" ref="FW54:FW58" si="182">IF(FU54&gt;=75,"A",IF(FU54&gt;=70,"B2",IF(FU54&gt;=50,"C",IF(FU54&gt;=45,"D",IF(FU54&gt;=40,"E",IF(FU54&gt;=6,"F",IF(FU54&lt;5,"")))))))</f>
        <v/>
      </c>
      <c r="FX54" s="130" t="str">
        <f t="shared" ref="FX54:FX58" si="183">IF(FU54&gt;=75,"Excellent",IF(FU54&gt;=70,"V.Good",IF(FU54&gt;=65,"Good",IF(FU54&gt;=60,"Credit",IF(FU54&gt;=55,"Credit",IF(FU54&gt;=50,"Credit",IF(FU54&gt;=45,"Pass",IF(FU54&gt;=40,"Pass",IF(FU54&gt;=6,"Fail",IF(FU54&lt;5,""))))))))))</f>
        <v/>
      </c>
      <c r="FY54">
        <v>51</v>
      </c>
      <c r="FZ54" s="108">
        <f>Data!B52</f>
        <v>0</v>
      </c>
      <c r="GA54" s="131"/>
      <c r="GB54" s="131"/>
      <c r="GC54" s="131"/>
      <c r="GD54" s="131"/>
      <c r="GE54" s="131">
        <f t="shared" ref="GE54:GE58" si="184">SUM(GA54:GD54)</f>
        <v>0</v>
      </c>
      <c r="GF54" s="131"/>
      <c r="GG54" s="131">
        <f t="shared" ref="GG54:GG58" si="185">GE54+GF54</f>
        <v>0</v>
      </c>
      <c r="GH54" s="131" t="str">
        <f t="shared" si="78"/>
        <v/>
      </c>
      <c r="GI54" s="131" t="str">
        <f t="shared" ref="GI54:GI58" si="186">IF(GG54&gt;=75,"A",IF(GG54&gt;=70,"B2",IF(GG54&gt;=50,"C",IF(GG54&gt;=45,"D",IF(GG54&gt;=40,"E",IF(GG54&gt;=6,"F",IF(GG54&lt;5,"")))))))</f>
        <v/>
      </c>
      <c r="GJ54" s="131" t="str">
        <f t="shared" ref="GJ54:GJ58" si="187">IF(GG54&gt;=75,"Excellent",IF(GG54&gt;=70,"V.Good",IF(GG54&gt;=65,"Good",IF(GG54&gt;=60,"Credit",IF(GG54&gt;=55,"Credit",IF(GG54&gt;=50,"Credit",IF(GG54&gt;=45,"Pass",IF(GG54&gt;=40,"Pass",IF(GG54&gt;=6,"Fail",IF(GG54&lt;5,""))))))))))</f>
        <v/>
      </c>
      <c r="GK54">
        <v>51</v>
      </c>
      <c r="GL54" s="108">
        <f>Data!B52</f>
        <v>0</v>
      </c>
      <c r="GM54" s="133"/>
      <c r="GN54" s="133"/>
      <c r="GO54" s="133"/>
      <c r="GP54" s="133"/>
      <c r="GQ54" s="133">
        <f t="shared" ref="GQ54:GQ58" si="188">SUM(GM54:GP54)</f>
        <v>0</v>
      </c>
      <c r="GR54" s="133"/>
      <c r="GS54" s="133">
        <f t="shared" ref="GS54:GS58" si="189">GQ54+GR54</f>
        <v>0</v>
      </c>
      <c r="GT54" s="133" t="str">
        <f t="shared" si="83"/>
        <v/>
      </c>
      <c r="GU54" s="133" t="str">
        <f t="shared" ref="GU54:GU58" si="190">IF(GS54&gt;=75,"A",IF(GS54&gt;=70,"B2",IF(GS54&gt;=50,"C",IF(GS54&gt;=45,"D",IF(GS54&gt;=40,"E",IF(GS54&gt;=6,"F",IF(GS54&lt;5,"")))))))</f>
        <v/>
      </c>
      <c r="GV54" s="133" t="str">
        <f t="shared" ref="GV54:GV58" si="191">IF(GS54&gt;=75,"Excellent",IF(GS54&gt;=70,"V.Good",IF(GS54&gt;=65,"Good",IF(GS54&gt;=60,"Credit",IF(GS54&gt;=55,"Credit",IF(GS54&gt;=50,"Credit",IF(GS54&gt;=45,"Pass",IF(GS54&gt;=40,"Pass",IF(GS54&gt;=6,"Fail",IF(GS54&lt;5,""))))))))))</f>
        <v/>
      </c>
      <c r="GW54">
        <v>51</v>
      </c>
      <c r="GX54" s="108">
        <f>Data!B52</f>
        <v>0</v>
      </c>
      <c r="GY54" s="119"/>
      <c r="GZ54" s="119"/>
      <c r="HA54" s="119"/>
      <c r="HB54" s="119"/>
      <c r="HC54" s="119">
        <f t="shared" ref="HC54:HC58" si="192">SUM(GY54:HB54)</f>
        <v>0</v>
      </c>
      <c r="HD54" s="119"/>
      <c r="HE54" s="119">
        <f t="shared" ref="HE54:HE58" si="193">HC54+HD54</f>
        <v>0</v>
      </c>
      <c r="HF54" s="119" t="str">
        <f t="shared" si="88"/>
        <v/>
      </c>
      <c r="HG54" s="119" t="str">
        <f t="shared" ref="HG54:HG58" si="194">IF(HE54&gt;=75,"A",IF(HE54&gt;=70,"B2",IF(HE54&gt;=50,"C",IF(HE54&gt;=45,"D",IF(HE54&gt;=40,"E",IF(HE54&gt;=6,"F",IF(HE54&lt;5,"")))))))</f>
        <v/>
      </c>
      <c r="HH54" s="119" t="str">
        <f t="shared" ref="HH54:HH58" si="195">IF(HE54&gt;=75,"Excellent",IF(HE54&gt;=70,"V.Good",IF(HE54&gt;=65,"Good",IF(HE54&gt;=60,"Credit",IF(HE54&gt;=55,"Credit",IF(HE54&gt;=50,"Credit",IF(HE54&gt;=45,"Pass",IF(HE54&gt;=40,"Pass",IF(HE54&gt;=6,"Fail",IF(HE54&lt;5,""))))))))))</f>
        <v/>
      </c>
      <c r="HI54">
        <v>51</v>
      </c>
      <c r="HJ54" s="108">
        <f>Data!B52</f>
        <v>0</v>
      </c>
      <c r="HK54" s="144"/>
      <c r="HL54" s="145"/>
      <c r="HM54" s="145"/>
      <c r="HN54" s="145"/>
      <c r="HO54" s="136">
        <f t="shared" ref="HO54:HO58" si="196">SUM(HK54:HN54)</f>
        <v>0</v>
      </c>
      <c r="HP54" s="144"/>
      <c r="HQ54" s="136">
        <f t="shared" ref="HQ54:HQ58" si="197">HO54+HP54</f>
        <v>0</v>
      </c>
      <c r="HR54" s="136" t="str">
        <f t="shared" si="93"/>
        <v/>
      </c>
      <c r="HS54" s="136" t="str">
        <f t="shared" ref="HS54:HS58" si="198">IF(HQ54&gt;=75,"A",IF(HQ54&gt;=70,"B2",IF(HQ54&gt;=50,"C",IF(HQ54&gt;=45,"D",IF(HQ54&gt;=40,"E",IF(HQ54&gt;=6,"F",IF(HQ54&lt;5,"")))))))</f>
        <v/>
      </c>
      <c r="HT54" s="136" t="str">
        <f t="shared" ref="HT54:HT58" si="199">IF(HQ54&gt;=75,"Excellent",IF(HQ54&gt;=70,"V.Good",IF(HQ54&gt;=65,"Good",IF(HQ54&gt;=60,"Credit",IF(HQ54&gt;=55,"Credit",IF(HQ54&gt;=50,"Credit",IF(HQ54&gt;=45,"Pass",IF(HQ54&gt;=40,"Pass",IF(HQ54&gt;=6,"Fail",IF(HQ54&lt;5,""))))))))))</f>
        <v/>
      </c>
      <c r="HU54">
        <v>51</v>
      </c>
      <c r="HV54" s="108">
        <f>Data!B52</f>
        <v>0</v>
      </c>
      <c r="HW54" s="117"/>
      <c r="HX54" s="117"/>
      <c r="HY54" s="117"/>
      <c r="HZ54" s="117"/>
      <c r="IA54" s="117">
        <f t="shared" ref="IA54:IA58" si="200">SUM(HW54:HZ54)</f>
        <v>0</v>
      </c>
      <c r="IB54" s="117"/>
      <c r="IC54" s="117">
        <f t="shared" ref="IC54:IC58" si="201">IA54+IB54</f>
        <v>0</v>
      </c>
      <c r="ID54" s="117" t="str">
        <f t="shared" si="98"/>
        <v/>
      </c>
      <c r="IE54" s="117" t="str">
        <f t="shared" ref="IE54:IE58" si="202">IF(IC54&gt;=75,"A",IF(IC54&gt;=70,"B2",IF(IC54&gt;=50,"C",IF(IC54&gt;=45,"D",IF(IC54&gt;=40,"E",IF(IC54&gt;=6,"F",IF(IC54&lt;5,"")))))))</f>
        <v/>
      </c>
      <c r="IF54" s="117" t="str">
        <f t="shared" ref="IF54:IF58" si="203">IF(IC54&gt;=75,"Excellent",IF(IC54&gt;=70,"V.Good",IF(IC54&gt;=65,"Good",IF(IC54&gt;=60,"Credit",IF(IC54&gt;=55,"Credit",IF(IC54&gt;=50,"Credit",IF(IC54&gt;=45,"Pass",IF(IC54&gt;=40,"Pass",IF(IC54&gt;=6,"Fail",IF(IC54&lt;5,""))))))))))</f>
        <v/>
      </c>
      <c r="IG54">
        <v>51</v>
      </c>
      <c r="IH54" s="108">
        <f>Data!B52</f>
        <v>0</v>
      </c>
      <c r="II54" s="137"/>
      <c r="IJ54" s="137"/>
      <c r="IK54" s="137"/>
      <c r="IL54" s="137"/>
      <c r="IM54" s="137">
        <f t="shared" ref="IM54:IM58" si="204">SUM(II54:IL54)</f>
        <v>0</v>
      </c>
      <c r="IN54" s="137"/>
      <c r="IO54" s="137">
        <f t="shared" ref="IO54:IO58" si="205">IM54+IN54</f>
        <v>0</v>
      </c>
      <c r="IP54" s="137" t="str">
        <f t="shared" si="103"/>
        <v/>
      </c>
      <c r="IQ54" s="137" t="str">
        <f t="shared" ref="IQ54:IQ58" si="206">IF(IO54&gt;=75,"A",IF(IO54&gt;=70,"B2",IF(IO54&gt;=50,"C",IF(IO54&gt;=45,"D",IF(IO54&gt;=40,"E",IF(IO54&gt;=6,"F",IF(IO54&lt;5,"")))))))</f>
        <v/>
      </c>
      <c r="IR54" s="137" t="str">
        <f t="shared" ref="IR54:IR58" si="207">IF(IO54&gt;=75,"Excellent",IF(IO54&gt;=70,"V.Good",IF(IO54&gt;=65,"Good",IF(IO54&gt;=60,"Credit",IF(IO54&gt;=55,"Credit",IF(IO54&gt;=50,"Credit",IF(IO54&gt;=45,"Pass",IF(IO54&gt;=40,"Pass",IF(IO54&gt;=6,"Fail",IF(IO54&lt;5,""))))))))))</f>
        <v/>
      </c>
      <c r="IS54">
        <v>51</v>
      </c>
      <c r="IT54" s="108">
        <f t="shared" ref="IT54:IT58" si="208">IH54</f>
        <v>0</v>
      </c>
      <c r="IU54" s="131"/>
      <c r="IV54" s="131"/>
      <c r="IW54" s="131"/>
      <c r="IX54" s="131"/>
      <c r="IY54" s="131">
        <f t="shared" ref="IY54:IY58" si="209">SUM(IU54:IX54)</f>
        <v>0</v>
      </c>
      <c r="IZ54" s="131"/>
      <c r="JA54" s="131">
        <f t="shared" ref="JA54:JA58" si="210">IY54+IZ54</f>
        <v>0</v>
      </c>
      <c r="JB54" s="131" t="str">
        <f t="shared" si="109"/>
        <v/>
      </c>
      <c r="JC54" s="131" t="str">
        <f t="shared" ref="JC54:JC58" si="211">IF(JA54&gt;=75,"A",IF(JA54&gt;=70,"B2",IF(JA54&gt;=50,"C",IF(JA54&gt;=45,"D",IF(JA54&gt;=40,"E",IF(JA54&gt;=6,"F",IF(JA54&lt;5,"")))))))</f>
        <v/>
      </c>
      <c r="JD54" s="131" t="str">
        <f t="shared" ref="JD54:JD58" si="212">IF(JA54&gt;=75,"Excellent",IF(JA54&gt;=70,"V.Good",IF(JA54&gt;=65,"Good",IF(JA54&gt;=60,"Credit",IF(JA54&gt;=55,"Credit",IF(JA54&gt;=50,"Credit",IF(JA54&gt;=45,"Pass",IF(JA54&gt;=40,"Pass",IF(JA54&gt;=6,"Fail",IF(JA54&lt;5,""))))))))))</f>
        <v/>
      </c>
      <c r="JE54">
        <v>51</v>
      </c>
      <c r="JF54" s="108">
        <f t="shared" ref="JF54:JF58" si="213">IT54</f>
        <v>0</v>
      </c>
      <c r="JG54" s="113"/>
      <c r="JH54" s="113"/>
      <c r="JI54" s="113"/>
      <c r="JJ54" s="113"/>
      <c r="JK54" s="113">
        <f t="shared" ref="JK54:JK58" si="214">SUM(JG54:JJ54)</f>
        <v>0</v>
      </c>
      <c r="JL54" s="113"/>
      <c r="JM54" s="113">
        <f t="shared" ref="JM54:JM58" si="215">JK54+JL54</f>
        <v>0</v>
      </c>
      <c r="JN54" s="113" t="str">
        <f t="shared" si="115"/>
        <v/>
      </c>
      <c r="JO54" s="113" t="str">
        <f t="shared" ref="JO54:JO58" si="216">IF(JM54&gt;=75,"A",IF(JM54&gt;=70,"B2",IF(JM54&gt;=50,"C",IF(JM54&gt;=45,"D",IF(JM54&gt;=40,"E",IF(JM54&gt;=6,"F",IF(JM54&lt;5,"")))))))</f>
        <v/>
      </c>
      <c r="JP54" s="113" t="str">
        <f t="shared" ref="JP54:JP58" si="217">IF(JM54&gt;=75,"Excellent",IF(JM54&gt;=70,"V.Good",IF(JM54&gt;=65,"Good",IF(JM54&gt;=60,"Credit",IF(JM54&gt;=55,"Credit",IF(JM54&gt;=50,"Credit",IF(JM54&gt;=45,"Pass",IF(JM54&gt;=40,"Pass",IF(JM54&gt;=6,"Fail",IF(JM54&lt;5,""))))))))))</f>
        <v/>
      </c>
      <c r="JQ54">
        <v>51</v>
      </c>
      <c r="JR54" s="108">
        <f t="shared" ref="JR54:JR58" si="218">JF54</f>
        <v>0</v>
      </c>
      <c r="JS54" s="140"/>
      <c r="JT54" s="140"/>
      <c r="JU54" s="140"/>
      <c r="JV54" s="140"/>
      <c r="JW54" s="111">
        <f t="shared" ref="JW54:JW58" si="219">SUM(JS54:JV54)</f>
        <v>0</v>
      </c>
      <c r="JX54" s="141"/>
      <c r="JY54" s="111">
        <f t="shared" ref="JY54:JY58" si="220">JW54+JX54</f>
        <v>0</v>
      </c>
      <c r="JZ54" s="111" t="str">
        <f t="shared" si="120"/>
        <v/>
      </c>
      <c r="KA54" s="111" t="str">
        <f t="shared" ref="KA54:KA58" si="221">IF(JY54&gt;=75,"A",IF(JY54&gt;=70,"B2",IF(JY54&gt;=50,"C",IF(JY54&gt;=45,"D",IF(JY54&gt;=40,"E",IF(JY54&gt;=6,"F",IF(JY54&lt;5,"")))))))</f>
        <v/>
      </c>
      <c r="KB54" s="111" t="str">
        <f t="shared" ref="KB54:KB58" si="222">IF(JY54&gt;=75,"Excellent",IF(JY54&gt;=70,"V.Good",IF(JY54&gt;=65,"Good",IF(JY54&gt;=60,"Credit",IF(JY54&gt;=55,"Credit",IF(JY54&gt;=50,"Credit",IF(JY54&gt;=45,"Pass",IF(JY54&gt;=40,"Pass",IF(JY54&gt;=6,"Fail",IF(JY54&lt;5,""))))))))))</f>
        <v/>
      </c>
    </row>
    <row r="55" spans="1:308">
      <c r="A55" s="48"/>
      <c r="B55" s="108">
        <f>Data!B53</f>
        <v>0</v>
      </c>
      <c r="C55" s="109"/>
      <c r="D55" s="109"/>
      <c r="E55" s="109"/>
      <c r="F55" s="109"/>
      <c r="G55" s="111"/>
      <c r="H55" s="111"/>
      <c r="I55" s="111"/>
      <c r="J55" s="110" t="str">
        <f t="shared" si="3"/>
        <v/>
      </c>
      <c r="K55" s="110" t="str">
        <f t="shared" si="4"/>
        <v/>
      </c>
      <c r="L55" s="110" t="str">
        <f t="shared" si="5"/>
        <v/>
      </c>
      <c r="M55" s="48">
        <v>52</v>
      </c>
      <c r="N55" s="108">
        <f>Data!B53</f>
        <v>0</v>
      </c>
      <c r="O55" s="111"/>
      <c r="P55" s="111"/>
      <c r="Q55" s="111"/>
      <c r="R55" s="111"/>
      <c r="S55" s="111">
        <f t="shared" si="6"/>
        <v>0</v>
      </c>
      <c r="T55" s="111"/>
      <c r="U55" s="111">
        <f t="shared" si="7"/>
        <v>0</v>
      </c>
      <c r="V55" s="111" t="str">
        <f t="shared" si="8"/>
        <v/>
      </c>
      <c r="W55" s="111" t="str">
        <f t="shared" si="135"/>
        <v/>
      </c>
      <c r="X55" s="111" t="str">
        <f t="shared" si="10"/>
        <v/>
      </c>
      <c r="Y55" s="42">
        <v>50</v>
      </c>
      <c r="Z55" s="108">
        <f>Data!B53</f>
        <v>0</v>
      </c>
      <c r="AA55" s="113"/>
      <c r="AB55" s="113"/>
      <c r="AC55" s="113"/>
      <c r="AD55" s="113"/>
      <c r="AE55" s="113">
        <f t="shared" si="137"/>
        <v>0</v>
      </c>
      <c r="AF55" s="113"/>
      <c r="AG55" s="113">
        <f t="shared" si="12"/>
        <v>0</v>
      </c>
      <c r="AH55" s="113" t="str">
        <f t="shared" si="13"/>
        <v/>
      </c>
      <c r="AI55" s="113" t="str">
        <f t="shared" si="133"/>
        <v/>
      </c>
      <c r="AJ55" s="113" t="str">
        <f t="shared" si="15"/>
        <v/>
      </c>
      <c r="AK55" s="42">
        <v>52</v>
      </c>
      <c r="AL55" s="108">
        <f>Data!B53</f>
        <v>0</v>
      </c>
      <c r="AM55" s="115"/>
      <c r="AN55" s="115"/>
      <c r="AO55" s="115"/>
      <c r="AP55" s="115"/>
      <c r="AQ55" s="115">
        <f t="shared" si="16"/>
        <v>0</v>
      </c>
      <c r="AR55" s="115"/>
      <c r="AS55" s="115">
        <f t="shared" si="17"/>
        <v>0</v>
      </c>
      <c r="AT55" s="115" t="str">
        <f t="shared" si="18"/>
        <v/>
      </c>
      <c r="AU55" s="115" t="str">
        <f t="shared" si="138"/>
        <v/>
      </c>
      <c r="AV55" s="115" t="str">
        <f t="shared" si="139"/>
        <v/>
      </c>
      <c r="AW55" s="42">
        <v>52</v>
      </c>
      <c r="AX55" s="108">
        <f>Data!B53</f>
        <v>0</v>
      </c>
      <c r="AY55" s="117"/>
      <c r="AZ55" s="117"/>
      <c r="BA55" s="117"/>
      <c r="BB55" s="117"/>
      <c r="BC55" s="117">
        <f t="shared" si="140"/>
        <v>0</v>
      </c>
      <c r="BD55" s="117"/>
      <c r="BE55" s="117">
        <f t="shared" si="141"/>
        <v>0</v>
      </c>
      <c r="BF55" s="117" t="str">
        <f t="shared" si="23"/>
        <v/>
      </c>
      <c r="BG55" s="117" t="str">
        <f t="shared" si="142"/>
        <v/>
      </c>
      <c r="BH55" s="117" t="str">
        <f t="shared" si="143"/>
        <v/>
      </c>
      <c r="BI55" s="67">
        <v>52</v>
      </c>
      <c r="BJ55" s="108">
        <f>Data!B53</f>
        <v>0</v>
      </c>
      <c r="BK55" s="119"/>
      <c r="BL55" s="119"/>
      <c r="BM55" s="119"/>
      <c r="BN55" s="119"/>
      <c r="BO55" s="119">
        <f t="shared" si="144"/>
        <v>0</v>
      </c>
      <c r="BP55" s="119"/>
      <c r="BQ55" s="119">
        <f t="shared" si="145"/>
        <v>0</v>
      </c>
      <c r="BR55" s="119" t="str">
        <f t="shared" si="28"/>
        <v/>
      </c>
      <c r="BS55" s="119" t="str">
        <f t="shared" si="146"/>
        <v/>
      </c>
      <c r="BT55" s="119" t="str">
        <f t="shared" si="147"/>
        <v/>
      </c>
      <c r="BU55">
        <v>52</v>
      </c>
      <c r="BV55" s="108">
        <f>Data!B53</f>
        <v>0</v>
      </c>
      <c r="BW55" s="121"/>
      <c r="BX55" s="121"/>
      <c r="BY55" s="121"/>
      <c r="BZ55" s="121"/>
      <c r="CA55" s="121">
        <f t="shared" si="148"/>
        <v>0</v>
      </c>
      <c r="CB55" s="121"/>
      <c r="CC55" s="121">
        <f t="shared" si="149"/>
        <v>0</v>
      </c>
      <c r="CD55" s="121" t="str">
        <f t="shared" si="33"/>
        <v/>
      </c>
      <c r="CE55" s="121" t="str">
        <f t="shared" si="150"/>
        <v/>
      </c>
      <c r="CF55" s="121" t="str">
        <f t="shared" si="151"/>
        <v/>
      </c>
      <c r="CG55">
        <v>52</v>
      </c>
      <c r="CH55" s="108">
        <f>Data!B53</f>
        <v>0</v>
      </c>
      <c r="CI55" s="122"/>
      <c r="CJ55" s="122"/>
      <c r="CK55" s="122"/>
      <c r="CL55" s="122"/>
      <c r="CM55" s="122">
        <f t="shared" si="152"/>
        <v>0</v>
      </c>
      <c r="CN55" s="122"/>
      <c r="CO55" s="122">
        <f t="shared" si="153"/>
        <v>0</v>
      </c>
      <c r="CP55" s="122" t="str">
        <f t="shared" si="38"/>
        <v/>
      </c>
      <c r="CQ55" s="122" t="str">
        <f t="shared" si="154"/>
        <v/>
      </c>
      <c r="CR55" s="122" t="str">
        <f t="shared" si="155"/>
        <v/>
      </c>
      <c r="CS55">
        <v>52</v>
      </c>
      <c r="CT55" s="108">
        <f>Data!B53</f>
        <v>0</v>
      </c>
      <c r="CU55" s="123"/>
      <c r="CV55" s="123"/>
      <c r="CW55" s="123"/>
      <c r="CX55" s="123"/>
      <c r="CY55" s="123">
        <f t="shared" si="156"/>
        <v>0</v>
      </c>
      <c r="CZ55" s="123"/>
      <c r="DA55" s="123">
        <f t="shared" si="157"/>
        <v>0</v>
      </c>
      <c r="DB55" s="123" t="str">
        <f t="shared" si="43"/>
        <v/>
      </c>
      <c r="DC55" s="123" t="str">
        <f t="shared" si="158"/>
        <v/>
      </c>
      <c r="DD55" s="123" t="str">
        <f t="shared" si="159"/>
        <v/>
      </c>
      <c r="DE55">
        <v>52</v>
      </c>
      <c r="DF55" s="108">
        <f>Data!B53</f>
        <v>0</v>
      </c>
      <c r="DG55" s="117"/>
      <c r="DH55" s="117"/>
      <c r="DI55" s="117"/>
      <c r="DJ55" s="117"/>
      <c r="DK55" s="117">
        <f t="shared" si="160"/>
        <v>0</v>
      </c>
      <c r="DL55" s="117"/>
      <c r="DM55" s="117">
        <f t="shared" si="161"/>
        <v>0</v>
      </c>
      <c r="DN55" s="117" t="str">
        <f t="shared" si="48"/>
        <v/>
      </c>
      <c r="DO55" s="117" t="str">
        <f t="shared" si="162"/>
        <v/>
      </c>
      <c r="DP55" s="117" t="str">
        <f t="shared" si="163"/>
        <v/>
      </c>
      <c r="DQ55">
        <v>52</v>
      </c>
      <c r="DR55" s="108">
        <f>Data!B53</f>
        <v>0</v>
      </c>
      <c r="DS55" s="152"/>
      <c r="DT55" s="152"/>
      <c r="DU55" s="152"/>
      <c r="DV55" s="152"/>
      <c r="DW55" s="125">
        <f t="shared" si="164"/>
        <v>0</v>
      </c>
      <c r="DX55" s="154"/>
      <c r="DY55" s="125">
        <f t="shared" si="165"/>
        <v>0</v>
      </c>
      <c r="DZ55" s="125" t="str">
        <f t="shared" si="53"/>
        <v/>
      </c>
      <c r="EA55" s="125" t="str">
        <f t="shared" si="166"/>
        <v/>
      </c>
      <c r="EB55" s="125" t="str">
        <f t="shared" si="167"/>
        <v/>
      </c>
      <c r="EC55">
        <v>52</v>
      </c>
      <c r="ED55" s="108">
        <f>Data!B53</f>
        <v>0</v>
      </c>
      <c r="EE55" s="127"/>
      <c r="EF55" s="127"/>
      <c r="EG55" s="127"/>
      <c r="EH55" s="127"/>
      <c r="EI55" s="127">
        <f t="shared" si="168"/>
        <v>0</v>
      </c>
      <c r="EJ55" s="127"/>
      <c r="EK55" s="127">
        <f t="shared" si="169"/>
        <v>0</v>
      </c>
      <c r="EL55" s="127" t="str">
        <f t="shared" si="58"/>
        <v/>
      </c>
      <c r="EM55" s="127" t="str">
        <f t="shared" si="170"/>
        <v/>
      </c>
      <c r="EN55" s="127" t="str">
        <f t="shared" si="171"/>
        <v/>
      </c>
      <c r="EO55">
        <v>52</v>
      </c>
      <c r="EP55" s="128">
        <f>Data!B53</f>
        <v>0</v>
      </c>
      <c r="EQ55" s="123"/>
      <c r="ER55" s="123"/>
      <c r="ES55" s="123"/>
      <c r="ET55" s="123"/>
      <c r="EU55" s="123">
        <f t="shared" si="172"/>
        <v>0</v>
      </c>
      <c r="EV55" s="123"/>
      <c r="EW55" s="123">
        <f t="shared" si="173"/>
        <v>0</v>
      </c>
      <c r="EX55" s="123" t="str">
        <f t="shared" si="63"/>
        <v/>
      </c>
      <c r="EY55" s="123" t="str">
        <f t="shared" si="174"/>
        <v/>
      </c>
      <c r="EZ55" s="123" t="str">
        <f t="shared" si="175"/>
        <v/>
      </c>
      <c r="FA55">
        <v>52</v>
      </c>
      <c r="FB55" s="108">
        <f>Data!B53</f>
        <v>0</v>
      </c>
      <c r="FC55" s="129"/>
      <c r="FD55" s="129"/>
      <c r="FE55" s="129"/>
      <c r="FF55" s="129"/>
      <c r="FG55" s="129">
        <f t="shared" si="176"/>
        <v>0</v>
      </c>
      <c r="FH55" s="129"/>
      <c r="FI55" s="129">
        <f t="shared" si="177"/>
        <v>0</v>
      </c>
      <c r="FJ55" s="129" t="str">
        <f t="shared" si="68"/>
        <v/>
      </c>
      <c r="FK55" s="129" t="str">
        <f t="shared" si="178"/>
        <v/>
      </c>
      <c r="FL55" s="129" t="str">
        <f t="shared" si="179"/>
        <v/>
      </c>
      <c r="FM55">
        <v>52</v>
      </c>
      <c r="FN55" s="108">
        <f>Data!B53</f>
        <v>0</v>
      </c>
      <c r="FO55" s="130"/>
      <c r="FP55" s="130"/>
      <c r="FQ55" s="130"/>
      <c r="FR55" s="130"/>
      <c r="FS55" s="130">
        <f t="shared" si="180"/>
        <v>0</v>
      </c>
      <c r="FT55" s="130"/>
      <c r="FU55" s="130">
        <f t="shared" si="181"/>
        <v>0</v>
      </c>
      <c r="FV55" s="130" t="str">
        <f t="shared" si="73"/>
        <v/>
      </c>
      <c r="FW55" s="130" t="str">
        <f t="shared" si="182"/>
        <v/>
      </c>
      <c r="FX55" s="130" t="str">
        <f t="shared" si="183"/>
        <v/>
      </c>
      <c r="FY55">
        <v>52</v>
      </c>
      <c r="FZ55" s="108">
        <f>Data!B53</f>
        <v>0</v>
      </c>
      <c r="GA55" s="131"/>
      <c r="GB55" s="131"/>
      <c r="GC55" s="131"/>
      <c r="GD55" s="131"/>
      <c r="GE55" s="131">
        <f t="shared" si="184"/>
        <v>0</v>
      </c>
      <c r="GF55" s="131"/>
      <c r="GG55" s="131">
        <f t="shared" si="185"/>
        <v>0</v>
      </c>
      <c r="GH55" s="131" t="str">
        <f t="shared" si="78"/>
        <v/>
      </c>
      <c r="GI55" s="131" t="str">
        <f t="shared" si="186"/>
        <v/>
      </c>
      <c r="GJ55" s="131" t="str">
        <f t="shared" si="187"/>
        <v/>
      </c>
      <c r="GK55">
        <v>52</v>
      </c>
      <c r="GL55" s="108">
        <f>Data!B53</f>
        <v>0</v>
      </c>
      <c r="GM55" s="133"/>
      <c r="GN55" s="133"/>
      <c r="GO55" s="133"/>
      <c r="GP55" s="133"/>
      <c r="GQ55" s="133">
        <f t="shared" si="188"/>
        <v>0</v>
      </c>
      <c r="GR55" s="133"/>
      <c r="GS55" s="133">
        <f t="shared" si="189"/>
        <v>0</v>
      </c>
      <c r="GT55" s="133" t="str">
        <f t="shared" si="83"/>
        <v/>
      </c>
      <c r="GU55" s="133" t="str">
        <f t="shared" si="190"/>
        <v/>
      </c>
      <c r="GV55" s="133" t="str">
        <f t="shared" si="191"/>
        <v/>
      </c>
      <c r="GW55">
        <v>52</v>
      </c>
      <c r="GX55" s="108">
        <f>Data!B53</f>
        <v>0</v>
      </c>
      <c r="GY55" s="119"/>
      <c r="GZ55" s="119"/>
      <c r="HA55" s="119"/>
      <c r="HB55" s="119"/>
      <c r="HC55" s="119">
        <f t="shared" si="192"/>
        <v>0</v>
      </c>
      <c r="HD55" s="119"/>
      <c r="HE55" s="119">
        <f t="shared" si="193"/>
        <v>0</v>
      </c>
      <c r="HF55" s="119" t="str">
        <f t="shared" si="88"/>
        <v/>
      </c>
      <c r="HG55" s="119" t="str">
        <f t="shared" si="194"/>
        <v/>
      </c>
      <c r="HH55" s="119" t="str">
        <f t="shared" si="195"/>
        <v/>
      </c>
      <c r="HI55">
        <v>52</v>
      </c>
      <c r="HJ55" s="108">
        <f>Data!B53</f>
        <v>0</v>
      </c>
      <c r="HK55" s="144"/>
      <c r="HL55" s="145"/>
      <c r="HM55" s="145"/>
      <c r="HN55" s="145"/>
      <c r="HO55" s="136">
        <f t="shared" si="196"/>
        <v>0</v>
      </c>
      <c r="HP55" s="144"/>
      <c r="HQ55" s="136">
        <f t="shared" si="197"/>
        <v>0</v>
      </c>
      <c r="HR55" s="136" t="str">
        <f t="shared" si="93"/>
        <v/>
      </c>
      <c r="HS55" s="136" t="str">
        <f t="shared" si="198"/>
        <v/>
      </c>
      <c r="HT55" s="136" t="str">
        <f t="shared" si="199"/>
        <v/>
      </c>
      <c r="HU55">
        <v>52</v>
      </c>
      <c r="HV55" s="108">
        <f>Data!B53</f>
        <v>0</v>
      </c>
      <c r="HW55" s="117"/>
      <c r="HX55" s="117"/>
      <c r="HY55" s="117"/>
      <c r="HZ55" s="117"/>
      <c r="IA55" s="117">
        <f t="shared" si="200"/>
        <v>0</v>
      </c>
      <c r="IB55" s="117"/>
      <c r="IC55" s="117">
        <f t="shared" si="201"/>
        <v>0</v>
      </c>
      <c r="ID55" s="117" t="str">
        <f t="shared" si="98"/>
        <v/>
      </c>
      <c r="IE55" s="117" t="str">
        <f t="shared" si="202"/>
        <v/>
      </c>
      <c r="IF55" s="117" t="str">
        <f t="shared" si="203"/>
        <v/>
      </c>
      <c r="IG55">
        <v>52</v>
      </c>
      <c r="IH55" s="108">
        <f>Data!B53</f>
        <v>0</v>
      </c>
      <c r="II55" s="137"/>
      <c r="IJ55" s="137"/>
      <c r="IK55" s="137"/>
      <c r="IL55" s="137"/>
      <c r="IM55" s="137">
        <f t="shared" si="204"/>
        <v>0</v>
      </c>
      <c r="IN55" s="137"/>
      <c r="IO55" s="137">
        <f t="shared" si="205"/>
        <v>0</v>
      </c>
      <c r="IP55" s="137" t="str">
        <f t="shared" si="103"/>
        <v/>
      </c>
      <c r="IQ55" s="137" t="str">
        <f t="shared" si="206"/>
        <v/>
      </c>
      <c r="IR55" s="137" t="str">
        <f t="shared" si="207"/>
        <v/>
      </c>
      <c r="IS55">
        <v>52</v>
      </c>
      <c r="IT55" s="108">
        <f t="shared" si="208"/>
        <v>0</v>
      </c>
      <c r="IU55" s="131"/>
      <c r="IV55" s="131"/>
      <c r="IW55" s="131"/>
      <c r="IX55" s="131"/>
      <c r="IY55" s="131">
        <f t="shared" si="209"/>
        <v>0</v>
      </c>
      <c r="IZ55" s="131"/>
      <c r="JA55" s="131">
        <f t="shared" si="210"/>
        <v>0</v>
      </c>
      <c r="JB55" s="131" t="str">
        <f t="shared" si="109"/>
        <v/>
      </c>
      <c r="JC55" s="131" t="str">
        <f t="shared" si="211"/>
        <v/>
      </c>
      <c r="JD55" s="131" t="str">
        <f t="shared" si="212"/>
        <v/>
      </c>
      <c r="JE55">
        <v>52</v>
      </c>
      <c r="JF55" s="108">
        <f t="shared" si="213"/>
        <v>0</v>
      </c>
      <c r="JG55" s="113"/>
      <c r="JH55" s="113"/>
      <c r="JI55" s="113"/>
      <c r="JJ55" s="113"/>
      <c r="JK55" s="113">
        <f t="shared" si="214"/>
        <v>0</v>
      </c>
      <c r="JL55" s="113"/>
      <c r="JM55" s="113">
        <f t="shared" si="215"/>
        <v>0</v>
      </c>
      <c r="JN55" s="113" t="str">
        <f t="shared" si="115"/>
        <v/>
      </c>
      <c r="JO55" s="113" t="str">
        <f t="shared" si="216"/>
        <v/>
      </c>
      <c r="JP55" s="113" t="str">
        <f t="shared" si="217"/>
        <v/>
      </c>
      <c r="JQ55">
        <v>52</v>
      </c>
      <c r="JR55" s="108">
        <f t="shared" si="218"/>
        <v>0</v>
      </c>
      <c r="JS55" s="140"/>
      <c r="JT55" s="140"/>
      <c r="JU55" s="140"/>
      <c r="JV55" s="140"/>
      <c r="JW55" s="111">
        <f t="shared" si="219"/>
        <v>0</v>
      </c>
      <c r="JX55" s="141"/>
      <c r="JY55" s="111">
        <f t="shared" si="220"/>
        <v>0</v>
      </c>
      <c r="JZ55" s="111" t="str">
        <f t="shared" si="120"/>
        <v/>
      </c>
      <c r="KA55" s="111" t="str">
        <f t="shared" si="221"/>
        <v/>
      </c>
      <c r="KB55" s="111" t="str">
        <f t="shared" si="222"/>
        <v/>
      </c>
    </row>
    <row r="56" spans="1:308">
      <c r="A56" s="48"/>
      <c r="B56" s="108">
        <f>Data!B54</f>
        <v>0</v>
      </c>
      <c r="C56" s="109"/>
      <c r="D56" s="109"/>
      <c r="E56" s="109"/>
      <c r="F56" s="109"/>
      <c r="G56" s="111"/>
      <c r="H56" s="111"/>
      <c r="I56" s="111"/>
      <c r="J56" s="110" t="str">
        <f t="shared" si="3"/>
        <v/>
      </c>
      <c r="K56" s="110" t="str">
        <f t="shared" si="4"/>
        <v/>
      </c>
      <c r="L56" s="110" t="str">
        <f t="shared" si="5"/>
        <v/>
      </c>
      <c r="M56" s="48">
        <v>53</v>
      </c>
      <c r="N56" s="108">
        <f>Data!B54</f>
        <v>0</v>
      </c>
      <c r="O56" s="111"/>
      <c r="P56" s="111"/>
      <c r="Q56" s="111"/>
      <c r="R56" s="111"/>
      <c r="S56" s="111">
        <f t="shared" si="6"/>
        <v>0</v>
      </c>
      <c r="T56" s="111"/>
      <c r="U56" s="111">
        <f t="shared" si="7"/>
        <v>0</v>
      </c>
      <c r="V56" s="111" t="str">
        <f t="shared" si="8"/>
        <v/>
      </c>
      <c r="W56" s="111" t="str">
        <f t="shared" si="135"/>
        <v/>
      </c>
      <c r="X56" s="111" t="str">
        <f t="shared" si="10"/>
        <v/>
      </c>
      <c r="Y56" s="42">
        <v>50</v>
      </c>
      <c r="Z56" s="108">
        <f>Data!B54</f>
        <v>0</v>
      </c>
      <c r="AA56" s="113"/>
      <c r="AB56" s="113"/>
      <c r="AC56" s="113"/>
      <c r="AD56" s="113"/>
      <c r="AE56" s="113">
        <f t="shared" si="137"/>
        <v>0</v>
      </c>
      <c r="AF56" s="113"/>
      <c r="AG56" s="113">
        <f t="shared" si="12"/>
        <v>0</v>
      </c>
      <c r="AH56" s="113" t="str">
        <f t="shared" si="13"/>
        <v/>
      </c>
      <c r="AI56" s="113" t="str">
        <f t="shared" si="133"/>
        <v/>
      </c>
      <c r="AJ56" s="113" t="str">
        <f t="shared" si="15"/>
        <v/>
      </c>
      <c r="AK56" s="42">
        <v>53</v>
      </c>
      <c r="AL56" s="108">
        <f>Data!B54</f>
        <v>0</v>
      </c>
      <c r="AM56" s="115"/>
      <c r="AN56" s="115"/>
      <c r="AO56" s="115"/>
      <c r="AP56" s="115"/>
      <c r="AQ56" s="115">
        <f t="shared" si="16"/>
        <v>0</v>
      </c>
      <c r="AR56" s="115"/>
      <c r="AS56" s="115">
        <f t="shared" si="17"/>
        <v>0</v>
      </c>
      <c r="AT56" s="115" t="str">
        <f t="shared" si="18"/>
        <v/>
      </c>
      <c r="AU56" s="115" t="str">
        <f t="shared" si="138"/>
        <v/>
      </c>
      <c r="AV56" s="115" t="str">
        <f t="shared" si="139"/>
        <v/>
      </c>
      <c r="AW56" s="42">
        <v>53</v>
      </c>
      <c r="AX56" s="108">
        <f>Data!B54</f>
        <v>0</v>
      </c>
      <c r="AY56" s="117"/>
      <c r="AZ56" s="117"/>
      <c r="BA56" s="117"/>
      <c r="BB56" s="117"/>
      <c r="BC56" s="117">
        <f t="shared" si="140"/>
        <v>0</v>
      </c>
      <c r="BD56" s="117"/>
      <c r="BE56" s="117">
        <f t="shared" si="141"/>
        <v>0</v>
      </c>
      <c r="BF56" s="117" t="str">
        <f t="shared" si="23"/>
        <v/>
      </c>
      <c r="BG56" s="117" t="str">
        <f t="shared" si="142"/>
        <v/>
      </c>
      <c r="BH56" s="117" t="str">
        <f t="shared" si="143"/>
        <v/>
      </c>
      <c r="BI56" s="67">
        <v>53</v>
      </c>
      <c r="BJ56" s="108">
        <f>Data!B54</f>
        <v>0</v>
      </c>
      <c r="BK56" s="119"/>
      <c r="BL56" s="119"/>
      <c r="BM56" s="119"/>
      <c r="BN56" s="119"/>
      <c r="BO56" s="119">
        <f t="shared" si="144"/>
        <v>0</v>
      </c>
      <c r="BP56" s="119"/>
      <c r="BQ56" s="119">
        <f t="shared" si="145"/>
        <v>0</v>
      </c>
      <c r="BR56" s="119" t="str">
        <f t="shared" si="28"/>
        <v/>
      </c>
      <c r="BS56" s="119" t="str">
        <f t="shared" si="146"/>
        <v/>
      </c>
      <c r="BT56" s="119" t="str">
        <f t="shared" si="147"/>
        <v/>
      </c>
      <c r="BU56">
        <v>53</v>
      </c>
      <c r="BV56" s="108">
        <f>Data!B54</f>
        <v>0</v>
      </c>
      <c r="BW56" s="121"/>
      <c r="BX56" s="121"/>
      <c r="BY56" s="121"/>
      <c r="BZ56" s="121"/>
      <c r="CA56" s="121">
        <f t="shared" si="148"/>
        <v>0</v>
      </c>
      <c r="CB56" s="121"/>
      <c r="CC56" s="121">
        <f t="shared" si="149"/>
        <v>0</v>
      </c>
      <c r="CD56" s="121" t="str">
        <f t="shared" si="33"/>
        <v/>
      </c>
      <c r="CE56" s="121" t="str">
        <f t="shared" si="150"/>
        <v/>
      </c>
      <c r="CF56" s="121" t="str">
        <f t="shared" si="151"/>
        <v/>
      </c>
      <c r="CG56">
        <v>53</v>
      </c>
      <c r="CH56" s="108">
        <f>Data!B54</f>
        <v>0</v>
      </c>
      <c r="CI56" s="122"/>
      <c r="CJ56" s="122"/>
      <c r="CK56" s="122"/>
      <c r="CL56" s="122"/>
      <c r="CM56" s="122">
        <f t="shared" si="152"/>
        <v>0</v>
      </c>
      <c r="CN56" s="122"/>
      <c r="CO56" s="122">
        <f t="shared" si="153"/>
        <v>0</v>
      </c>
      <c r="CP56" s="122" t="str">
        <f t="shared" si="38"/>
        <v/>
      </c>
      <c r="CQ56" s="122" t="str">
        <f t="shared" si="154"/>
        <v/>
      </c>
      <c r="CR56" s="122" t="str">
        <f t="shared" si="155"/>
        <v/>
      </c>
      <c r="CS56">
        <v>53</v>
      </c>
      <c r="CT56" s="108">
        <f>Data!B54</f>
        <v>0</v>
      </c>
      <c r="CU56" s="123"/>
      <c r="CV56" s="123"/>
      <c r="CW56" s="123"/>
      <c r="CX56" s="123"/>
      <c r="CY56" s="123">
        <f t="shared" si="156"/>
        <v>0</v>
      </c>
      <c r="CZ56" s="123"/>
      <c r="DA56" s="123">
        <f t="shared" si="157"/>
        <v>0</v>
      </c>
      <c r="DB56" s="123" t="str">
        <f t="shared" si="43"/>
        <v/>
      </c>
      <c r="DC56" s="123" t="str">
        <f t="shared" si="158"/>
        <v/>
      </c>
      <c r="DD56" s="123" t="str">
        <f t="shared" si="159"/>
        <v/>
      </c>
      <c r="DE56">
        <v>53</v>
      </c>
      <c r="DF56" s="108">
        <f>Data!B54</f>
        <v>0</v>
      </c>
      <c r="DG56" s="117"/>
      <c r="DH56" s="117"/>
      <c r="DI56" s="117"/>
      <c r="DJ56" s="117"/>
      <c r="DK56" s="117">
        <f t="shared" si="160"/>
        <v>0</v>
      </c>
      <c r="DL56" s="117"/>
      <c r="DM56" s="117">
        <f t="shared" si="161"/>
        <v>0</v>
      </c>
      <c r="DN56" s="117" t="str">
        <f t="shared" si="48"/>
        <v/>
      </c>
      <c r="DO56" s="117" t="str">
        <f t="shared" si="162"/>
        <v/>
      </c>
      <c r="DP56" s="117" t="str">
        <f t="shared" si="163"/>
        <v/>
      </c>
      <c r="DQ56">
        <v>53</v>
      </c>
      <c r="DR56" s="108">
        <f>Data!B54</f>
        <v>0</v>
      </c>
      <c r="DS56" s="152"/>
      <c r="DT56" s="152"/>
      <c r="DU56" s="152"/>
      <c r="DV56" s="152"/>
      <c r="DW56" s="125">
        <f t="shared" si="164"/>
        <v>0</v>
      </c>
      <c r="DX56" s="154"/>
      <c r="DY56" s="125">
        <f t="shared" si="165"/>
        <v>0</v>
      </c>
      <c r="DZ56" s="125" t="str">
        <f t="shared" si="53"/>
        <v/>
      </c>
      <c r="EA56" s="125" t="str">
        <f t="shared" si="166"/>
        <v/>
      </c>
      <c r="EB56" s="125" t="str">
        <f t="shared" si="167"/>
        <v/>
      </c>
      <c r="EC56">
        <v>53</v>
      </c>
      <c r="ED56" s="108">
        <f>Data!B54</f>
        <v>0</v>
      </c>
      <c r="EE56" s="127"/>
      <c r="EF56" s="127"/>
      <c r="EG56" s="127"/>
      <c r="EH56" s="127"/>
      <c r="EI56" s="127">
        <f t="shared" si="168"/>
        <v>0</v>
      </c>
      <c r="EJ56" s="127"/>
      <c r="EK56" s="127">
        <f t="shared" si="169"/>
        <v>0</v>
      </c>
      <c r="EL56" s="127" t="str">
        <f t="shared" si="58"/>
        <v/>
      </c>
      <c r="EM56" s="127" t="str">
        <f t="shared" si="170"/>
        <v/>
      </c>
      <c r="EN56" s="127" t="str">
        <f t="shared" si="171"/>
        <v/>
      </c>
      <c r="EO56">
        <v>53</v>
      </c>
      <c r="EP56" s="128">
        <f>Data!B54</f>
        <v>0</v>
      </c>
      <c r="EQ56" s="123"/>
      <c r="ER56" s="123"/>
      <c r="ES56" s="123"/>
      <c r="ET56" s="123"/>
      <c r="EU56" s="123">
        <f t="shared" si="172"/>
        <v>0</v>
      </c>
      <c r="EV56" s="123"/>
      <c r="EW56" s="123">
        <f t="shared" si="173"/>
        <v>0</v>
      </c>
      <c r="EX56" s="123" t="str">
        <f t="shared" si="63"/>
        <v/>
      </c>
      <c r="EY56" s="123" t="str">
        <f t="shared" si="174"/>
        <v/>
      </c>
      <c r="EZ56" s="123" t="str">
        <f t="shared" si="175"/>
        <v/>
      </c>
      <c r="FA56">
        <v>53</v>
      </c>
      <c r="FB56" s="108">
        <f>Data!B54</f>
        <v>0</v>
      </c>
      <c r="FC56" s="129"/>
      <c r="FD56" s="129"/>
      <c r="FE56" s="129"/>
      <c r="FF56" s="129"/>
      <c r="FG56" s="129">
        <f t="shared" si="176"/>
        <v>0</v>
      </c>
      <c r="FH56" s="129"/>
      <c r="FI56" s="129">
        <f t="shared" si="177"/>
        <v>0</v>
      </c>
      <c r="FJ56" s="129" t="str">
        <f t="shared" si="68"/>
        <v/>
      </c>
      <c r="FK56" s="129" t="str">
        <f t="shared" si="178"/>
        <v/>
      </c>
      <c r="FL56" s="129" t="str">
        <f t="shared" si="179"/>
        <v/>
      </c>
      <c r="FM56">
        <v>53</v>
      </c>
      <c r="FN56" s="108">
        <f>Data!B54</f>
        <v>0</v>
      </c>
      <c r="FO56" s="130"/>
      <c r="FP56" s="130"/>
      <c r="FQ56" s="130"/>
      <c r="FR56" s="130"/>
      <c r="FS56" s="130">
        <f t="shared" si="180"/>
        <v>0</v>
      </c>
      <c r="FT56" s="130"/>
      <c r="FU56" s="130">
        <f t="shared" si="181"/>
        <v>0</v>
      </c>
      <c r="FV56" s="130" t="str">
        <f t="shared" si="73"/>
        <v/>
      </c>
      <c r="FW56" s="130" t="str">
        <f t="shared" si="182"/>
        <v/>
      </c>
      <c r="FX56" s="130" t="str">
        <f t="shared" si="183"/>
        <v/>
      </c>
      <c r="FY56">
        <v>53</v>
      </c>
      <c r="FZ56" s="108">
        <f>Data!B54</f>
        <v>0</v>
      </c>
      <c r="GA56" s="131"/>
      <c r="GB56" s="131"/>
      <c r="GC56" s="131"/>
      <c r="GD56" s="131"/>
      <c r="GE56" s="131">
        <f t="shared" si="184"/>
        <v>0</v>
      </c>
      <c r="GF56" s="131"/>
      <c r="GG56" s="131">
        <f t="shared" si="185"/>
        <v>0</v>
      </c>
      <c r="GH56" s="131" t="str">
        <f t="shared" si="78"/>
        <v/>
      </c>
      <c r="GI56" s="131" t="str">
        <f t="shared" si="186"/>
        <v/>
      </c>
      <c r="GJ56" s="131" t="str">
        <f t="shared" si="187"/>
        <v/>
      </c>
      <c r="GK56">
        <v>53</v>
      </c>
      <c r="GL56" s="108">
        <f>Data!B54</f>
        <v>0</v>
      </c>
      <c r="GM56" s="133"/>
      <c r="GN56" s="133"/>
      <c r="GO56" s="133"/>
      <c r="GP56" s="133"/>
      <c r="GQ56" s="133">
        <f t="shared" si="188"/>
        <v>0</v>
      </c>
      <c r="GR56" s="133"/>
      <c r="GS56" s="133">
        <f t="shared" si="189"/>
        <v>0</v>
      </c>
      <c r="GT56" s="133" t="str">
        <f t="shared" si="83"/>
        <v/>
      </c>
      <c r="GU56" s="133" t="str">
        <f t="shared" si="190"/>
        <v/>
      </c>
      <c r="GV56" s="133" t="str">
        <f t="shared" si="191"/>
        <v/>
      </c>
      <c r="GW56">
        <v>53</v>
      </c>
      <c r="GX56" s="108">
        <f>Data!B54</f>
        <v>0</v>
      </c>
      <c r="GY56" s="119"/>
      <c r="GZ56" s="119"/>
      <c r="HA56" s="119"/>
      <c r="HB56" s="119"/>
      <c r="HC56" s="119">
        <f t="shared" si="192"/>
        <v>0</v>
      </c>
      <c r="HD56" s="119"/>
      <c r="HE56" s="119">
        <f t="shared" si="193"/>
        <v>0</v>
      </c>
      <c r="HF56" s="119" t="str">
        <f t="shared" si="88"/>
        <v/>
      </c>
      <c r="HG56" s="119" t="str">
        <f t="shared" si="194"/>
        <v/>
      </c>
      <c r="HH56" s="119" t="str">
        <f t="shared" si="195"/>
        <v/>
      </c>
      <c r="HI56">
        <v>53</v>
      </c>
      <c r="HJ56" s="108">
        <f>Data!B54</f>
        <v>0</v>
      </c>
      <c r="HK56" s="144"/>
      <c r="HL56" s="145"/>
      <c r="HM56" s="145"/>
      <c r="HN56" s="145"/>
      <c r="HO56" s="136">
        <f t="shared" si="196"/>
        <v>0</v>
      </c>
      <c r="HP56" s="144"/>
      <c r="HQ56" s="136">
        <f t="shared" si="197"/>
        <v>0</v>
      </c>
      <c r="HR56" s="136" t="str">
        <f t="shared" si="93"/>
        <v/>
      </c>
      <c r="HS56" s="136" t="str">
        <f t="shared" si="198"/>
        <v/>
      </c>
      <c r="HT56" s="136" t="str">
        <f t="shared" si="199"/>
        <v/>
      </c>
      <c r="HU56">
        <v>53</v>
      </c>
      <c r="HV56" s="108">
        <f>Data!B54</f>
        <v>0</v>
      </c>
      <c r="HW56" s="117"/>
      <c r="HX56" s="117"/>
      <c r="HY56" s="117"/>
      <c r="HZ56" s="117"/>
      <c r="IA56" s="117">
        <f t="shared" si="200"/>
        <v>0</v>
      </c>
      <c r="IB56" s="117"/>
      <c r="IC56" s="117">
        <f t="shared" si="201"/>
        <v>0</v>
      </c>
      <c r="ID56" s="117" t="str">
        <f t="shared" si="98"/>
        <v/>
      </c>
      <c r="IE56" s="117" t="str">
        <f t="shared" si="202"/>
        <v/>
      </c>
      <c r="IF56" s="117" t="str">
        <f t="shared" si="203"/>
        <v/>
      </c>
      <c r="IG56">
        <v>53</v>
      </c>
      <c r="IH56" s="108">
        <f>Data!B54</f>
        <v>0</v>
      </c>
      <c r="II56" s="137"/>
      <c r="IJ56" s="137"/>
      <c r="IK56" s="137"/>
      <c r="IL56" s="137"/>
      <c r="IM56" s="137">
        <f t="shared" si="204"/>
        <v>0</v>
      </c>
      <c r="IN56" s="137"/>
      <c r="IO56" s="137">
        <f t="shared" si="205"/>
        <v>0</v>
      </c>
      <c r="IP56" s="137" t="str">
        <f t="shared" si="103"/>
        <v/>
      </c>
      <c r="IQ56" s="137" t="str">
        <f t="shared" si="206"/>
        <v/>
      </c>
      <c r="IR56" s="137" t="str">
        <f t="shared" si="207"/>
        <v/>
      </c>
      <c r="IS56">
        <v>53</v>
      </c>
      <c r="IT56" s="108">
        <f t="shared" si="208"/>
        <v>0</v>
      </c>
      <c r="IU56" s="131"/>
      <c r="IV56" s="131"/>
      <c r="IW56" s="131"/>
      <c r="IX56" s="131"/>
      <c r="IY56" s="131">
        <f t="shared" si="209"/>
        <v>0</v>
      </c>
      <c r="IZ56" s="131"/>
      <c r="JA56" s="131">
        <f t="shared" si="210"/>
        <v>0</v>
      </c>
      <c r="JB56" s="131" t="str">
        <f t="shared" si="109"/>
        <v/>
      </c>
      <c r="JC56" s="131" t="str">
        <f t="shared" si="211"/>
        <v/>
      </c>
      <c r="JD56" s="131" t="str">
        <f t="shared" si="212"/>
        <v/>
      </c>
      <c r="JE56">
        <v>53</v>
      </c>
      <c r="JF56" s="108">
        <f t="shared" si="213"/>
        <v>0</v>
      </c>
      <c r="JG56" s="113"/>
      <c r="JH56" s="113"/>
      <c r="JI56" s="113"/>
      <c r="JJ56" s="113"/>
      <c r="JK56" s="113">
        <f t="shared" si="214"/>
        <v>0</v>
      </c>
      <c r="JL56" s="113"/>
      <c r="JM56" s="113">
        <f t="shared" si="215"/>
        <v>0</v>
      </c>
      <c r="JN56" s="113" t="str">
        <f t="shared" si="115"/>
        <v/>
      </c>
      <c r="JO56" s="113" t="str">
        <f t="shared" si="216"/>
        <v/>
      </c>
      <c r="JP56" s="113" t="str">
        <f t="shared" si="217"/>
        <v/>
      </c>
      <c r="JQ56">
        <v>53</v>
      </c>
      <c r="JR56" s="108">
        <f t="shared" si="218"/>
        <v>0</v>
      </c>
      <c r="JS56" s="140"/>
      <c r="JT56" s="140"/>
      <c r="JU56" s="140"/>
      <c r="JV56" s="140"/>
      <c r="JW56" s="111">
        <f t="shared" si="219"/>
        <v>0</v>
      </c>
      <c r="JX56" s="141"/>
      <c r="JY56" s="111">
        <f t="shared" si="220"/>
        <v>0</v>
      </c>
      <c r="JZ56" s="111" t="str">
        <f t="shared" si="120"/>
        <v/>
      </c>
      <c r="KA56" s="111" t="str">
        <f t="shared" si="221"/>
        <v/>
      </c>
      <c r="KB56" s="111" t="str">
        <f t="shared" si="222"/>
        <v/>
      </c>
    </row>
    <row r="57" spans="1:308">
      <c r="B57" s="108">
        <f>Data!B55</f>
        <v>0</v>
      </c>
      <c r="C57" s="109"/>
      <c r="D57" s="109"/>
      <c r="E57" s="109"/>
      <c r="F57" s="109"/>
      <c r="G57" s="111"/>
      <c r="H57" s="111"/>
      <c r="I57" s="111"/>
      <c r="J57" s="110" t="str">
        <f t="shared" si="3"/>
        <v/>
      </c>
      <c r="K57" s="110" t="str">
        <f t="shared" si="4"/>
        <v/>
      </c>
      <c r="L57" s="110" t="str">
        <f t="shared" si="5"/>
        <v/>
      </c>
      <c r="M57" s="48">
        <v>54</v>
      </c>
      <c r="N57" s="108">
        <f>Data!B55</f>
        <v>0</v>
      </c>
      <c r="O57" s="111"/>
      <c r="P57" s="111"/>
      <c r="Q57" s="111"/>
      <c r="R57" s="111"/>
      <c r="S57" s="111">
        <f t="shared" si="6"/>
        <v>0</v>
      </c>
      <c r="T57" s="111"/>
      <c r="U57" s="111">
        <f t="shared" si="7"/>
        <v>0</v>
      </c>
      <c r="V57" s="111" t="str">
        <f t="shared" si="8"/>
        <v/>
      </c>
      <c r="W57" s="111" t="str">
        <f t="shared" si="135"/>
        <v/>
      </c>
      <c r="X57" s="111" t="str">
        <f t="shared" si="10"/>
        <v/>
      </c>
      <c r="Y57" s="42">
        <v>50</v>
      </c>
      <c r="Z57" s="108">
        <f>Data!B55</f>
        <v>0</v>
      </c>
      <c r="AA57" s="113"/>
      <c r="AB57" s="113"/>
      <c r="AC57" s="113"/>
      <c r="AD57" s="113"/>
      <c r="AE57" s="113">
        <f t="shared" si="137"/>
        <v>0</v>
      </c>
      <c r="AF57" s="113"/>
      <c r="AG57" s="113">
        <f t="shared" si="12"/>
        <v>0</v>
      </c>
      <c r="AH57" s="113" t="str">
        <f t="shared" si="13"/>
        <v/>
      </c>
      <c r="AI57" s="113" t="str">
        <f t="shared" si="133"/>
        <v/>
      </c>
      <c r="AJ57" s="113" t="str">
        <f t="shared" si="15"/>
        <v/>
      </c>
      <c r="AK57" s="42">
        <v>54</v>
      </c>
      <c r="AL57" s="108">
        <f>Data!B55</f>
        <v>0</v>
      </c>
      <c r="AM57" s="115"/>
      <c r="AN57" s="115"/>
      <c r="AO57" s="115"/>
      <c r="AP57" s="115"/>
      <c r="AQ57" s="115">
        <f t="shared" si="16"/>
        <v>0</v>
      </c>
      <c r="AR57" s="115"/>
      <c r="AS57" s="115">
        <f t="shared" si="17"/>
        <v>0</v>
      </c>
      <c r="AT57" s="115" t="str">
        <f t="shared" si="18"/>
        <v/>
      </c>
      <c r="AU57" s="115" t="str">
        <f t="shared" si="138"/>
        <v/>
      </c>
      <c r="AV57" s="115" t="str">
        <f t="shared" si="139"/>
        <v/>
      </c>
      <c r="AW57" s="42">
        <v>54</v>
      </c>
      <c r="AX57" s="108">
        <f>Data!B55</f>
        <v>0</v>
      </c>
      <c r="AY57" s="117"/>
      <c r="AZ57" s="117"/>
      <c r="BA57" s="117"/>
      <c r="BB57" s="117"/>
      <c r="BC57" s="117">
        <f t="shared" si="140"/>
        <v>0</v>
      </c>
      <c r="BD57" s="117"/>
      <c r="BE57" s="117">
        <f t="shared" si="141"/>
        <v>0</v>
      </c>
      <c r="BF57" s="117" t="str">
        <f t="shared" si="23"/>
        <v/>
      </c>
      <c r="BG57" s="117" t="str">
        <f t="shared" si="142"/>
        <v/>
      </c>
      <c r="BH57" s="117" t="str">
        <f t="shared" si="143"/>
        <v/>
      </c>
      <c r="BI57" s="67">
        <v>54</v>
      </c>
      <c r="BJ57" s="108">
        <f>Data!B55</f>
        <v>0</v>
      </c>
      <c r="BK57" s="119"/>
      <c r="BL57" s="119"/>
      <c r="BM57" s="119"/>
      <c r="BN57" s="119"/>
      <c r="BO57" s="119">
        <f t="shared" si="144"/>
        <v>0</v>
      </c>
      <c r="BP57" s="119"/>
      <c r="BQ57" s="119">
        <f t="shared" si="145"/>
        <v>0</v>
      </c>
      <c r="BR57" s="119" t="str">
        <f t="shared" si="28"/>
        <v/>
      </c>
      <c r="BS57" s="119" t="str">
        <f t="shared" si="146"/>
        <v/>
      </c>
      <c r="BT57" s="119" t="str">
        <f t="shared" si="147"/>
        <v/>
      </c>
      <c r="BU57">
        <v>54</v>
      </c>
      <c r="BV57" s="108">
        <f>Data!B55</f>
        <v>0</v>
      </c>
      <c r="BW57" s="121"/>
      <c r="BX57" s="121"/>
      <c r="BY57" s="121"/>
      <c r="BZ57" s="121"/>
      <c r="CA57" s="121">
        <f t="shared" si="148"/>
        <v>0</v>
      </c>
      <c r="CB57" s="121"/>
      <c r="CC57" s="121">
        <f t="shared" si="149"/>
        <v>0</v>
      </c>
      <c r="CD57" s="121" t="str">
        <f t="shared" si="33"/>
        <v/>
      </c>
      <c r="CE57" s="121" t="str">
        <f t="shared" si="150"/>
        <v/>
      </c>
      <c r="CF57" s="121" t="str">
        <f t="shared" si="151"/>
        <v/>
      </c>
      <c r="CG57">
        <v>54</v>
      </c>
      <c r="CH57" s="108">
        <f>Data!B55</f>
        <v>0</v>
      </c>
      <c r="CI57" s="122"/>
      <c r="CJ57" s="122"/>
      <c r="CK57" s="122"/>
      <c r="CL57" s="122"/>
      <c r="CM57" s="122">
        <f t="shared" si="152"/>
        <v>0</v>
      </c>
      <c r="CN57" s="122"/>
      <c r="CO57" s="122">
        <f t="shared" si="153"/>
        <v>0</v>
      </c>
      <c r="CP57" s="122" t="str">
        <f t="shared" si="38"/>
        <v/>
      </c>
      <c r="CQ57" s="122" t="str">
        <f t="shared" si="154"/>
        <v/>
      </c>
      <c r="CR57" s="122" t="str">
        <f t="shared" si="155"/>
        <v/>
      </c>
      <c r="CS57">
        <v>54</v>
      </c>
      <c r="CT57" s="108">
        <f>Data!B55</f>
        <v>0</v>
      </c>
      <c r="CU57" s="123"/>
      <c r="CV57" s="123"/>
      <c r="CW57" s="123"/>
      <c r="CX57" s="123"/>
      <c r="CY57" s="123">
        <f t="shared" si="156"/>
        <v>0</v>
      </c>
      <c r="CZ57" s="123"/>
      <c r="DA57" s="123">
        <f t="shared" si="157"/>
        <v>0</v>
      </c>
      <c r="DB57" s="123" t="str">
        <f t="shared" si="43"/>
        <v/>
      </c>
      <c r="DC57" s="123" t="str">
        <f t="shared" si="158"/>
        <v/>
      </c>
      <c r="DD57" s="123" t="str">
        <f t="shared" si="159"/>
        <v/>
      </c>
      <c r="DE57">
        <v>54</v>
      </c>
      <c r="DF57" s="108">
        <f>Data!B55</f>
        <v>0</v>
      </c>
      <c r="DG57" s="117"/>
      <c r="DH57" s="117"/>
      <c r="DI57" s="117"/>
      <c r="DJ57" s="117"/>
      <c r="DK57" s="117">
        <f t="shared" si="160"/>
        <v>0</v>
      </c>
      <c r="DL57" s="117"/>
      <c r="DM57" s="117">
        <f t="shared" si="161"/>
        <v>0</v>
      </c>
      <c r="DN57" s="117" t="str">
        <f t="shared" si="48"/>
        <v/>
      </c>
      <c r="DO57" s="117" t="str">
        <f t="shared" si="162"/>
        <v/>
      </c>
      <c r="DP57" s="117" t="str">
        <f t="shared" si="163"/>
        <v/>
      </c>
      <c r="DQ57">
        <v>54</v>
      </c>
      <c r="DR57" s="108">
        <f>Data!B55</f>
        <v>0</v>
      </c>
      <c r="DS57" s="152"/>
      <c r="DT57" s="152"/>
      <c r="DU57" s="152"/>
      <c r="DV57" s="152"/>
      <c r="DW57" s="125">
        <f t="shared" si="164"/>
        <v>0</v>
      </c>
      <c r="DX57" s="154"/>
      <c r="DY57" s="125">
        <f t="shared" si="165"/>
        <v>0</v>
      </c>
      <c r="DZ57" s="125" t="str">
        <f t="shared" si="53"/>
        <v/>
      </c>
      <c r="EA57" s="125" t="str">
        <f t="shared" si="166"/>
        <v/>
      </c>
      <c r="EB57" s="125" t="str">
        <f t="shared" si="167"/>
        <v/>
      </c>
      <c r="EC57">
        <v>54</v>
      </c>
      <c r="ED57" s="108">
        <f>Data!B55</f>
        <v>0</v>
      </c>
      <c r="EE57" s="127"/>
      <c r="EF57" s="127"/>
      <c r="EG57" s="127"/>
      <c r="EH57" s="127"/>
      <c r="EI57" s="127">
        <f t="shared" si="168"/>
        <v>0</v>
      </c>
      <c r="EJ57" s="127"/>
      <c r="EK57" s="127">
        <f t="shared" si="169"/>
        <v>0</v>
      </c>
      <c r="EL57" s="127" t="str">
        <f t="shared" si="58"/>
        <v/>
      </c>
      <c r="EM57" s="127" t="str">
        <f t="shared" si="170"/>
        <v/>
      </c>
      <c r="EN57" s="127" t="str">
        <f t="shared" si="171"/>
        <v/>
      </c>
      <c r="EO57">
        <v>54</v>
      </c>
      <c r="EP57" s="128">
        <f>Data!B55</f>
        <v>0</v>
      </c>
      <c r="EQ57" s="123"/>
      <c r="ER57" s="123"/>
      <c r="ES57" s="123"/>
      <c r="ET57" s="123"/>
      <c r="EU57" s="123">
        <f t="shared" si="172"/>
        <v>0</v>
      </c>
      <c r="EV57" s="123"/>
      <c r="EW57" s="123">
        <f t="shared" si="173"/>
        <v>0</v>
      </c>
      <c r="EX57" s="123" t="str">
        <f t="shared" si="63"/>
        <v/>
      </c>
      <c r="EY57" s="123" t="str">
        <f t="shared" si="174"/>
        <v/>
      </c>
      <c r="EZ57" s="123" t="str">
        <f t="shared" si="175"/>
        <v/>
      </c>
      <c r="FA57">
        <v>54</v>
      </c>
      <c r="FB57" s="108">
        <f>Data!B55</f>
        <v>0</v>
      </c>
      <c r="FC57" s="129"/>
      <c r="FD57" s="129"/>
      <c r="FE57" s="129"/>
      <c r="FF57" s="129"/>
      <c r="FG57" s="129">
        <f t="shared" si="176"/>
        <v>0</v>
      </c>
      <c r="FH57" s="129"/>
      <c r="FI57" s="129">
        <f t="shared" si="177"/>
        <v>0</v>
      </c>
      <c r="FJ57" s="129" t="str">
        <f t="shared" si="68"/>
        <v/>
      </c>
      <c r="FK57" s="129" t="str">
        <f t="shared" si="178"/>
        <v/>
      </c>
      <c r="FL57" s="129" t="str">
        <f t="shared" si="179"/>
        <v/>
      </c>
      <c r="FM57">
        <v>54</v>
      </c>
      <c r="FN57" s="108">
        <f>Data!B55</f>
        <v>0</v>
      </c>
      <c r="FO57" s="130"/>
      <c r="FP57" s="130"/>
      <c r="FQ57" s="130"/>
      <c r="FR57" s="130"/>
      <c r="FS57" s="130">
        <f t="shared" si="180"/>
        <v>0</v>
      </c>
      <c r="FT57" s="130"/>
      <c r="FU57" s="130">
        <f t="shared" si="181"/>
        <v>0</v>
      </c>
      <c r="FV57" s="130" t="str">
        <f t="shared" si="73"/>
        <v/>
      </c>
      <c r="FW57" s="130" t="str">
        <f t="shared" si="182"/>
        <v/>
      </c>
      <c r="FX57" s="130" t="str">
        <f t="shared" si="183"/>
        <v/>
      </c>
      <c r="FY57">
        <v>54</v>
      </c>
      <c r="FZ57" s="108">
        <f>Data!B55</f>
        <v>0</v>
      </c>
      <c r="GA57" s="131"/>
      <c r="GB57" s="131"/>
      <c r="GC57" s="131"/>
      <c r="GD57" s="131"/>
      <c r="GE57" s="131">
        <f t="shared" si="184"/>
        <v>0</v>
      </c>
      <c r="GF57" s="131"/>
      <c r="GG57" s="131">
        <f t="shared" si="185"/>
        <v>0</v>
      </c>
      <c r="GH57" s="131" t="str">
        <f t="shared" si="78"/>
        <v/>
      </c>
      <c r="GI57" s="131" t="str">
        <f t="shared" si="186"/>
        <v/>
      </c>
      <c r="GJ57" s="131" t="str">
        <f t="shared" si="187"/>
        <v/>
      </c>
      <c r="GK57">
        <v>54</v>
      </c>
      <c r="GL57" s="108">
        <f>Data!B55</f>
        <v>0</v>
      </c>
      <c r="GM57" s="133"/>
      <c r="GN57" s="133"/>
      <c r="GO57" s="133"/>
      <c r="GP57" s="133"/>
      <c r="GQ57" s="133">
        <f t="shared" si="188"/>
        <v>0</v>
      </c>
      <c r="GR57" s="133"/>
      <c r="GS57" s="133">
        <f t="shared" si="189"/>
        <v>0</v>
      </c>
      <c r="GT57" s="133" t="str">
        <f t="shared" si="83"/>
        <v/>
      </c>
      <c r="GU57" s="133" t="str">
        <f t="shared" si="190"/>
        <v/>
      </c>
      <c r="GV57" s="133" t="str">
        <f t="shared" si="191"/>
        <v/>
      </c>
      <c r="GW57">
        <v>54</v>
      </c>
      <c r="GX57" s="108">
        <f>Data!B55</f>
        <v>0</v>
      </c>
      <c r="GY57" s="119"/>
      <c r="GZ57" s="119"/>
      <c r="HA57" s="119"/>
      <c r="HB57" s="119"/>
      <c r="HC57" s="119">
        <f t="shared" si="192"/>
        <v>0</v>
      </c>
      <c r="HD57" s="119"/>
      <c r="HE57" s="119">
        <f t="shared" si="193"/>
        <v>0</v>
      </c>
      <c r="HF57" s="119" t="str">
        <f t="shared" si="88"/>
        <v/>
      </c>
      <c r="HG57" s="119" t="str">
        <f t="shared" si="194"/>
        <v/>
      </c>
      <c r="HH57" s="119" t="str">
        <f t="shared" si="195"/>
        <v/>
      </c>
      <c r="HI57">
        <v>54</v>
      </c>
      <c r="HJ57" s="108">
        <f>Data!B55</f>
        <v>0</v>
      </c>
      <c r="HK57" s="144"/>
      <c r="HL57" s="145"/>
      <c r="HM57" s="145"/>
      <c r="HN57" s="145"/>
      <c r="HO57" s="136">
        <f t="shared" si="196"/>
        <v>0</v>
      </c>
      <c r="HP57" s="144"/>
      <c r="HQ57" s="136">
        <f t="shared" si="197"/>
        <v>0</v>
      </c>
      <c r="HR57" s="136" t="str">
        <f t="shared" si="93"/>
        <v/>
      </c>
      <c r="HS57" s="136" t="str">
        <f t="shared" si="198"/>
        <v/>
      </c>
      <c r="HT57" s="136" t="str">
        <f t="shared" si="199"/>
        <v/>
      </c>
      <c r="HU57">
        <v>54</v>
      </c>
      <c r="HV57" s="108">
        <f>Data!B55</f>
        <v>0</v>
      </c>
      <c r="HW57" s="117"/>
      <c r="HX57" s="117"/>
      <c r="HY57" s="117"/>
      <c r="HZ57" s="117"/>
      <c r="IA57" s="117">
        <f t="shared" si="200"/>
        <v>0</v>
      </c>
      <c r="IB57" s="117"/>
      <c r="IC57" s="117">
        <f t="shared" si="201"/>
        <v>0</v>
      </c>
      <c r="ID57" s="117" t="str">
        <f t="shared" si="98"/>
        <v/>
      </c>
      <c r="IE57" s="117" t="str">
        <f t="shared" si="202"/>
        <v/>
      </c>
      <c r="IF57" s="117" t="str">
        <f t="shared" si="203"/>
        <v/>
      </c>
      <c r="IG57">
        <v>54</v>
      </c>
      <c r="IH57" s="108">
        <f>Data!B55</f>
        <v>0</v>
      </c>
      <c r="II57" s="137"/>
      <c r="IJ57" s="137"/>
      <c r="IK57" s="137"/>
      <c r="IL57" s="137"/>
      <c r="IM57" s="137">
        <f t="shared" si="204"/>
        <v>0</v>
      </c>
      <c r="IN57" s="137"/>
      <c r="IO57" s="137">
        <f t="shared" si="205"/>
        <v>0</v>
      </c>
      <c r="IP57" s="137" t="str">
        <f t="shared" si="103"/>
        <v/>
      </c>
      <c r="IQ57" s="137" t="str">
        <f t="shared" si="206"/>
        <v/>
      </c>
      <c r="IR57" s="137" t="str">
        <f t="shared" si="207"/>
        <v/>
      </c>
      <c r="IS57">
        <v>54</v>
      </c>
      <c r="IT57" s="108">
        <f t="shared" si="208"/>
        <v>0</v>
      </c>
      <c r="IU57" s="131"/>
      <c r="IV57" s="131"/>
      <c r="IW57" s="131"/>
      <c r="IX57" s="131"/>
      <c r="IY57" s="131">
        <f t="shared" si="209"/>
        <v>0</v>
      </c>
      <c r="IZ57" s="131"/>
      <c r="JA57" s="131">
        <f t="shared" si="210"/>
        <v>0</v>
      </c>
      <c r="JB57" s="131" t="str">
        <f t="shared" si="109"/>
        <v/>
      </c>
      <c r="JC57" s="131" t="str">
        <f t="shared" si="211"/>
        <v/>
      </c>
      <c r="JD57" s="131" t="str">
        <f t="shared" si="212"/>
        <v/>
      </c>
      <c r="JE57">
        <v>54</v>
      </c>
      <c r="JF57" s="108">
        <f t="shared" si="213"/>
        <v>0</v>
      </c>
      <c r="JG57" s="113"/>
      <c r="JH57" s="113"/>
      <c r="JI57" s="113"/>
      <c r="JJ57" s="113"/>
      <c r="JK57" s="113">
        <f t="shared" si="214"/>
        <v>0</v>
      </c>
      <c r="JL57" s="113"/>
      <c r="JM57" s="113">
        <f t="shared" si="215"/>
        <v>0</v>
      </c>
      <c r="JN57" s="113" t="str">
        <f t="shared" si="115"/>
        <v/>
      </c>
      <c r="JO57" s="113" t="str">
        <f t="shared" si="216"/>
        <v/>
      </c>
      <c r="JP57" s="113" t="str">
        <f t="shared" si="217"/>
        <v/>
      </c>
      <c r="JQ57">
        <v>54</v>
      </c>
      <c r="JR57" s="108">
        <f t="shared" si="218"/>
        <v>0</v>
      </c>
      <c r="JS57" s="140"/>
      <c r="JT57" s="140"/>
      <c r="JU57" s="140"/>
      <c r="JV57" s="140"/>
      <c r="JW57" s="111">
        <f t="shared" si="219"/>
        <v>0</v>
      </c>
      <c r="JX57" s="141"/>
      <c r="JY57" s="111">
        <f t="shared" si="220"/>
        <v>0</v>
      </c>
      <c r="JZ57" s="111" t="str">
        <f t="shared" si="120"/>
        <v/>
      </c>
      <c r="KA57" s="111" t="str">
        <f t="shared" si="221"/>
        <v/>
      </c>
      <c r="KB57" s="111" t="str">
        <f t="shared" si="222"/>
        <v/>
      </c>
    </row>
    <row r="58" spans="1:308">
      <c r="C58" s="109"/>
      <c r="D58" s="109"/>
      <c r="E58" s="109"/>
      <c r="F58" s="109"/>
      <c r="G58" s="111"/>
      <c r="H58" s="111"/>
      <c r="I58" s="111"/>
      <c r="V58" s="47"/>
      <c r="BI58" s="67">
        <v>55</v>
      </c>
      <c r="BJ58" s="108">
        <f>Data!B56</f>
        <v>0</v>
      </c>
      <c r="BK58" s="119"/>
      <c r="BL58" s="119"/>
      <c r="BM58" s="119"/>
      <c r="BN58" s="119"/>
      <c r="BO58" s="119">
        <f t="shared" si="144"/>
        <v>0</v>
      </c>
      <c r="BP58" s="119"/>
      <c r="BQ58" s="119">
        <f t="shared" si="145"/>
        <v>0</v>
      </c>
      <c r="BR58" s="119" t="str">
        <f t="shared" si="28"/>
        <v/>
      </c>
      <c r="BS58" s="119" t="str">
        <f t="shared" si="146"/>
        <v/>
      </c>
      <c r="BT58" s="119" t="str">
        <f t="shared" si="147"/>
        <v/>
      </c>
      <c r="BU58">
        <v>55</v>
      </c>
      <c r="BV58" s="108">
        <f>Data!B56</f>
        <v>0</v>
      </c>
      <c r="BW58" s="121"/>
      <c r="BX58" s="121"/>
      <c r="BY58" s="121"/>
      <c r="BZ58" s="121"/>
      <c r="CA58" s="121">
        <f t="shared" si="148"/>
        <v>0</v>
      </c>
      <c r="CB58" s="121"/>
      <c r="CC58" s="121">
        <f t="shared" si="149"/>
        <v>0</v>
      </c>
      <c r="CD58" s="121" t="str">
        <f t="shared" si="33"/>
        <v/>
      </c>
      <c r="CE58" s="121" t="str">
        <f t="shared" si="150"/>
        <v/>
      </c>
      <c r="CF58" s="121" t="str">
        <f t="shared" si="151"/>
        <v/>
      </c>
      <c r="CG58">
        <v>55</v>
      </c>
      <c r="CH58" s="108">
        <f>Data!B56</f>
        <v>0</v>
      </c>
      <c r="CI58" s="122"/>
      <c r="CJ58" s="122"/>
      <c r="CK58" s="122"/>
      <c r="CL58" s="122"/>
      <c r="CM58" s="122">
        <f t="shared" si="152"/>
        <v>0</v>
      </c>
      <c r="CN58" s="122"/>
      <c r="CO58" s="122">
        <f t="shared" si="153"/>
        <v>0</v>
      </c>
      <c r="CP58" s="122" t="str">
        <f t="shared" si="38"/>
        <v/>
      </c>
      <c r="CQ58" s="122" t="str">
        <f t="shared" si="154"/>
        <v/>
      </c>
      <c r="CR58" s="122" t="str">
        <f t="shared" si="155"/>
        <v/>
      </c>
      <c r="CS58">
        <v>55</v>
      </c>
      <c r="CT58" s="108">
        <f>Data!B56</f>
        <v>0</v>
      </c>
      <c r="CU58" s="123"/>
      <c r="CV58" s="123"/>
      <c r="CW58" s="123"/>
      <c r="CX58" s="123"/>
      <c r="CY58" s="123">
        <f t="shared" si="156"/>
        <v>0</v>
      </c>
      <c r="CZ58" s="123"/>
      <c r="DA58" s="123">
        <f t="shared" si="157"/>
        <v>0</v>
      </c>
      <c r="DB58" s="123" t="str">
        <f t="shared" si="43"/>
        <v/>
      </c>
      <c r="DC58" s="123" t="str">
        <f t="shared" si="158"/>
        <v/>
      </c>
      <c r="DD58" s="123" t="str">
        <f t="shared" si="159"/>
        <v/>
      </c>
      <c r="DE58">
        <v>55</v>
      </c>
      <c r="DF58" s="108">
        <f>Data!B56</f>
        <v>0</v>
      </c>
      <c r="DG58" s="117"/>
      <c r="DH58" s="117"/>
      <c r="DI58" s="117"/>
      <c r="DJ58" s="117"/>
      <c r="DK58" s="117">
        <f t="shared" si="160"/>
        <v>0</v>
      </c>
      <c r="DL58" s="117"/>
      <c r="DM58" s="117">
        <f t="shared" si="161"/>
        <v>0</v>
      </c>
      <c r="DN58" s="117" t="str">
        <f t="shared" si="48"/>
        <v/>
      </c>
      <c r="DO58" s="117" t="str">
        <f t="shared" si="162"/>
        <v/>
      </c>
      <c r="DP58" s="117" t="str">
        <f t="shared" si="163"/>
        <v/>
      </c>
      <c r="DQ58">
        <v>55</v>
      </c>
      <c r="DR58" s="108">
        <f>Data!B56</f>
        <v>0</v>
      </c>
      <c r="DS58" s="152"/>
      <c r="DT58" s="152"/>
      <c r="DU58" s="152"/>
      <c r="DV58" s="152"/>
      <c r="DW58" s="125">
        <f t="shared" si="164"/>
        <v>0</v>
      </c>
      <c r="DX58" s="154"/>
      <c r="DY58" s="125">
        <f t="shared" si="165"/>
        <v>0</v>
      </c>
      <c r="DZ58" s="125" t="str">
        <f t="shared" si="53"/>
        <v/>
      </c>
      <c r="EA58" s="125" t="str">
        <f t="shared" si="166"/>
        <v/>
      </c>
      <c r="EB58" s="125" t="str">
        <f t="shared" si="167"/>
        <v/>
      </c>
      <c r="EC58">
        <v>55</v>
      </c>
      <c r="ED58" s="108">
        <f>Data!B56</f>
        <v>0</v>
      </c>
      <c r="EE58" s="127"/>
      <c r="EF58" s="127"/>
      <c r="EG58" s="127"/>
      <c r="EH58" s="127"/>
      <c r="EI58" s="127">
        <f t="shared" si="168"/>
        <v>0</v>
      </c>
      <c r="EJ58" s="127"/>
      <c r="EK58" s="127">
        <f t="shared" si="169"/>
        <v>0</v>
      </c>
      <c r="EL58" s="127" t="str">
        <f t="shared" si="58"/>
        <v/>
      </c>
      <c r="EM58" s="127" t="str">
        <f t="shared" si="170"/>
        <v/>
      </c>
      <c r="EN58" s="127" t="str">
        <f t="shared" si="171"/>
        <v/>
      </c>
      <c r="EO58">
        <v>55</v>
      </c>
      <c r="EP58" s="128">
        <f>Data!B56</f>
        <v>0</v>
      </c>
      <c r="EQ58" s="123"/>
      <c r="ER58" s="123"/>
      <c r="ES58" s="123"/>
      <c r="ET58" s="123"/>
      <c r="EU58" s="123">
        <f t="shared" si="172"/>
        <v>0</v>
      </c>
      <c r="EV58" s="123"/>
      <c r="EW58" s="123">
        <f t="shared" si="173"/>
        <v>0</v>
      </c>
      <c r="EX58" s="123" t="str">
        <f t="shared" si="63"/>
        <v/>
      </c>
      <c r="EY58" s="123" t="str">
        <f t="shared" si="174"/>
        <v/>
      </c>
      <c r="EZ58" s="123" t="str">
        <f t="shared" si="175"/>
        <v/>
      </c>
      <c r="FA58">
        <v>55</v>
      </c>
      <c r="FB58" s="108">
        <f>Data!B56</f>
        <v>0</v>
      </c>
      <c r="FC58" s="129"/>
      <c r="FD58" s="129"/>
      <c r="FE58" s="129"/>
      <c r="FF58" s="129"/>
      <c r="FG58" s="129">
        <f t="shared" si="176"/>
        <v>0</v>
      </c>
      <c r="FH58" s="129"/>
      <c r="FI58" s="129">
        <f t="shared" si="177"/>
        <v>0</v>
      </c>
      <c r="FJ58" s="129" t="str">
        <f t="shared" si="68"/>
        <v/>
      </c>
      <c r="FK58" s="129" t="str">
        <f t="shared" si="178"/>
        <v/>
      </c>
      <c r="FL58" s="129" t="str">
        <f t="shared" si="179"/>
        <v/>
      </c>
      <c r="FM58">
        <v>55</v>
      </c>
      <c r="FN58" s="108">
        <f>Data!B56</f>
        <v>0</v>
      </c>
      <c r="FO58" s="130"/>
      <c r="FP58" s="130"/>
      <c r="FQ58" s="130"/>
      <c r="FR58" s="130"/>
      <c r="FS58" s="130">
        <f t="shared" si="180"/>
        <v>0</v>
      </c>
      <c r="FT58" s="130"/>
      <c r="FU58" s="130">
        <f t="shared" si="181"/>
        <v>0</v>
      </c>
      <c r="FV58" s="130" t="str">
        <f t="shared" si="73"/>
        <v/>
      </c>
      <c r="FW58" s="130" t="str">
        <f t="shared" si="182"/>
        <v/>
      </c>
      <c r="FX58" s="130" t="str">
        <f t="shared" si="183"/>
        <v/>
      </c>
      <c r="FY58">
        <v>55</v>
      </c>
      <c r="FZ58" s="108">
        <f>Data!B56</f>
        <v>0</v>
      </c>
      <c r="GA58" s="131"/>
      <c r="GB58" s="131"/>
      <c r="GC58" s="131"/>
      <c r="GD58" s="131"/>
      <c r="GE58" s="131">
        <f t="shared" si="184"/>
        <v>0</v>
      </c>
      <c r="GF58" s="131"/>
      <c r="GG58" s="131">
        <f t="shared" si="185"/>
        <v>0</v>
      </c>
      <c r="GH58" s="131" t="str">
        <f t="shared" si="78"/>
        <v/>
      </c>
      <c r="GI58" s="131" t="str">
        <f t="shared" si="186"/>
        <v/>
      </c>
      <c r="GJ58" s="131" t="str">
        <f t="shared" si="187"/>
        <v/>
      </c>
      <c r="GK58">
        <v>55</v>
      </c>
      <c r="GL58" s="108">
        <f>Data!B56</f>
        <v>0</v>
      </c>
      <c r="GM58" s="133"/>
      <c r="GN58" s="133"/>
      <c r="GO58" s="133"/>
      <c r="GP58" s="133"/>
      <c r="GQ58" s="133">
        <f t="shared" si="188"/>
        <v>0</v>
      </c>
      <c r="GR58" s="133"/>
      <c r="GS58" s="133">
        <f t="shared" si="189"/>
        <v>0</v>
      </c>
      <c r="GT58" s="133" t="str">
        <f t="shared" si="83"/>
        <v/>
      </c>
      <c r="GU58" s="133" t="str">
        <f t="shared" si="190"/>
        <v/>
      </c>
      <c r="GV58" s="133" t="str">
        <f t="shared" si="191"/>
        <v/>
      </c>
      <c r="GW58">
        <v>55</v>
      </c>
      <c r="GX58" s="108">
        <f>Data!B56</f>
        <v>0</v>
      </c>
      <c r="GY58" s="119"/>
      <c r="GZ58" s="119"/>
      <c r="HA58" s="119"/>
      <c r="HB58" s="119"/>
      <c r="HC58" s="119">
        <f t="shared" si="192"/>
        <v>0</v>
      </c>
      <c r="HD58" s="119"/>
      <c r="HE58" s="119">
        <f t="shared" si="193"/>
        <v>0</v>
      </c>
      <c r="HF58" s="119" t="str">
        <f t="shared" si="88"/>
        <v/>
      </c>
      <c r="HG58" s="119" t="str">
        <f t="shared" si="194"/>
        <v/>
      </c>
      <c r="HH58" s="119" t="str">
        <f t="shared" si="195"/>
        <v/>
      </c>
      <c r="HI58">
        <v>55</v>
      </c>
      <c r="HJ58" s="108">
        <f>Data!B56</f>
        <v>0</v>
      </c>
      <c r="HK58" s="144"/>
      <c r="HL58" s="145"/>
      <c r="HM58" s="145"/>
      <c r="HN58" s="145"/>
      <c r="HO58" s="136">
        <f t="shared" si="196"/>
        <v>0</v>
      </c>
      <c r="HP58" s="144"/>
      <c r="HQ58" s="136">
        <f t="shared" si="197"/>
        <v>0</v>
      </c>
      <c r="HR58" s="136" t="str">
        <f t="shared" si="93"/>
        <v/>
      </c>
      <c r="HS58" s="136" t="str">
        <f t="shared" si="198"/>
        <v/>
      </c>
      <c r="HT58" s="136" t="str">
        <f t="shared" si="199"/>
        <v/>
      </c>
      <c r="HU58">
        <v>55</v>
      </c>
      <c r="HV58" s="108">
        <f>Data!B56</f>
        <v>0</v>
      </c>
      <c r="HW58" s="117"/>
      <c r="HX58" s="117"/>
      <c r="HY58" s="117"/>
      <c r="HZ58" s="117"/>
      <c r="IA58" s="117">
        <f t="shared" si="200"/>
        <v>0</v>
      </c>
      <c r="IB58" s="117"/>
      <c r="IC58" s="117">
        <f t="shared" si="201"/>
        <v>0</v>
      </c>
      <c r="ID58" s="117" t="str">
        <f t="shared" si="98"/>
        <v/>
      </c>
      <c r="IE58" s="117" t="str">
        <f t="shared" si="202"/>
        <v/>
      </c>
      <c r="IF58" s="117" t="str">
        <f t="shared" si="203"/>
        <v/>
      </c>
      <c r="IG58">
        <v>55</v>
      </c>
      <c r="IH58" s="108">
        <f>Data!B56</f>
        <v>0</v>
      </c>
      <c r="II58" s="137"/>
      <c r="IJ58" s="137"/>
      <c r="IK58" s="137"/>
      <c r="IL58" s="137"/>
      <c r="IM58" s="137">
        <f t="shared" si="204"/>
        <v>0</v>
      </c>
      <c r="IN58" s="137"/>
      <c r="IO58" s="137">
        <f t="shared" si="205"/>
        <v>0</v>
      </c>
      <c r="IP58" s="137" t="str">
        <f t="shared" si="103"/>
        <v/>
      </c>
      <c r="IQ58" s="137" t="str">
        <f t="shared" si="206"/>
        <v/>
      </c>
      <c r="IR58" s="137" t="str">
        <f t="shared" si="207"/>
        <v/>
      </c>
      <c r="IS58">
        <v>55</v>
      </c>
      <c r="IT58" s="108">
        <f t="shared" si="208"/>
        <v>0</v>
      </c>
      <c r="IU58" s="131"/>
      <c r="IV58" s="131"/>
      <c r="IW58" s="131"/>
      <c r="IX58" s="131"/>
      <c r="IY58" s="131">
        <f t="shared" si="209"/>
        <v>0</v>
      </c>
      <c r="IZ58" s="131"/>
      <c r="JA58" s="131">
        <f t="shared" si="210"/>
        <v>0</v>
      </c>
      <c r="JB58" s="131" t="str">
        <f t="shared" si="109"/>
        <v/>
      </c>
      <c r="JC58" s="131" t="str">
        <f t="shared" si="211"/>
        <v/>
      </c>
      <c r="JD58" s="131" t="str">
        <f t="shared" si="212"/>
        <v/>
      </c>
      <c r="JE58">
        <v>55</v>
      </c>
      <c r="JF58" s="108">
        <f t="shared" si="213"/>
        <v>0</v>
      </c>
      <c r="JG58" s="113"/>
      <c r="JH58" s="113"/>
      <c r="JI58" s="113"/>
      <c r="JJ58" s="113"/>
      <c r="JK58" s="113">
        <f t="shared" si="214"/>
        <v>0</v>
      </c>
      <c r="JL58" s="113"/>
      <c r="JM58" s="113">
        <f t="shared" si="215"/>
        <v>0</v>
      </c>
      <c r="JN58" s="113" t="str">
        <f t="shared" si="115"/>
        <v/>
      </c>
      <c r="JO58" s="113" t="str">
        <f t="shared" si="216"/>
        <v/>
      </c>
      <c r="JP58" s="113" t="str">
        <f t="shared" si="217"/>
        <v/>
      </c>
      <c r="JQ58">
        <v>55</v>
      </c>
      <c r="JR58" s="108">
        <f t="shared" si="218"/>
        <v>0</v>
      </c>
      <c r="JS58" s="140"/>
      <c r="JT58" s="140"/>
      <c r="JU58" s="140"/>
      <c r="JV58" s="140"/>
      <c r="JW58" s="111">
        <f t="shared" si="219"/>
        <v>0</v>
      </c>
      <c r="JX58" s="141"/>
      <c r="JY58" s="111">
        <f t="shared" si="220"/>
        <v>0</v>
      </c>
      <c r="JZ58" s="111" t="str">
        <f t="shared" si="120"/>
        <v/>
      </c>
      <c r="KA58" s="111" t="str">
        <f t="shared" si="221"/>
        <v/>
      </c>
      <c r="KB58" s="111" t="str">
        <f t="shared" si="222"/>
        <v/>
      </c>
    </row>
    <row r="59" spans="1:308">
      <c r="C59" s="109"/>
      <c r="D59" s="109"/>
      <c r="E59" s="109"/>
      <c r="F59" s="109"/>
      <c r="G59" s="111"/>
      <c r="H59" s="111"/>
      <c r="I59" s="111"/>
      <c r="V59" s="47"/>
      <c r="HK59" s="155"/>
      <c r="HL59" s="155"/>
      <c r="HM59" s="155"/>
      <c r="HN59" s="155"/>
    </row>
    <row r="60" spans="1:308">
      <c r="C60" s="109"/>
      <c r="D60" s="109"/>
      <c r="E60" s="109"/>
      <c r="F60" s="109"/>
      <c r="G60" s="111"/>
      <c r="H60" s="111"/>
      <c r="I60" s="111"/>
      <c r="V60" s="47"/>
      <c r="HK60" s="155"/>
      <c r="HL60" s="155"/>
      <c r="HM60" s="155"/>
      <c r="HN60" s="155"/>
    </row>
    <row r="61" spans="1:308">
      <c r="C61" s="109"/>
      <c r="D61" s="109"/>
      <c r="E61" s="109"/>
      <c r="F61" s="109"/>
      <c r="G61" s="111"/>
      <c r="H61" s="111"/>
      <c r="I61" s="111"/>
      <c r="V61" s="47"/>
      <c r="HK61" s="155"/>
      <c r="HL61" s="155"/>
      <c r="HM61" s="155"/>
      <c r="HN61" s="155"/>
    </row>
    <row r="62" spans="1:308">
      <c r="C62" s="109"/>
      <c r="D62" s="109"/>
      <c r="E62" s="109"/>
      <c r="F62" s="109"/>
      <c r="G62" s="111"/>
      <c r="H62" s="111"/>
      <c r="I62" s="111"/>
      <c r="HK62" s="155"/>
      <c r="HL62" s="155"/>
      <c r="HM62" s="155"/>
      <c r="HN62" s="155"/>
    </row>
    <row r="63" spans="1:308">
      <c r="C63" s="109"/>
      <c r="D63" s="109"/>
      <c r="E63" s="109"/>
      <c r="F63" s="109"/>
      <c r="G63" s="111"/>
      <c r="H63" s="111"/>
      <c r="I63" s="111"/>
    </row>
    <row r="64" spans="1:308">
      <c r="C64" s="109"/>
      <c r="D64" s="109"/>
      <c r="E64" s="109"/>
      <c r="F64" s="109"/>
      <c r="G64" s="111"/>
      <c r="H64" s="111"/>
      <c r="I64" s="111"/>
    </row>
    <row r="65" spans="3:9">
      <c r="C65" s="109"/>
      <c r="D65" s="109"/>
      <c r="E65" s="109"/>
      <c r="F65" s="109"/>
      <c r="G65" s="111"/>
      <c r="H65" s="111"/>
      <c r="I65" s="111"/>
    </row>
    <row r="66" spans="3:9">
      <c r="C66" s="109"/>
      <c r="D66" s="109"/>
      <c r="E66" s="109"/>
      <c r="F66" s="109"/>
      <c r="G66" s="111"/>
      <c r="H66" s="111"/>
      <c r="I66" s="111"/>
    </row>
    <row r="67" spans="3:9">
      <c r="C67" s="109"/>
      <c r="D67" s="109"/>
      <c r="E67" s="109"/>
      <c r="F67" s="109"/>
      <c r="G67" s="111"/>
      <c r="H67" s="111"/>
      <c r="I67" s="111"/>
    </row>
    <row r="68" spans="3:9">
      <c r="C68" s="109"/>
      <c r="D68" s="109"/>
      <c r="E68" s="109"/>
      <c r="F68" s="109"/>
      <c r="G68" s="111"/>
      <c r="H68" s="111"/>
      <c r="I68" s="111"/>
    </row>
    <row r="69" spans="3:9">
      <c r="C69" s="109"/>
      <c r="D69" s="109"/>
      <c r="E69" s="109"/>
      <c r="F69" s="109"/>
      <c r="G69" s="111"/>
      <c r="H69" s="111"/>
      <c r="I69" s="111"/>
    </row>
    <row r="70" spans="3:9">
      <c r="C70" s="109"/>
      <c r="D70" s="109"/>
      <c r="E70" s="109"/>
      <c r="F70" s="109"/>
      <c r="G70" s="111"/>
      <c r="H70" s="111"/>
      <c r="I70" s="111"/>
    </row>
    <row r="71" spans="3:9">
      <c r="C71" s="109"/>
      <c r="D71" s="109"/>
      <c r="E71" s="109"/>
      <c r="F71" s="109"/>
      <c r="G71" s="111"/>
      <c r="H71" s="111"/>
      <c r="I71" s="111"/>
    </row>
    <row r="72" spans="3:9">
      <c r="C72" s="109"/>
      <c r="D72" s="109"/>
      <c r="E72" s="109"/>
      <c r="F72" s="109"/>
      <c r="G72" s="111"/>
      <c r="H72" s="111"/>
      <c r="I72" s="111"/>
    </row>
    <row r="73" spans="3:9">
      <c r="C73" s="109"/>
      <c r="D73" s="109"/>
      <c r="E73" s="109"/>
      <c r="F73" s="109"/>
      <c r="G73" s="111"/>
      <c r="H73" s="111"/>
      <c r="I73" s="111"/>
    </row>
  </sheetData>
  <sheetProtection formatCells="0" insertColumns="0" insertRows="0" sort="0" autoFilter="0"/>
  <protectedRanges>
    <protectedRange sqref="CU52:CU58" name="Range1"/>
    <protectedRange sqref="CU4:CX44" name="Range1_1"/>
    <protectedRange sqref="CZ4:CZ44" name="Range2"/>
  </protectedRanges>
  <mergeCells count="26">
    <mergeCell ref="KN2:KT2"/>
    <mergeCell ref="GL2:GV2"/>
    <mergeCell ref="HV2:IF2"/>
    <mergeCell ref="IT2:JD2"/>
    <mergeCell ref="JF2:JP2"/>
    <mergeCell ref="GX2:HH2"/>
    <mergeCell ref="IH2:IR2"/>
    <mergeCell ref="HJ2:HT2"/>
    <mergeCell ref="B2:L2"/>
    <mergeCell ref="DR2:EB2"/>
    <mergeCell ref="BV2:CF2"/>
    <mergeCell ref="BJ2:BT2"/>
    <mergeCell ref="CH2:CR2"/>
    <mergeCell ref="AL2:AV2"/>
    <mergeCell ref="CT2:DD2"/>
    <mergeCell ref="FB2:FL2"/>
    <mergeCell ref="KD2:KI2"/>
    <mergeCell ref="FN2:FX2"/>
    <mergeCell ref="JR2:KB2"/>
    <mergeCell ref="FZ2:GJ2"/>
    <mergeCell ref="EP2:EZ2"/>
    <mergeCell ref="ED2:EN2"/>
    <mergeCell ref="N2:X2"/>
    <mergeCell ref="Z2:AJ2"/>
    <mergeCell ref="AX2:BH2"/>
    <mergeCell ref="DF2:D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workbookViewId="0">
      <selection activeCell="A2" sqref="A2:A51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12" t="s">
        <v>186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56" t="s">
        <v>85</v>
      </c>
      <c r="N1" s="156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38" t="s">
        <v>25</v>
      </c>
    </row>
    <row r="2" spans="1:32">
      <c r="A2" s="211">
        <v>1</v>
      </c>
      <c r="B2" s="2">
        <f>Scoresheet!I4</f>
        <v>43</v>
      </c>
      <c r="C2" s="2">
        <f>Scoresheet!U4</f>
        <v>43</v>
      </c>
      <c r="D2" s="2">
        <f>Scoresheet!AG4</f>
        <v>58</v>
      </c>
      <c r="E2" s="2">
        <f>Scoresheet!AS4</f>
        <v>0</v>
      </c>
      <c r="F2" s="2">
        <f>Scoresheet!BE4</f>
        <v>0</v>
      </c>
      <c r="G2" s="2">
        <f>Scoresheet!BQ4</f>
        <v>58</v>
      </c>
      <c r="H2" s="2">
        <f>Scoresheet!CC4</f>
        <v>52</v>
      </c>
      <c r="I2" s="2">
        <f>Scoresheet!CO4</f>
        <v>0</v>
      </c>
      <c r="J2" s="2">
        <f>Scoresheet!DA4</f>
        <v>0</v>
      </c>
      <c r="K2" s="2">
        <f>Scoresheet!DM4</f>
        <v>0</v>
      </c>
      <c r="L2" s="2">
        <f>Scoresheet!DY4</f>
        <v>0</v>
      </c>
      <c r="M2" s="2">
        <f>Scoresheet!EK4</f>
        <v>0</v>
      </c>
      <c r="N2" s="2">
        <f>Scoresheet!EW4</f>
        <v>0</v>
      </c>
      <c r="O2" s="2">
        <f>Scoresheet!FI4</f>
        <v>0</v>
      </c>
      <c r="P2" s="2">
        <f>Scoresheet!FU4</f>
        <v>0</v>
      </c>
      <c r="Q2" s="2">
        <f>Scoresheet!GG4</f>
        <v>55</v>
      </c>
      <c r="R2" s="2">
        <f>Scoresheet!GS4</f>
        <v>0</v>
      </c>
      <c r="S2" s="2">
        <f>Scoresheet!HE4</f>
        <v>0</v>
      </c>
      <c r="T2" s="2">
        <f>Scoresheet!HQ4</f>
        <v>0</v>
      </c>
      <c r="U2" s="2">
        <f>Scoresheet!IC4</f>
        <v>0</v>
      </c>
      <c r="V2" s="2">
        <f>Scoresheet!IO4</f>
        <v>0</v>
      </c>
      <c r="W2" s="2">
        <f>Scoresheet!JA4</f>
        <v>58</v>
      </c>
      <c r="X2" s="2">
        <f>Scoresheet!JM4</f>
        <v>0</v>
      </c>
      <c r="Y2" s="2">
        <f>Scoresheet!JY4</f>
        <v>0</v>
      </c>
      <c r="Z2" s="2">
        <f t="shared" ref="Z2:Z33" si="0">COUNTIF(B2:Y2,"&gt;5")</f>
        <v>7</v>
      </c>
      <c r="AA2" s="2" t="str">
        <f>Data!H2</f>
        <v>16th January, 2026</v>
      </c>
      <c r="AB2" s="2" t="b">
        <f>IFERROR(Z2=AA2,"True")</f>
        <v>0</v>
      </c>
      <c r="AC2" s="2">
        <f>Z2*100</f>
        <v>700</v>
      </c>
      <c r="AD2" s="2">
        <f t="shared" ref="AD2:AD33" si="1">SUM(B2:Y2)</f>
        <v>367</v>
      </c>
      <c r="AE2" s="157">
        <f>IF(COUNTIF(B2:Y2,"&gt;=5")&lt;10,SUMIF(B2:Y2,"&gt;=5")/10,SUMIF(B2:Y2,"&gt;=5")/COUNTIF(B2:Y2,"&gt;=5"))</f>
        <v>36.700000000000003</v>
      </c>
      <c r="AF2" s="38">
        <f>IFERROR(RANK(AE2,$AE$2:$AE$49),"")</f>
        <v>18</v>
      </c>
    </row>
    <row r="3" spans="1:32">
      <c r="A3" s="211">
        <v>2</v>
      </c>
      <c r="B3" s="2">
        <f>Scoresheet!I5</f>
        <v>31</v>
      </c>
      <c r="C3" s="2">
        <f>Scoresheet!U5</f>
        <v>31</v>
      </c>
      <c r="D3" s="2">
        <f>Scoresheet!AG5</f>
        <v>50</v>
      </c>
      <c r="E3" s="2">
        <f>Scoresheet!AS5</f>
        <v>0</v>
      </c>
      <c r="F3" s="2">
        <f>Scoresheet!BE5</f>
        <v>0</v>
      </c>
      <c r="G3" s="2">
        <f>Scoresheet!BQ5</f>
        <v>50</v>
      </c>
      <c r="H3" s="2">
        <f>Scoresheet!CC5</f>
        <v>37</v>
      </c>
      <c r="I3" s="2">
        <f>Scoresheet!CO5</f>
        <v>0</v>
      </c>
      <c r="J3" s="2">
        <f>Scoresheet!DA5</f>
        <v>0</v>
      </c>
      <c r="K3" s="2">
        <f>Scoresheet!DM5</f>
        <v>30</v>
      </c>
      <c r="L3" s="2">
        <f>Scoresheet!DY5</f>
        <v>0</v>
      </c>
      <c r="M3" s="2">
        <f>Scoresheet!EK5</f>
        <v>0</v>
      </c>
      <c r="N3" s="2">
        <f>Scoresheet!EW5</f>
        <v>0</v>
      </c>
      <c r="O3" s="2">
        <f>Scoresheet!FI5</f>
        <v>0</v>
      </c>
      <c r="P3" s="2">
        <f>Scoresheet!FU5</f>
        <v>0</v>
      </c>
      <c r="Q3" s="2">
        <f>Scoresheet!GG5</f>
        <v>29</v>
      </c>
      <c r="R3" s="2">
        <f>Scoresheet!GS5</f>
        <v>0</v>
      </c>
      <c r="S3" s="2">
        <f>Scoresheet!HE5</f>
        <v>0</v>
      </c>
      <c r="T3" s="2">
        <f>Scoresheet!HQ5</f>
        <v>0</v>
      </c>
      <c r="U3" s="2">
        <f>Scoresheet!IC5</f>
        <v>0</v>
      </c>
      <c r="V3" s="2">
        <f>Scoresheet!IO5</f>
        <v>0</v>
      </c>
      <c r="W3" s="2">
        <f>Scoresheet!JA5</f>
        <v>50</v>
      </c>
      <c r="X3" s="2">
        <f>Scoresheet!JM5</f>
        <v>0</v>
      </c>
      <c r="Y3" s="2">
        <f>Scoresheet!JY5</f>
        <v>0</v>
      </c>
      <c r="Z3" s="2">
        <f t="shared" si="0"/>
        <v>8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800</v>
      </c>
      <c r="AD3" s="2">
        <f t="shared" si="1"/>
        <v>308</v>
      </c>
      <c r="AE3" s="157">
        <f t="shared" ref="AE3:AE52" si="4">IF(COUNTIF(B3:Y3,"&gt;=5")&lt;10,SUMIF(B3:Y3,"&gt;=5")/10,SUMIF(B3:Y3,"&gt;=5")/COUNTIF(B3:Y3,"&gt;=5"))</f>
        <v>30.8</v>
      </c>
      <c r="AF3" s="38">
        <f t="shared" ref="AF3:AF34" si="5">IFERROR(RANK(AE3,$AE$2:$AE$49),"")</f>
        <v>27</v>
      </c>
    </row>
    <row r="4" spans="1:32">
      <c r="A4" s="211">
        <v>3</v>
      </c>
      <c r="B4" s="2">
        <f>Scoresheet!I6</f>
        <v>41</v>
      </c>
      <c r="C4" s="2">
        <f>Scoresheet!U6</f>
        <v>41</v>
      </c>
      <c r="D4" s="2">
        <f>Scoresheet!AG6</f>
        <v>59</v>
      </c>
      <c r="E4" s="2">
        <f>Scoresheet!AS6</f>
        <v>0</v>
      </c>
      <c r="F4" s="2">
        <f>Scoresheet!BE6</f>
        <v>0</v>
      </c>
      <c r="G4" s="2">
        <f>Scoresheet!BQ6</f>
        <v>59</v>
      </c>
      <c r="H4" s="2">
        <f>Scoresheet!CC6</f>
        <v>49</v>
      </c>
      <c r="I4" s="2">
        <f>Scoresheet!CO6</f>
        <v>0</v>
      </c>
      <c r="J4" s="2">
        <f>Scoresheet!DA6</f>
        <v>0</v>
      </c>
      <c r="K4" s="2">
        <f>Scoresheet!DM6</f>
        <v>33</v>
      </c>
      <c r="L4" s="2">
        <f>Scoresheet!DY6</f>
        <v>0</v>
      </c>
      <c r="M4" s="2">
        <f>Scoresheet!EK6</f>
        <v>0</v>
      </c>
      <c r="N4" s="2">
        <f>Scoresheet!EW6</f>
        <v>0</v>
      </c>
      <c r="O4" s="2">
        <f>Scoresheet!FI6</f>
        <v>0</v>
      </c>
      <c r="P4" s="2">
        <f>Scoresheet!FU6</f>
        <v>0</v>
      </c>
      <c r="Q4" s="2">
        <f>Scoresheet!GG6</f>
        <v>56</v>
      </c>
      <c r="R4" s="2">
        <f>Scoresheet!GS6</f>
        <v>0</v>
      </c>
      <c r="S4" s="2">
        <f>Scoresheet!HE6</f>
        <v>0</v>
      </c>
      <c r="T4" s="2">
        <f>Scoresheet!HQ6</f>
        <v>0</v>
      </c>
      <c r="U4" s="2">
        <f>Scoresheet!IC6</f>
        <v>0</v>
      </c>
      <c r="V4" s="2">
        <f>Scoresheet!IO6</f>
        <v>0</v>
      </c>
      <c r="W4" s="2">
        <f>Scoresheet!JA6</f>
        <v>59</v>
      </c>
      <c r="X4" s="2">
        <f>Scoresheet!JM6</f>
        <v>0</v>
      </c>
      <c r="Y4" s="2">
        <f>Scoresheet!JY6</f>
        <v>0</v>
      </c>
      <c r="Z4" s="2">
        <f t="shared" si="0"/>
        <v>8</v>
      </c>
      <c r="AA4" s="2" t="str">
        <f>Data!H4</f>
        <v>16th January, 2026</v>
      </c>
      <c r="AB4" s="2" t="b">
        <f t="shared" si="2"/>
        <v>0</v>
      </c>
      <c r="AC4" s="2">
        <f t="shared" si="3"/>
        <v>800</v>
      </c>
      <c r="AD4" s="2">
        <f t="shared" si="1"/>
        <v>397</v>
      </c>
      <c r="AE4" s="157">
        <f t="shared" si="4"/>
        <v>39.700000000000003</v>
      </c>
      <c r="AF4" s="38">
        <f t="shared" si="5"/>
        <v>13</v>
      </c>
    </row>
    <row r="5" spans="1:32">
      <c r="A5" s="211">
        <v>4</v>
      </c>
      <c r="B5" s="2">
        <f>Scoresheet!I7</f>
        <v>0</v>
      </c>
      <c r="C5" s="2">
        <f>Scoresheet!U7</f>
        <v>0</v>
      </c>
      <c r="D5" s="2">
        <f>Scoresheet!AG7</f>
        <v>42</v>
      </c>
      <c r="E5" s="2">
        <f>Scoresheet!AS7</f>
        <v>0</v>
      </c>
      <c r="F5" s="2">
        <f>Scoresheet!BE7</f>
        <v>0</v>
      </c>
      <c r="G5" s="2">
        <f>Scoresheet!BQ7</f>
        <v>42</v>
      </c>
      <c r="H5" s="2">
        <f>Scoresheet!CC7</f>
        <v>55</v>
      </c>
      <c r="I5" s="2">
        <f>Scoresheet!CO7</f>
        <v>0</v>
      </c>
      <c r="J5" s="2">
        <f>Scoresheet!DA7</f>
        <v>0</v>
      </c>
      <c r="K5" s="2">
        <f>Scoresheet!DM7</f>
        <v>0</v>
      </c>
      <c r="L5" s="2">
        <f>Scoresheet!DY7</f>
        <v>0</v>
      </c>
      <c r="M5" s="2">
        <f>Scoresheet!EK7</f>
        <v>0</v>
      </c>
      <c r="N5" s="2">
        <f>Scoresheet!EW7</f>
        <v>0</v>
      </c>
      <c r="O5" s="2">
        <f>Scoresheet!FI7</f>
        <v>0</v>
      </c>
      <c r="P5" s="2">
        <f>Scoresheet!FU7</f>
        <v>0</v>
      </c>
      <c r="Q5" s="2">
        <f>Scoresheet!GG7</f>
        <v>54</v>
      </c>
      <c r="R5" s="2">
        <f>Scoresheet!GS7</f>
        <v>0</v>
      </c>
      <c r="S5" s="2">
        <f>Scoresheet!HE7</f>
        <v>0</v>
      </c>
      <c r="T5" s="2">
        <f>Scoresheet!HQ7</f>
        <v>0</v>
      </c>
      <c r="U5" s="2">
        <f>Scoresheet!IC7</f>
        <v>0</v>
      </c>
      <c r="V5" s="2">
        <f>Scoresheet!IO7</f>
        <v>0</v>
      </c>
      <c r="W5" s="2">
        <f>Scoresheet!JA7</f>
        <v>42</v>
      </c>
      <c r="X5" s="2">
        <f>Scoresheet!JM7</f>
        <v>0</v>
      </c>
      <c r="Y5" s="2">
        <f>Scoresheet!JY7</f>
        <v>0</v>
      </c>
      <c r="Z5" s="2">
        <f t="shared" si="0"/>
        <v>5</v>
      </c>
      <c r="AA5" s="2" t="str">
        <f>Data!H5</f>
        <v>16th January, 2026</v>
      </c>
      <c r="AB5" s="2" t="b">
        <f t="shared" si="2"/>
        <v>0</v>
      </c>
      <c r="AC5" s="2">
        <f t="shared" si="3"/>
        <v>500</v>
      </c>
      <c r="AD5" s="2">
        <f t="shared" si="1"/>
        <v>235</v>
      </c>
      <c r="AE5" s="157">
        <f t="shared" si="4"/>
        <v>23.5</v>
      </c>
      <c r="AF5" s="38">
        <f t="shared" si="5"/>
        <v>33</v>
      </c>
    </row>
    <row r="6" spans="1:32">
      <c r="A6" s="211">
        <v>5</v>
      </c>
      <c r="B6" s="2">
        <f>Scoresheet!I8</f>
        <v>42</v>
      </c>
      <c r="C6" s="2">
        <f>Scoresheet!U8</f>
        <v>42</v>
      </c>
      <c r="D6" s="2">
        <f>Scoresheet!AG8</f>
        <v>52</v>
      </c>
      <c r="E6" s="2">
        <f>Scoresheet!AS8</f>
        <v>0</v>
      </c>
      <c r="F6" s="2">
        <f>Scoresheet!BE8</f>
        <v>0</v>
      </c>
      <c r="G6" s="2">
        <f>Scoresheet!BQ8</f>
        <v>52</v>
      </c>
      <c r="H6" s="2">
        <f>Scoresheet!CC8</f>
        <v>38</v>
      </c>
      <c r="I6" s="2">
        <f>Scoresheet!CO8</f>
        <v>0</v>
      </c>
      <c r="J6" s="2">
        <f>Scoresheet!DA8</f>
        <v>0</v>
      </c>
      <c r="K6" s="2">
        <f>Scoresheet!DM8</f>
        <v>0</v>
      </c>
      <c r="L6" s="2">
        <f>Scoresheet!DY8</f>
        <v>0</v>
      </c>
      <c r="M6" s="2">
        <f>Scoresheet!EK8</f>
        <v>0</v>
      </c>
      <c r="N6" s="2">
        <f>Scoresheet!EW8</f>
        <v>0</v>
      </c>
      <c r="O6" s="2">
        <f>Scoresheet!FI8</f>
        <v>0</v>
      </c>
      <c r="P6" s="2">
        <f>Scoresheet!FU8</f>
        <v>0</v>
      </c>
      <c r="Q6" s="2">
        <f>Scoresheet!GG8</f>
        <v>35</v>
      </c>
      <c r="R6" s="2">
        <f>Scoresheet!GS8</f>
        <v>0</v>
      </c>
      <c r="S6" s="2">
        <f>Scoresheet!HE8</f>
        <v>0</v>
      </c>
      <c r="T6" s="2">
        <f>Scoresheet!HQ8</f>
        <v>27</v>
      </c>
      <c r="U6" s="2">
        <f>Scoresheet!IC8</f>
        <v>0</v>
      </c>
      <c r="V6" s="2">
        <f>Scoresheet!IO8</f>
        <v>0</v>
      </c>
      <c r="W6" s="2">
        <f>Scoresheet!JA8</f>
        <v>52</v>
      </c>
      <c r="X6" s="2">
        <f>Scoresheet!JM8</f>
        <v>0</v>
      </c>
      <c r="Y6" s="2">
        <f>Scoresheet!JY8</f>
        <v>0</v>
      </c>
      <c r="Z6" s="2">
        <f t="shared" si="0"/>
        <v>8</v>
      </c>
      <c r="AA6" s="2" t="str">
        <f>Data!H6</f>
        <v>16th January, 2026</v>
      </c>
      <c r="AB6" s="2" t="b">
        <f t="shared" si="2"/>
        <v>0</v>
      </c>
      <c r="AC6" s="2">
        <f t="shared" si="3"/>
        <v>800</v>
      </c>
      <c r="AD6" s="2">
        <f t="shared" si="1"/>
        <v>340</v>
      </c>
      <c r="AE6" s="157">
        <f t="shared" si="4"/>
        <v>34</v>
      </c>
      <c r="AF6" s="38">
        <f t="shared" si="5"/>
        <v>19</v>
      </c>
    </row>
    <row r="7" spans="1:32">
      <c r="A7" s="211">
        <v>6</v>
      </c>
      <c r="B7" s="2">
        <f>Scoresheet!I9</f>
        <v>40</v>
      </c>
      <c r="C7" s="2">
        <f>Scoresheet!U9</f>
        <v>40</v>
      </c>
      <c r="D7" s="2">
        <f>Scoresheet!AG9</f>
        <v>57</v>
      </c>
      <c r="E7" s="2">
        <f>Scoresheet!AS9</f>
        <v>0</v>
      </c>
      <c r="F7" s="2">
        <f>Scoresheet!BE9</f>
        <v>0</v>
      </c>
      <c r="G7" s="2">
        <f>Scoresheet!BQ9</f>
        <v>57</v>
      </c>
      <c r="H7" s="2">
        <f>Scoresheet!CC9</f>
        <v>38</v>
      </c>
      <c r="I7" s="2">
        <f>Scoresheet!CO9</f>
        <v>0</v>
      </c>
      <c r="J7" s="2">
        <f>Scoresheet!DA9</f>
        <v>0</v>
      </c>
      <c r="K7" s="2">
        <f>Scoresheet!DM9</f>
        <v>0</v>
      </c>
      <c r="L7" s="2">
        <f>Scoresheet!DY9</f>
        <v>0</v>
      </c>
      <c r="M7" s="2">
        <f>Scoresheet!EK9</f>
        <v>0</v>
      </c>
      <c r="N7" s="2">
        <f>Scoresheet!EW9</f>
        <v>0</v>
      </c>
      <c r="O7" s="2">
        <f>Scoresheet!FI9</f>
        <v>0</v>
      </c>
      <c r="P7" s="2">
        <f>Scoresheet!FU9</f>
        <v>0</v>
      </c>
      <c r="Q7" s="2">
        <f>Scoresheet!GG9</f>
        <v>33</v>
      </c>
      <c r="R7" s="2">
        <f>Scoresheet!GS9</f>
        <v>0</v>
      </c>
      <c r="S7" s="2">
        <f>Scoresheet!HE9</f>
        <v>0</v>
      </c>
      <c r="T7" s="2">
        <f>Scoresheet!HQ9</f>
        <v>5</v>
      </c>
      <c r="U7" s="2">
        <f>Scoresheet!IC9</f>
        <v>0</v>
      </c>
      <c r="V7" s="2">
        <f>Scoresheet!IO9</f>
        <v>0</v>
      </c>
      <c r="W7" s="2">
        <f>Scoresheet!JA9</f>
        <v>57</v>
      </c>
      <c r="X7" s="2">
        <f>Scoresheet!JM9</f>
        <v>0</v>
      </c>
      <c r="Y7" s="2">
        <f>Scoresheet!JY9</f>
        <v>0</v>
      </c>
      <c r="Z7" s="2">
        <f t="shared" si="0"/>
        <v>7</v>
      </c>
      <c r="AA7" s="2" t="str">
        <f>Data!H7</f>
        <v>16th January, 2026</v>
      </c>
      <c r="AB7" s="2" t="b">
        <f t="shared" si="2"/>
        <v>0</v>
      </c>
      <c r="AC7" s="2">
        <f t="shared" si="3"/>
        <v>700</v>
      </c>
      <c r="AD7" s="2">
        <f t="shared" si="1"/>
        <v>327</v>
      </c>
      <c r="AE7" s="157">
        <f t="shared" si="4"/>
        <v>32.700000000000003</v>
      </c>
      <c r="AF7" s="38">
        <f t="shared" si="5"/>
        <v>23</v>
      </c>
    </row>
    <row r="8" spans="1:32">
      <c r="A8" s="211">
        <v>7</v>
      </c>
      <c r="B8" s="2">
        <f>Scoresheet!I10</f>
        <v>35</v>
      </c>
      <c r="C8" s="2">
        <f>Scoresheet!U10</f>
        <v>35</v>
      </c>
      <c r="D8" s="2">
        <f>Scoresheet!AG10</f>
        <v>55</v>
      </c>
      <c r="E8" s="2">
        <f>Scoresheet!AS10</f>
        <v>0</v>
      </c>
      <c r="F8" s="2">
        <f>Scoresheet!BE10</f>
        <v>0</v>
      </c>
      <c r="G8" s="2">
        <f>Scoresheet!BQ10</f>
        <v>55</v>
      </c>
      <c r="H8" s="2">
        <f>Scoresheet!CC10</f>
        <v>46</v>
      </c>
      <c r="I8" s="2">
        <f>Scoresheet!CO10</f>
        <v>0</v>
      </c>
      <c r="J8" s="2">
        <f>Scoresheet!DA10</f>
        <v>0</v>
      </c>
      <c r="K8" s="2">
        <f>Scoresheet!DM10</f>
        <v>43</v>
      </c>
      <c r="L8" s="2">
        <f>Scoresheet!DY10</f>
        <v>0</v>
      </c>
      <c r="M8" s="2">
        <f>Scoresheet!EK10</f>
        <v>0</v>
      </c>
      <c r="N8" s="2">
        <f>Scoresheet!EW10</f>
        <v>0</v>
      </c>
      <c r="O8" s="2">
        <f>Scoresheet!FI10</f>
        <v>0</v>
      </c>
      <c r="P8" s="2">
        <f>Scoresheet!FU10</f>
        <v>0</v>
      </c>
      <c r="Q8" s="2">
        <f>Scoresheet!GG10</f>
        <v>55</v>
      </c>
      <c r="R8" s="2">
        <f>Scoresheet!GS10</f>
        <v>0</v>
      </c>
      <c r="S8" s="2">
        <f>Scoresheet!HE10</f>
        <v>0</v>
      </c>
      <c r="T8" s="2">
        <f>Scoresheet!HQ10</f>
        <v>0</v>
      </c>
      <c r="U8" s="2">
        <f>Scoresheet!IC10</f>
        <v>0</v>
      </c>
      <c r="V8" s="2">
        <f>Scoresheet!IO10</f>
        <v>0</v>
      </c>
      <c r="W8" s="2">
        <f>Scoresheet!JA10</f>
        <v>55</v>
      </c>
      <c r="X8" s="2">
        <f>Scoresheet!JM10</f>
        <v>0</v>
      </c>
      <c r="Y8" s="2">
        <f>Scoresheet!JY10</f>
        <v>0</v>
      </c>
      <c r="Z8" s="2">
        <f t="shared" si="0"/>
        <v>8</v>
      </c>
      <c r="AA8" s="2" t="str">
        <f>Data!H8</f>
        <v>16th January, 2026</v>
      </c>
      <c r="AB8" s="2" t="b">
        <f t="shared" si="2"/>
        <v>0</v>
      </c>
      <c r="AC8" s="2">
        <f t="shared" si="3"/>
        <v>800</v>
      </c>
      <c r="AD8" s="2">
        <f t="shared" si="1"/>
        <v>379</v>
      </c>
      <c r="AE8" s="157">
        <f t="shared" si="4"/>
        <v>37.9</v>
      </c>
      <c r="AF8" s="38">
        <f t="shared" si="5"/>
        <v>15</v>
      </c>
    </row>
    <row r="9" spans="1:32">
      <c r="A9" s="211">
        <v>8</v>
      </c>
      <c r="B9" s="2">
        <f>Scoresheet!I11</f>
        <v>52</v>
      </c>
      <c r="C9" s="2">
        <f>Scoresheet!U11</f>
        <v>52</v>
      </c>
      <c r="D9" s="2">
        <f>Scoresheet!AG11</f>
        <v>62</v>
      </c>
      <c r="E9" s="2">
        <f>Scoresheet!AS11</f>
        <v>0</v>
      </c>
      <c r="F9" s="2">
        <f>Scoresheet!BE11</f>
        <v>0</v>
      </c>
      <c r="G9" s="2">
        <f>Scoresheet!BQ11</f>
        <v>62</v>
      </c>
      <c r="H9" s="2">
        <f>Scoresheet!CC11</f>
        <v>74</v>
      </c>
      <c r="I9" s="2">
        <f>Scoresheet!CO11</f>
        <v>0</v>
      </c>
      <c r="J9" s="2">
        <f>Scoresheet!DA11</f>
        <v>0</v>
      </c>
      <c r="K9" s="2">
        <f>Scoresheet!DM11</f>
        <v>0</v>
      </c>
      <c r="L9" s="2">
        <f>Scoresheet!DY11</f>
        <v>0</v>
      </c>
      <c r="M9" s="2">
        <f>Scoresheet!EK11</f>
        <v>0</v>
      </c>
      <c r="N9" s="2">
        <f>Scoresheet!EW11</f>
        <v>0</v>
      </c>
      <c r="O9" s="2">
        <f>Scoresheet!FI11</f>
        <v>0</v>
      </c>
      <c r="P9" s="2">
        <f>Scoresheet!FU11</f>
        <v>0</v>
      </c>
      <c r="Q9" s="2">
        <f>Scoresheet!GG11</f>
        <v>67</v>
      </c>
      <c r="R9" s="2">
        <f>Scoresheet!GS11</f>
        <v>0</v>
      </c>
      <c r="S9" s="2">
        <f>Scoresheet!HE11</f>
        <v>35</v>
      </c>
      <c r="T9" s="2">
        <f>Scoresheet!HQ11</f>
        <v>0</v>
      </c>
      <c r="U9" s="2">
        <f>Scoresheet!IC11</f>
        <v>0</v>
      </c>
      <c r="V9" s="2">
        <f>Scoresheet!IO11</f>
        <v>0</v>
      </c>
      <c r="W9" s="2">
        <f>Scoresheet!JA11</f>
        <v>62</v>
      </c>
      <c r="X9" s="2">
        <f>Scoresheet!JM11</f>
        <v>0</v>
      </c>
      <c r="Y9" s="2">
        <f>Scoresheet!JY11</f>
        <v>0</v>
      </c>
      <c r="Z9" s="2">
        <f t="shared" si="0"/>
        <v>8</v>
      </c>
      <c r="AA9" s="2" t="str">
        <f>Data!H9</f>
        <v>16th January, 2026</v>
      </c>
      <c r="AB9" s="2" t="b">
        <f t="shared" si="2"/>
        <v>0</v>
      </c>
      <c r="AC9" s="2">
        <f t="shared" si="3"/>
        <v>800</v>
      </c>
      <c r="AD9" s="2">
        <f t="shared" si="1"/>
        <v>466</v>
      </c>
      <c r="AE9" s="157">
        <f t="shared" si="4"/>
        <v>46.6</v>
      </c>
      <c r="AF9" s="38">
        <f t="shared" si="5"/>
        <v>4</v>
      </c>
    </row>
    <row r="10" spans="1:32">
      <c r="A10" s="211">
        <v>9</v>
      </c>
      <c r="B10" s="2">
        <f>Scoresheet!I12</f>
        <v>25</v>
      </c>
      <c r="C10" s="2">
        <f>Scoresheet!U12</f>
        <v>25</v>
      </c>
      <c r="D10" s="2">
        <f>Scoresheet!AG12</f>
        <v>69</v>
      </c>
      <c r="E10" s="2">
        <f>Scoresheet!AS12</f>
        <v>0</v>
      </c>
      <c r="F10" s="2">
        <f>Scoresheet!BE12</f>
        <v>0</v>
      </c>
      <c r="G10" s="2">
        <f>Scoresheet!BQ12</f>
        <v>69</v>
      </c>
      <c r="H10" s="2">
        <f>Scoresheet!CC12</f>
        <v>51</v>
      </c>
      <c r="I10" s="2">
        <f>Scoresheet!CO12</f>
        <v>0</v>
      </c>
      <c r="J10" s="2">
        <f>Scoresheet!DA12</f>
        <v>0</v>
      </c>
      <c r="K10" s="2">
        <f>Scoresheet!DM12</f>
        <v>39</v>
      </c>
      <c r="L10" s="2">
        <f>Scoresheet!DY12</f>
        <v>0</v>
      </c>
      <c r="M10" s="2">
        <f>Scoresheet!EK12</f>
        <v>0</v>
      </c>
      <c r="N10" s="2">
        <f>Scoresheet!EW12</f>
        <v>0</v>
      </c>
      <c r="O10" s="2">
        <f>Scoresheet!FI12</f>
        <v>0</v>
      </c>
      <c r="P10" s="2">
        <f>Scoresheet!FU12</f>
        <v>0</v>
      </c>
      <c r="Q10" s="2">
        <f>Scoresheet!GG12</f>
        <v>62</v>
      </c>
      <c r="R10" s="2">
        <f>Scoresheet!GS12</f>
        <v>0</v>
      </c>
      <c r="S10" s="2">
        <f>Scoresheet!HE12</f>
        <v>0</v>
      </c>
      <c r="T10" s="2">
        <f>Scoresheet!HQ12</f>
        <v>0</v>
      </c>
      <c r="U10" s="2">
        <f>Scoresheet!IC12</f>
        <v>0</v>
      </c>
      <c r="V10" s="2">
        <f>Scoresheet!IO12</f>
        <v>0</v>
      </c>
      <c r="W10" s="2">
        <f>Scoresheet!JA12</f>
        <v>69</v>
      </c>
      <c r="X10" s="2">
        <f>Scoresheet!JM12</f>
        <v>0</v>
      </c>
      <c r="Y10" s="2">
        <f>Scoresheet!JY12</f>
        <v>0</v>
      </c>
      <c r="Z10" s="2">
        <f t="shared" si="0"/>
        <v>8</v>
      </c>
      <c r="AA10" s="2" t="str">
        <f>Data!H10</f>
        <v>16th January, 2026</v>
      </c>
      <c r="AB10" s="2" t="b">
        <f t="shared" si="2"/>
        <v>0</v>
      </c>
      <c r="AC10" s="2">
        <f t="shared" si="3"/>
        <v>800</v>
      </c>
      <c r="AD10" s="2">
        <f t="shared" si="1"/>
        <v>409</v>
      </c>
      <c r="AE10" s="157">
        <f t="shared" si="4"/>
        <v>40.9</v>
      </c>
      <c r="AF10" s="38">
        <f t="shared" si="5"/>
        <v>11</v>
      </c>
    </row>
    <row r="11" spans="1:32">
      <c r="A11" s="211">
        <v>10</v>
      </c>
      <c r="B11" s="2">
        <f>Scoresheet!I13</f>
        <v>27</v>
      </c>
      <c r="C11" s="2">
        <f>Scoresheet!U13</f>
        <v>27</v>
      </c>
      <c r="D11" s="2">
        <f>Scoresheet!AG13</f>
        <v>51</v>
      </c>
      <c r="E11" s="2">
        <f>Scoresheet!AS13</f>
        <v>0</v>
      </c>
      <c r="F11" s="2">
        <f>Scoresheet!BE13</f>
        <v>0</v>
      </c>
      <c r="G11" s="2">
        <f>Scoresheet!BQ13</f>
        <v>51</v>
      </c>
      <c r="H11" s="2">
        <f>Scoresheet!CC13</f>
        <v>31</v>
      </c>
      <c r="I11" s="2">
        <f>Scoresheet!CO13</f>
        <v>0</v>
      </c>
      <c r="J11" s="2">
        <f>Scoresheet!DA13</f>
        <v>0</v>
      </c>
      <c r="K11" s="2">
        <f>Scoresheet!DM13</f>
        <v>23</v>
      </c>
      <c r="L11" s="2">
        <f>Scoresheet!DY13</f>
        <v>0</v>
      </c>
      <c r="M11" s="2">
        <f>Scoresheet!EK13</f>
        <v>0</v>
      </c>
      <c r="N11" s="2">
        <f>Scoresheet!EW13</f>
        <v>0</v>
      </c>
      <c r="O11" s="2">
        <f>Scoresheet!FI13</f>
        <v>0</v>
      </c>
      <c r="P11" s="2">
        <f>Scoresheet!FU13</f>
        <v>0</v>
      </c>
      <c r="Q11" s="2">
        <f>Scoresheet!GG13</f>
        <v>33</v>
      </c>
      <c r="R11" s="2">
        <f>Scoresheet!GS13</f>
        <v>0</v>
      </c>
      <c r="S11" s="2">
        <f>Scoresheet!HE13</f>
        <v>0</v>
      </c>
      <c r="T11" s="2">
        <f>Scoresheet!HQ13</f>
        <v>0</v>
      </c>
      <c r="U11" s="2">
        <f>Scoresheet!IC13</f>
        <v>0</v>
      </c>
      <c r="V11" s="2">
        <f>Scoresheet!IO13</f>
        <v>0</v>
      </c>
      <c r="W11" s="2">
        <f>Scoresheet!JA13</f>
        <v>51</v>
      </c>
      <c r="X11" s="2">
        <f>Scoresheet!JM13</f>
        <v>0</v>
      </c>
      <c r="Y11" s="2">
        <f>Scoresheet!JY13</f>
        <v>0</v>
      </c>
      <c r="Z11" s="2">
        <f t="shared" si="0"/>
        <v>8</v>
      </c>
      <c r="AA11" s="2" t="str">
        <f>Data!H11</f>
        <v>16th January, 2026</v>
      </c>
      <c r="AB11" s="2" t="b">
        <f t="shared" si="2"/>
        <v>0</v>
      </c>
      <c r="AC11" s="2">
        <f t="shared" si="3"/>
        <v>800</v>
      </c>
      <c r="AD11" s="2">
        <f t="shared" si="1"/>
        <v>294</v>
      </c>
      <c r="AE11" s="157">
        <f t="shared" si="4"/>
        <v>29.4</v>
      </c>
      <c r="AF11" s="38">
        <f t="shared" si="5"/>
        <v>28</v>
      </c>
    </row>
    <row r="12" spans="1:32">
      <c r="A12" s="211">
        <v>11</v>
      </c>
      <c r="B12" s="2">
        <f>Scoresheet!I14</f>
        <v>52</v>
      </c>
      <c r="C12" s="2">
        <f>Scoresheet!U14</f>
        <v>52</v>
      </c>
      <c r="D12" s="2">
        <f>Scoresheet!AG14</f>
        <v>68</v>
      </c>
      <c r="E12" s="2">
        <f>Scoresheet!AS14</f>
        <v>0</v>
      </c>
      <c r="F12" s="2">
        <f>Scoresheet!BE14</f>
        <v>0</v>
      </c>
      <c r="G12" s="2">
        <f>Scoresheet!BQ14</f>
        <v>68</v>
      </c>
      <c r="H12" s="2">
        <f>Scoresheet!CC14</f>
        <v>47</v>
      </c>
      <c r="I12" s="2">
        <f>Scoresheet!CO14</f>
        <v>0</v>
      </c>
      <c r="J12" s="2">
        <f>Scoresheet!DA14</f>
        <v>0</v>
      </c>
      <c r="K12" s="2">
        <f>Scoresheet!DM14</f>
        <v>29</v>
      </c>
      <c r="L12" s="2">
        <f>Scoresheet!DY14</f>
        <v>0</v>
      </c>
      <c r="M12" s="2">
        <f>Scoresheet!EK14</f>
        <v>0</v>
      </c>
      <c r="N12" s="2">
        <f>Scoresheet!EW14</f>
        <v>0</v>
      </c>
      <c r="O12" s="2">
        <f>Scoresheet!FI14</f>
        <v>0</v>
      </c>
      <c r="P12" s="2">
        <f>Scoresheet!FU14</f>
        <v>0</v>
      </c>
      <c r="Q12" s="2">
        <f>Scoresheet!GG14</f>
        <v>55</v>
      </c>
      <c r="R12" s="2">
        <f>Scoresheet!GS14</f>
        <v>0</v>
      </c>
      <c r="S12" s="2">
        <f>Scoresheet!HE14</f>
        <v>0</v>
      </c>
      <c r="T12" s="2">
        <f>Scoresheet!HQ14</f>
        <v>0</v>
      </c>
      <c r="U12" s="2">
        <f>Scoresheet!IC14</f>
        <v>0</v>
      </c>
      <c r="V12" s="2">
        <f>Scoresheet!IO14</f>
        <v>0</v>
      </c>
      <c r="W12" s="2">
        <f>Scoresheet!JA14</f>
        <v>68</v>
      </c>
      <c r="X12" s="2">
        <f>Scoresheet!JM14</f>
        <v>0</v>
      </c>
      <c r="Y12" s="2">
        <f>Scoresheet!JY14</f>
        <v>0</v>
      </c>
      <c r="Z12" s="2">
        <f t="shared" si="0"/>
        <v>8</v>
      </c>
      <c r="AA12" s="2" t="str">
        <f>Data!H12</f>
        <v>16th January, 2026</v>
      </c>
      <c r="AB12" s="2" t="b">
        <f t="shared" si="2"/>
        <v>0</v>
      </c>
      <c r="AC12" s="2">
        <f t="shared" si="3"/>
        <v>800</v>
      </c>
      <c r="AD12" s="2">
        <f t="shared" si="1"/>
        <v>439</v>
      </c>
      <c r="AE12" s="157">
        <f t="shared" si="4"/>
        <v>43.9</v>
      </c>
      <c r="AF12" s="38">
        <f t="shared" si="5"/>
        <v>9</v>
      </c>
    </row>
    <row r="13" spans="1:32">
      <c r="A13" s="211">
        <v>12</v>
      </c>
      <c r="B13" s="2">
        <f>Scoresheet!I15</f>
        <v>53</v>
      </c>
      <c r="C13" s="2">
        <f>Scoresheet!U15</f>
        <v>53</v>
      </c>
      <c r="D13" s="2">
        <f>Scoresheet!AG15</f>
        <v>68</v>
      </c>
      <c r="E13" s="2">
        <f>Scoresheet!AS15</f>
        <v>0</v>
      </c>
      <c r="F13" s="2">
        <f>Scoresheet!BE15</f>
        <v>0</v>
      </c>
      <c r="G13" s="2">
        <f>Scoresheet!BQ15</f>
        <v>68</v>
      </c>
      <c r="H13" s="2">
        <f>Scoresheet!CC15</f>
        <v>50</v>
      </c>
      <c r="I13" s="2">
        <f>Scoresheet!CO15</f>
        <v>0</v>
      </c>
      <c r="J13" s="2">
        <f>Scoresheet!DA15</f>
        <v>0</v>
      </c>
      <c r="K13" s="2">
        <f>Scoresheet!DM15</f>
        <v>41</v>
      </c>
      <c r="L13" s="2">
        <f>Scoresheet!DY15</f>
        <v>0</v>
      </c>
      <c r="M13" s="2">
        <f>Scoresheet!EK15</f>
        <v>0</v>
      </c>
      <c r="N13" s="2">
        <f>Scoresheet!EW15</f>
        <v>0</v>
      </c>
      <c r="O13" s="2">
        <f>Scoresheet!FI15</f>
        <v>0</v>
      </c>
      <c r="P13" s="2">
        <f>Scoresheet!FU15</f>
        <v>0</v>
      </c>
      <c r="Q13" s="2">
        <f>Scoresheet!GG15</f>
        <v>60</v>
      </c>
      <c r="R13" s="2">
        <f>Scoresheet!GS15</f>
        <v>0</v>
      </c>
      <c r="S13" s="2">
        <f>Scoresheet!HE15</f>
        <v>0</v>
      </c>
      <c r="T13" s="2">
        <f>Scoresheet!HQ15</f>
        <v>0</v>
      </c>
      <c r="U13" s="2">
        <f>Scoresheet!IC15</f>
        <v>0</v>
      </c>
      <c r="V13" s="2">
        <f>Scoresheet!IO15</f>
        <v>0</v>
      </c>
      <c r="W13" s="2">
        <f>Scoresheet!JA15</f>
        <v>68</v>
      </c>
      <c r="X13" s="2">
        <f>Scoresheet!JM15</f>
        <v>0</v>
      </c>
      <c r="Y13" s="2">
        <f>Scoresheet!JY15</f>
        <v>0</v>
      </c>
      <c r="Z13" s="2">
        <f t="shared" si="0"/>
        <v>8</v>
      </c>
      <c r="AA13" s="2" t="str">
        <f>Data!H13</f>
        <v>16th January, 2026</v>
      </c>
      <c r="AB13" s="2" t="b">
        <f t="shared" si="2"/>
        <v>0</v>
      </c>
      <c r="AC13" s="2">
        <f t="shared" si="3"/>
        <v>800</v>
      </c>
      <c r="AD13" s="2">
        <f t="shared" si="1"/>
        <v>461</v>
      </c>
      <c r="AE13" s="157">
        <f t="shared" si="4"/>
        <v>46.1</v>
      </c>
      <c r="AF13" s="38">
        <f t="shared" si="5"/>
        <v>6</v>
      </c>
    </row>
    <row r="14" spans="1:32">
      <c r="A14" s="211">
        <v>13</v>
      </c>
      <c r="B14" s="2">
        <f>Scoresheet!I16</f>
        <v>63</v>
      </c>
      <c r="C14" s="2">
        <f>Scoresheet!U16</f>
        <v>63</v>
      </c>
      <c r="D14" s="2">
        <f>Scoresheet!AG16</f>
        <v>72</v>
      </c>
      <c r="E14" s="2">
        <f>Scoresheet!AS16</f>
        <v>0</v>
      </c>
      <c r="F14" s="2">
        <f>Scoresheet!BE16</f>
        <v>0</v>
      </c>
      <c r="G14" s="2">
        <f>Scoresheet!BQ16</f>
        <v>72</v>
      </c>
      <c r="H14" s="2">
        <f>Scoresheet!CC16</f>
        <v>68</v>
      </c>
      <c r="I14" s="2">
        <f>Scoresheet!CO16</f>
        <v>0</v>
      </c>
      <c r="J14" s="2">
        <f>Scoresheet!DA16</f>
        <v>0</v>
      </c>
      <c r="K14" s="2">
        <f>Scoresheet!DM16</f>
        <v>0</v>
      </c>
      <c r="L14" s="2">
        <f>Scoresheet!DY16</f>
        <v>0</v>
      </c>
      <c r="M14" s="2">
        <f>Scoresheet!EK16</f>
        <v>0</v>
      </c>
      <c r="N14" s="2">
        <f>Scoresheet!EW16</f>
        <v>0</v>
      </c>
      <c r="O14" s="2">
        <f>Scoresheet!FI16</f>
        <v>0</v>
      </c>
      <c r="P14" s="2">
        <f>Scoresheet!FU16</f>
        <v>0</v>
      </c>
      <c r="Q14" s="2">
        <f>Scoresheet!GG16</f>
        <v>57</v>
      </c>
      <c r="R14" s="2">
        <f>Scoresheet!GS16</f>
        <v>0</v>
      </c>
      <c r="S14" s="2">
        <f>Scoresheet!HE16</f>
        <v>0</v>
      </c>
      <c r="T14" s="2">
        <f>Scoresheet!HQ16</f>
        <v>34</v>
      </c>
      <c r="U14" s="2">
        <f>Scoresheet!IC16</f>
        <v>0</v>
      </c>
      <c r="V14" s="2">
        <f>Scoresheet!IO16</f>
        <v>0</v>
      </c>
      <c r="W14" s="2">
        <f>Scoresheet!JA16</f>
        <v>72</v>
      </c>
      <c r="X14" s="2">
        <f>Scoresheet!JM16</f>
        <v>0</v>
      </c>
      <c r="Y14" s="2">
        <f>Scoresheet!JY16</f>
        <v>0</v>
      </c>
      <c r="Z14" s="2">
        <f t="shared" si="0"/>
        <v>8</v>
      </c>
      <c r="AA14" s="2" t="str">
        <f>Data!H14</f>
        <v>16th January, 2026</v>
      </c>
      <c r="AB14" s="2" t="b">
        <f t="shared" si="2"/>
        <v>0</v>
      </c>
      <c r="AC14" s="2">
        <f t="shared" si="3"/>
        <v>800</v>
      </c>
      <c r="AD14" s="2">
        <f t="shared" si="1"/>
        <v>501</v>
      </c>
      <c r="AE14" s="157">
        <f t="shared" si="4"/>
        <v>50.1</v>
      </c>
      <c r="AF14" s="38">
        <f t="shared" si="5"/>
        <v>2</v>
      </c>
    </row>
    <row r="15" spans="1:32">
      <c r="A15" s="211">
        <v>14</v>
      </c>
      <c r="B15" s="2">
        <f>Scoresheet!I17</f>
        <v>41</v>
      </c>
      <c r="C15" s="2">
        <f>Scoresheet!U17</f>
        <v>41</v>
      </c>
      <c r="D15" s="2">
        <f>Scoresheet!AG17</f>
        <v>58</v>
      </c>
      <c r="E15" s="2">
        <f>Scoresheet!AS17</f>
        <v>0</v>
      </c>
      <c r="F15" s="2">
        <f>Scoresheet!BE17</f>
        <v>0</v>
      </c>
      <c r="G15" s="2">
        <f>Scoresheet!BQ17</f>
        <v>58</v>
      </c>
      <c r="H15" s="2">
        <f>Scoresheet!CC17</f>
        <v>41</v>
      </c>
      <c r="I15" s="2">
        <f>Scoresheet!CO17</f>
        <v>0</v>
      </c>
      <c r="J15" s="2">
        <f>Scoresheet!DA17</f>
        <v>0</v>
      </c>
      <c r="K15" s="2">
        <f>Scoresheet!DM17</f>
        <v>46</v>
      </c>
      <c r="L15" s="2">
        <f>Scoresheet!DY17</f>
        <v>0</v>
      </c>
      <c r="M15" s="2">
        <f>Scoresheet!EK17</f>
        <v>0</v>
      </c>
      <c r="N15" s="2">
        <f>Scoresheet!EW17</f>
        <v>0</v>
      </c>
      <c r="O15" s="2">
        <f>Scoresheet!FI17</f>
        <v>0</v>
      </c>
      <c r="P15" s="2">
        <f>Scoresheet!FU17</f>
        <v>0</v>
      </c>
      <c r="Q15" s="2">
        <f>Scoresheet!GG17</f>
        <v>59</v>
      </c>
      <c r="R15" s="2">
        <f>Scoresheet!GS17</f>
        <v>0</v>
      </c>
      <c r="S15" s="2">
        <f>Scoresheet!HE17</f>
        <v>0</v>
      </c>
      <c r="T15" s="2">
        <f>Scoresheet!HQ17</f>
        <v>0</v>
      </c>
      <c r="U15" s="2">
        <f>Scoresheet!IC17</f>
        <v>0</v>
      </c>
      <c r="V15" s="2">
        <f>Scoresheet!IO17</f>
        <v>0</v>
      </c>
      <c r="W15" s="2">
        <f>Scoresheet!JA17</f>
        <v>58</v>
      </c>
      <c r="X15" s="2">
        <f>Scoresheet!JM17</f>
        <v>0</v>
      </c>
      <c r="Y15" s="2">
        <f>Scoresheet!JY17</f>
        <v>0</v>
      </c>
      <c r="Z15" s="2">
        <f t="shared" si="0"/>
        <v>8</v>
      </c>
      <c r="AA15" s="2" t="str">
        <f>Data!H15</f>
        <v>16th January, 2026</v>
      </c>
      <c r="AB15" s="2" t="b">
        <f t="shared" si="2"/>
        <v>0</v>
      </c>
      <c r="AC15" s="2">
        <f t="shared" si="3"/>
        <v>800</v>
      </c>
      <c r="AD15" s="2">
        <f t="shared" si="1"/>
        <v>402</v>
      </c>
      <c r="AE15" s="157">
        <f t="shared" si="4"/>
        <v>40.200000000000003</v>
      </c>
      <c r="AF15" s="38">
        <f t="shared" si="5"/>
        <v>12</v>
      </c>
    </row>
    <row r="16" spans="1:32">
      <c r="A16" s="211">
        <v>15</v>
      </c>
      <c r="B16" s="2">
        <f>Scoresheet!I18</f>
        <v>58</v>
      </c>
      <c r="C16" s="2">
        <f>Scoresheet!U18</f>
        <v>58</v>
      </c>
      <c r="D16" s="2">
        <f>Scoresheet!AG18</f>
        <v>71</v>
      </c>
      <c r="E16" s="2">
        <f>Scoresheet!AS18</f>
        <v>0</v>
      </c>
      <c r="F16" s="2">
        <f>Scoresheet!BE18</f>
        <v>0</v>
      </c>
      <c r="G16" s="2">
        <f>Scoresheet!BQ18</f>
        <v>71</v>
      </c>
      <c r="H16" s="2">
        <f>Scoresheet!CC18</f>
        <v>43</v>
      </c>
      <c r="I16" s="2">
        <f>Scoresheet!CO18</f>
        <v>0</v>
      </c>
      <c r="J16" s="2">
        <f>Scoresheet!DA18</f>
        <v>0</v>
      </c>
      <c r="K16" s="2">
        <f>Scoresheet!DM18</f>
        <v>0</v>
      </c>
      <c r="L16" s="2">
        <f>Scoresheet!DY18</f>
        <v>0</v>
      </c>
      <c r="M16" s="2">
        <f>Scoresheet!EK18</f>
        <v>0</v>
      </c>
      <c r="N16" s="2">
        <f>Scoresheet!EW18</f>
        <v>0</v>
      </c>
      <c r="O16" s="2">
        <f>Scoresheet!FI18</f>
        <v>0</v>
      </c>
      <c r="P16" s="2">
        <f>Scoresheet!FU18</f>
        <v>0</v>
      </c>
      <c r="Q16" s="2">
        <f>Scoresheet!GG18</f>
        <v>42</v>
      </c>
      <c r="R16" s="2">
        <f>Scoresheet!GS18</f>
        <v>0</v>
      </c>
      <c r="S16" s="2">
        <f>Scoresheet!HE18</f>
        <v>34</v>
      </c>
      <c r="T16" s="2">
        <f>Scoresheet!HQ18</f>
        <v>0</v>
      </c>
      <c r="U16" s="2">
        <f>Scoresheet!IC18</f>
        <v>0</v>
      </c>
      <c r="V16" s="2">
        <f>Scoresheet!IO18</f>
        <v>0</v>
      </c>
      <c r="W16" s="2">
        <f>Scoresheet!JA18</f>
        <v>71</v>
      </c>
      <c r="X16" s="2">
        <f>Scoresheet!JM18</f>
        <v>0</v>
      </c>
      <c r="Y16" s="2">
        <f>Scoresheet!JY18</f>
        <v>0</v>
      </c>
      <c r="Z16" s="2">
        <f t="shared" si="0"/>
        <v>8</v>
      </c>
      <c r="AA16" s="2" t="str">
        <f>Data!H16</f>
        <v>16th January, 2026</v>
      </c>
      <c r="AB16" s="2" t="b">
        <f t="shared" si="2"/>
        <v>0</v>
      </c>
      <c r="AC16" s="2">
        <f t="shared" si="3"/>
        <v>800</v>
      </c>
      <c r="AD16" s="2">
        <f t="shared" si="1"/>
        <v>448</v>
      </c>
      <c r="AE16" s="157">
        <f t="shared" si="4"/>
        <v>44.8</v>
      </c>
      <c r="AF16" s="38">
        <f t="shared" si="5"/>
        <v>8</v>
      </c>
    </row>
    <row r="17" spans="1:32">
      <c r="A17" s="211">
        <v>16</v>
      </c>
      <c r="B17" s="2">
        <f>Scoresheet!I19</f>
        <v>27</v>
      </c>
      <c r="C17" s="2">
        <f>Scoresheet!U19</f>
        <v>27</v>
      </c>
      <c r="D17" s="2">
        <f>Scoresheet!AG19</f>
        <v>47</v>
      </c>
      <c r="E17" s="2">
        <f>Scoresheet!AS19</f>
        <v>0</v>
      </c>
      <c r="F17" s="2">
        <f>Scoresheet!BE19</f>
        <v>0</v>
      </c>
      <c r="G17" s="2">
        <f>Scoresheet!BQ19</f>
        <v>47</v>
      </c>
      <c r="H17" s="2">
        <f>Scoresheet!CC19</f>
        <v>20</v>
      </c>
      <c r="I17" s="2">
        <f>Scoresheet!CO19</f>
        <v>0</v>
      </c>
      <c r="J17" s="2">
        <f>Scoresheet!DA19</f>
        <v>0</v>
      </c>
      <c r="K17" s="2">
        <f>Scoresheet!DM19</f>
        <v>23</v>
      </c>
      <c r="L17" s="2">
        <f>Scoresheet!DY19</f>
        <v>0</v>
      </c>
      <c r="M17" s="2">
        <f>Scoresheet!EK19</f>
        <v>0</v>
      </c>
      <c r="N17" s="2">
        <f>Scoresheet!EW19</f>
        <v>0</v>
      </c>
      <c r="O17" s="2">
        <f>Scoresheet!FI19</f>
        <v>0</v>
      </c>
      <c r="P17" s="2">
        <f>Scoresheet!FU19</f>
        <v>0</v>
      </c>
      <c r="Q17" s="2">
        <f>Scoresheet!GG19</f>
        <v>32</v>
      </c>
      <c r="R17" s="2">
        <f>Scoresheet!GS19</f>
        <v>0</v>
      </c>
      <c r="S17" s="2">
        <f>Scoresheet!HE19</f>
        <v>0</v>
      </c>
      <c r="T17" s="2">
        <f>Scoresheet!HQ19</f>
        <v>0</v>
      </c>
      <c r="U17" s="2">
        <f>Scoresheet!IC19</f>
        <v>0</v>
      </c>
      <c r="V17" s="2">
        <f>Scoresheet!IO19</f>
        <v>0</v>
      </c>
      <c r="W17" s="2">
        <f>Scoresheet!JA19</f>
        <v>47</v>
      </c>
      <c r="X17" s="2">
        <f>Scoresheet!JM19</f>
        <v>0</v>
      </c>
      <c r="Y17" s="2">
        <f>Scoresheet!JY19</f>
        <v>0</v>
      </c>
      <c r="Z17" s="2">
        <f t="shared" si="0"/>
        <v>8</v>
      </c>
      <c r="AA17" s="2" t="str">
        <f>Data!H17</f>
        <v>16th January, 2026</v>
      </c>
      <c r="AB17" s="2" t="b">
        <f t="shared" si="2"/>
        <v>0</v>
      </c>
      <c r="AC17" s="2">
        <f t="shared" si="3"/>
        <v>800</v>
      </c>
      <c r="AD17" s="2">
        <f t="shared" si="1"/>
        <v>270</v>
      </c>
      <c r="AE17" s="157">
        <f t="shared" si="4"/>
        <v>27</v>
      </c>
      <c r="AF17" s="38">
        <f t="shared" si="5"/>
        <v>31</v>
      </c>
    </row>
    <row r="18" spans="1:32">
      <c r="A18" s="211">
        <v>17</v>
      </c>
      <c r="B18" s="2">
        <f>Scoresheet!I20</f>
        <v>0</v>
      </c>
      <c r="C18" s="2">
        <f>Scoresheet!U20</f>
        <v>0</v>
      </c>
      <c r="D18" s="2">
        <f>Scoresheet!AG20</f>
        <v>42</v>
      </c>
      <c r="E18" s="2">
        <f>Scoresheet!AS20</f>
        <v>0</v>
      </c>
      <c r="F18" s="2">
        <f>Scoresheet!BE20</f>
        <v>0</v>
      </c>
      <c r="G18" s="2">
        <f>Scoresheet!BQ20</f>
        <v>42</v>
      </c>
      <c r="H18" s="2">
        <f>Scoresheet!CC20</f>
        <v>49</v>
      </c>
      <c r="I18" s="2">
        <f>Scoresheet!CO20</f>
        <v>0</v>
      </c>
      <c r="J18" s="2">
        <f>Scoresheet!DA20</f>
        <v>0</v>
      </c>
      <c r="K18" s="2">
        <f>Scoresheet!DM20</f>
        <v>0</v>
      </c>
      <c r="L18" s="2">
        <f>Scoresheet!DY20</f>
        <v>0</v>
      </c>
      <c r="M18" s="2">
        <f>Scoresheet!EK20</f>
        <v>0</v>
      </c>
      <c r="N18" s="2">
        <f>Scoresheet!EW20</f>
        <v>0</v>
      </c>
      <c r="O18" s="2">
        <f>Scoresheet!FI20</f>
        <v>0</v>
      </c>
      <c r="P18" s="2">
        <f>Scoresheet!FU20</f>
        <v>0</v>
      </c>
      <c r="Q18" s="2">
        <f>Scoresheet!GG20</f>
        <v>54</v>
      </c>
      <c r="R18" s="2">
        <f>Scoresheet!GS20</f>
        <v>0</v>
      </c>
      <c r="S18" s="2">
        <f>Scoresheet!HE20</f>
        <v>0</v>
      </c>
      <c r="T18" s="2">
        <f>Scoresheet!HQ20</f>
        <v>0</v>
      </c>
      <c r="U18" s="2">
        <f>Scoresheet!IC20</f>
        <v>0</v>
      </c>
      <c r="V18" s="2">
        <f>Scoresheet!IO20</f>
        <v>0</v>
      </c>
      <c r="W18" s="2">
        <f>Scoresheet!JA20</f>
        <v>42</v>
      </c>
      <c r="X18" s="2">
        <f>Scoresheet!JM20</f>
        <v>0</v>
      </c>
      <c r="Y18" s="2">
        <f>Scoresheet!JY20</f>
        <v>0</v>
      </c>
      <c r="Z18" s="2">
        <f t="shared" si="0"/>
        <v>5</v>
      </c>
      <c r="AA18" s="2" t="str">
        <f>Data!H18</f>
        <v>16th January, 2026</v>
      </c>
      <c r="AB18" s="2" t="b">
        <f t="shared" si="2"/>
        <v>0</v>
      </c>
      <c r="AC18" s="2">
        <f t="shared" si="3"/>
        <v>500</v>
      </c>
      <c r="AD18" s="2">
        <f t="shared" si="1"/>
        <v>229</v>
      </c>
      <c r="AE18" s="157">
        <f t="shared" si="4"/>
        <v>22.9</v>
      </c>
      <c r="AF18" s="38">
        <f t="shared" si="5"/>
        <v>34</v>
      </c>
    </row>
    <row r="19" spans="1:32">
      <c r="A19" s="211">
        <v>18</v>
      </c>
      <c r="B19" s="2">
        <f>Scoresheet!I21</f>
        <v>62</v>
      </c>
      <c r="C19" s="2">
        <f>Scoresheet!U21</f>
        <v>62</v>
      </c>
      <c r="D19" s="2">
        <f>Scoresheet!AG21</f>
        <v>77</v>
      </c>
      <c r="E19" s="2">
        <f>Scoresheet!AS21</f>
        <v>0</v>
      </c>
      <c r="F19" s="2">
        <f>Scoresheet!BE21</f>
        <v>0</v>
      </c>
      <c r="G19" s="2">
        <f>Scoresheet!BQ21</f>
        <v>77</v>
      </c>
      <c r="H19" s="2">
        <f>Scoresheet!CC21</f>
        <v>85</v>
      </c>
      <c r="I19" s="2">
        <f>Scoresheet!CO21</f>
        <v>0</v>
      </c>
      <c r="J19" s="2">
        <f>Scoresheet!DA21</f>
        <v>0</v>
      </c>
      <c r="K19" s="2">
        <f>Scoresheet!DM21</f>
        <v>0</v>
      </c>
      <c r="L19" s="2">
        <f>Scoresheet!DY21</f>
        <v>0</v>
      </c>
      <c r="M19" s="2">
        <f>Scoresheet!EK21</f>
        <v>0</v>
      </c>
      <c r="N19" s="2">
        <f>Scoresheet!EW21</f>
        <v>0</v>
      </c>
      <c r="O19" s="2">
        <f>Scoresheet!FI21</f>
        <v>0</v>
      </c>
      <c r="P19" s="2">
        <f>Scoresheet!FU21</f>
        <v>0</v>
      </c>
      <c r="Q19" s="2">
        <f>Scoresheet!GG21</f>
        <v>76</v>
      </c>
      <c r="R19" s="2">
        <f>Scoresheet!GS21</f>
        <v>0</v>
      </c>
      <c r="S19" s="2">
        <f>Scoresheet!HE21</f>
        <v>39</v>
      </c>
      <c r="T19" s="2">
        <f>Scoresheet!HQ21</f>
        <v>0</v>
      </c>
      <c r="U19" s="2">
        <f>Scoresheet!IC21</f>
        <v>0</v>
      </c>
      <c r="V19" s="2">
        <f>Scoresheet!IO21</f>
        <v>0</v>
      </c>
      <c r="W19" s="2">
        <f>Scoresheet!JA21</f>
        <v>77</v>
      </c>
      <c r="X19" s="2">
        <f>Scoresheet!JM21</f>
        <v>0</v>
      </c>
      <c r="Y19" s="2">
        <f>Scoresheet!JY21</f>
        <v>0</v>
      </c>
      <c r="Z19" s="2">
        <f t="shared" si="0"/>
        <v>8</v>
      </c>
      <c r="AA19" s="2" t="str">
        <f>Data!H19</f>
        <v>16th January, 2026</v>
      </c>
      <c r="AB19" s="2" t="b">
        <f t="shared" si="2"/>
        <v>0</v>
      </c>
      <c r="AC19" s="2">
        <f t="shared" si="3"/>
        <v>800</v>
      </c>
      <c r="AD19" s="2">
        <f t="shared" si="1"/>
        <v>555</v>
      </c>
      <c r="AE19" s="157">
        <f t="shared" si="4"/>
        <v>55.5</v>
      </c>
      <c r="AF19" s="38">
        <f t="shared" si="5"/>
        <v>1</v>
      </c>
    </row>
    <row r="20" spans="1:32">
      <c r="A20" s="211">
        <v>19</v>
      </c>
      <c r="B20" s="2">
        <f>Scoresheet!I22</f>
        <v>38</v>
      </c>
      <c r="C20" s="2">
        <f>Scoresheet!U22</f>
        <v>38</v>
      </c>
      <c r="D20" s="2">
        <f>Scoresheet!AG22</f>
        <v>55</v>
      </c>
      <c r="E20" s="2">
        <f>Scoresheet!AS22</f>
        <v>0</v>
      </c>
      <c r="F20" s="2">
        <f>Scoresheet!BE22</f>
        <v>0</v>
      </c>
      <c r="G20" s="2">
        <f>Scoresheet!BQ22</f>
        <v>55</v>
      </c>
      <c r="H20" s="2">
        <f>Scoresheet!CC22</f>
        <v>51</v>
      </c>
      <c r="I20" s="2">
        <f>Scoresheet!CO22</f>
        <v>0</v>
      </c>
      <c r="J20" s="2">
        <f>Scoresheet!DA22</f>
        <v>0</v>
      </c>
      <c r="K20" s="2">
        <f>Scoresheet!DM22</f>
        <v>35</v>
      </c>
      <c r="L20" s="2">
        <f>Scoresheet!DY22</f>
        <v>0</v>
      </c>
      <c r="M20" s="2">
        <f>Scoresheet!EK22</f>
        <v>0</v>
      </c>
      <c r="N20" s="2">
        <f>Scoresheet!EW22</f>
        <v>0</v>
      </c>
      <c r="O20" s="2">
        <f>Scoresheet!FI22</f>
        <v>0</v>
      </c>
      <c r="P20" s="2">
        <f>Scoresheet!FU22</f>
        <v>0</v>
      </c>
      <c r="Q20" s="2">
        <f>Scoresheet!GG22</f>
        <v>49</v>
      </c>
      <c r="R20" s="2">
        <f>Scoresheet!GS22</f>
        <v>0</v>
      </c>
      <c r="S20" s="2">
        <f>Scoresheet!HE22</f>
        <v>0</v>
      </c>
      <c r="T20" s="2">
        <f>Scoresheet!HQ22</f>
        <v>0</v>
      </c>
      <c r="U20" s="2">
        <f>Scoresheet!IC22</f>
        <v>0</v>
      </c>
      <c r="V20" s="2">
        <f>Scoresheet!IO22</f>
        <v>0</v>
      </c>
      <c r="W20" s="2">
        <f>Scoresheet!JA22</f>
        <v>55</v>
      </c>
      <c r="X20" s="2">
        <f>Scoresheet!JM22</f>
        <v>0</v>
      </c>
      <c r="Y20" s="2">
        <f>Scoresheet!JY22</f>
        <v>0</v>
      </c>
      <c r="Z20" s="2">
        <f t="shared" si="0"/>
        <v>8</v>
      </c>
      <c r="AA20" s="2" t="str">
        <f>Data!H20</f>
        <v>16th January, 2026</v>
      </c>
      <c r="AB20" s="2" t="b">
        <f t="shared" si="2"/>
        <v>0</v>
      </c>
      <c r="AC20" s="2">
        <f t="shared" si="3"/>
        <v>800</v>
      </c>
      <c r="AD20" s="2">
        <f t="shared" si="1"/>
        <v>376</v>
      </c>
      <c r="AE20" s="157">
        <f t="shared" si="4"/>
        <v>37.6</v>
      </c>
      <c r="AF20" s="38">
        <f t="shared" si="5"/>
        <v>16</v>
      </c>
    </row>
    <row r="21" spans="1:32">
      <c r="A21" s="211">
        <v>20</v>
      </c>
      <c r="B21" s="2">
        <f>Scoresheet!I23</f>
        <v>26</v>
      </c>
      <c r="C21" s="2">
        <f>Scoresheet!U23</f>
        <v>26</v>
      </c>
      <c r="D21" s="2">
        <f>Scoresheet!AG23</f>
        <v>54</v>
      </c>
      <c r="E21" s="2">
        <f>Scoresheet!AS23</f>
        <v>0</v>
      </c>
      <c r="F21" s="2">
        <f>Scoresheet!BE23</f>
        <v>0</v>
      </c>
      <c r="G21" s="2">
        <f>Scoresheet!BQ23</f>
        <v>54</v>
      </c>
      <c r="H21" s="2">
        <f>Scoresheet!CC23</f>
        <v>37</v>
      </c>
      <c r="I21" s="2">
        <f>Scoresheet!CO23</f>
        <v>0</v>
      </c>
      <c r="J21" s="2">
        <f>Scoresheet!DA23</f>
        <v>0</v>
      </c>
      <c r="K21" s="2">
        <f>Scoresheet!DM23</f>
        <v>33</v>
      </c>
      <c r="L21" s="2">
        <f>Scoresheet!DY23</f>
        <v>0</v>
      </c>
      <c r="M21" s="2">
        <f>Scoresheet!EK23</f>
        <v>0</v>
      </c>
      <c r="N21" s="2">
        <f>Scoresheet!EW23</f>
        <v>0</v>
      </c>
      <c r="O21" s="2">
        <f>Scoresheet!FI23</f>
        <v>0</v>
      </c>
      <c r="P21" s="2">
        <f>Scoresheet!FU23</f>
        <v>0</v>
      </c>
      <c r="Q21" s="2">
        <f>Scoresheet!GG23</f>
        <v>35</v>
      </c>
      <c r="R21" s="2">
        <f>Scoresheet!GS23</f>
        <v>0</v>
      </c>
      <c r="S21" s="2">
        <f>Scoresheet!HE23</f>
        <v>0</v>
      </c>
      <c r="T21" s="2">
        <f>Scoresheet!HQ23</f>
        <v>0</v>
      </c>
      <c r="U21" s="2">
        <f>Scoresheet!IC23</f>
        <v>0</v>
      </c>
      <c r="V21" s="2">
        <f>Scoresheet!IO23</f>
        <v>0</v>
      </c>
      <c r="W21" s="2">
        <f>Scoresheet!JA23</f>
        <v>54</v>
      </c>
      <c r="X21" s="2">
        <f>Scoresheet!JM23</f>
        <v>0</v>
      </c>
      <c r="Y21" s="2">
        <f>Scoresheet!JY23</f>
        <v>0</v>
      </c>
      <c r="Z21" s="2">
        <f t="shared" si="0"/>
        <v>8</v>
      </c>
      <c r="AA21" s="2" t="str">
        <f>Data!H21</f>
        <v>16th January, 2026</v>
      </c>
      <c r="AB21" s="2" t="b">
        <f t="shared" si="2"/>
        <v>0</v>
      </c>
      <c r="AC21" s="2">
        <f t="shared" si="3"/>
        <v>800</v>
      </c>
      <c r="AD21" s="2">
        <f t="shared" si="1"/>
        <v>319</v>
      </c>
      <c r="AE21" s="157">
        <f t="shared" si="4"/>
        <v>31.9</v>
      </c>
      <c r="AF21" s="38">
        <f t="shared" si="5"/>
        <v>25</v>
      </c>
    </row>
    <row r="22" spans="1:32">
      <c r="A22" s="211">
        <v>21</v>
      </c>
      <c r="B22" s="2">
        <f>Scoresheet!I24</f>
        <v>47</v>
      </c>
      <c r="C22" s="2">
        <f>Scoresheet!U24</f>
        <v>47</v>
      </c>
      <c r="D22" s="2">
        <f>Scoresheet!AG24</f>
        <v>65</v>
      </c>
      <c r="E22" s="2">
        <f>Scoresheet!AS24</f>
        <v>0</v>
      </c>
      <c r="F22" s="2">
        <f>Scoresheet!BE24</f>
        <v>0</v>
      </c>
      <c r="G22" s="2">
        <f>Scoresheet!BQ24</f>
        <v>65</v>
      </c>
      <c r="H22" s="2">
        <f>Scoresheet!CC24</f>
        <v>42</v>
      </c>
      <c r="I22" s="2">
        <f>Scoresheet!CO24</f>
        <v>0</v>
      </c>
      <c r="J22" s="2">
        <f>Scoresheet!DA24</f>
        <v>0</v>
      </c>
      <c r="K22" s="2">
        <f>Scoresheet!DM24</f>
        <v>38</v>
      </c>
      <c r="L22" s="2">
        <f>Scoresheet!DY24</f>
        <v>0</v>
      </c>
      <c r="M22" s="2">
        <f>Scoresheet!EK24</f>
        <v>0</v>
      </c>
      <c r="N22" s="2">
        <f>Scoresheet!EW24</f>
        <v>0</v>
      </c>
      <c r="O22" s="2">
        <f>Scoresheet!FI24</f>
        <v>0</v>
      </c>
      <c r="P22" s="2">
        <f>Scoresheet!FU24</f>
        <v>0</v>
      </c>
      <c r="Q22" s="2">
        <f>Scoresheet!GG24</f>
        <v>58</v>
      </c>
      <c r="R22" s="2">
        <f>Scoresheet!GS24</f>
        <v>0</v>
      </c>
      <c r="S22" s="2">
        <f>Scoresheet!HE24</f>
        <v>0</v>
      </c>
      <c r="T22" s="2">
        <f>Scoresheet!HQ24</f>
        <v>0</v>
      </c>
      <c r="U22" s="2">
        <f>Scoresheet!IC24</f>
        <v>0</v>
      </c>
      <c r="V22" s="2">
        <f>Scoresheet!IO24</f>
        <v>0</v>
      </c>
      <c r="W22" s="2">
        <f>Scoresheet!JA24</f>
        <v>65</v>
      </c>
      <c r="X22" s="2">
        <f>Scoresheet!JM24</f>
        <v>0</v>
      </c>
      <c r="Y22" s="2">
        <f>Scoresheet!JY24</f>
        <v>0</v>
      </c>
      <c r="Z22" s="2">
        <f t="shared" si="0"/>
        <v>8</v>
      </c>
      <c r="AA22" s="2" t="str">
        <f>Data!H22</f>
        <v>16th January, 2026</v>
      </c>
      <c r="AB22" s="2" t="b">
        <f t="shared" si="2"/>
        <v>0</v>
      </c>
      <c r="AC22" s="2">
        <f t="shared" si="3"/>
        <v>800</v>
      </c>
      <c r="AD22" s="2">
        <f t="shared" si="1"/>
        <v>427</v>
      </c>
      <c r="AE22" s="157">
        <f t="shared" si="4"/>
        <v>42.7</v>
      </c>
      <c r="AF22" s="38">
        <f t="shared" si="5"/>
        <v>10</v>
      </c>
    </row>
    <row r="23" spans="1:32">
      <c r="A23" s="211">
        <v>22</v>
      </c>
      <c r="B23" s="2">
        <f>Scoresheet!I25</f>
        <v>5</v>
      </c>
      <c r="C23" s="2">
        <f>Scoresheet!U25</f>
        <v>5</v>
      </c>
      <c r="D23" s="2">
        <f>Scoresheet!AG25</f>
        <v>47</v>
      </c>
      <c r="E23" s="2">
        <f>Scoresheet!AS25</f>
        <v>0</v>
      </c>
      <c r="F23" s="2">
        <f>Scoresheet!BE25</f>
        <v>0</v>
      </c>
      <c r="G23" s="2">
        <f>Scoresheet!BQ25</f>
        <v>47</v>
      </c>
      <c r="H23" s="2">
        <f>Scoresheet!CC25</f>
        <v>4</v>
      </c>
      <c r="I23" s="2">
        <f>Scoresheet!CO25</f>
        <v>0</v>
      </c>
      <c r="J23" s="2">
        <f>Scoresheet!DA25</f>
        <v>0</v>
      </c>
      <c r="K23" s="2">
        <f>Scoresheet!DM25</f>
        <v>5</v>
      </c>
      <c r="L23" s="2">
        <f>Scoresheet!DY25</f>
        <v>0</v>
      </c>
      <c r="M23" s="2">
        <f>Scoresheet!EK25</f>
        <v>0</v>
      </c>
      <c r="N23" s="2">
        <f>Scoresheet!EW25</f>
        <v>0</v>
      </c>
      <c r="O23" s="2">
        <f>Scoresheet!FI25</f>
        <v>0</v>
      </c>
      <c r="P23" s="2">
        <f>Scoresheet!FU25</f>
        <v>0</v>
      </c>
      <c r="Q23" s="2">
        <f>Scoresheet!GG25</f>
        <v>0</v>
      </c>
      <c r="R23" s="2">
        <f>Scoresheet!GS25</f>
        <v>0</v>
      </c>
      <c r="S23" s="2">
        <f>Scoresheet!HE25</f>
        <v>0</v>
      </c>
      <c r="T23" s="2">
        <f>Scoresheet!HQ25</f>
        <v>0</v>
      </c>
      <c r="U23" s="2">
        <f>Scoresheet!IC25</f>
        <v>0</v>
      </c>
      <c r="V23" s="2">
        <f>Scoresheet!IO25</f>
        <v>0</v>
      </c>
      <c r="W23" s="2">
        <f>Scoresheet!JA25</f>
        <v>47</v>
      </c>
      <c r="X23" s="2">
        <f>Scoresheet!JM25</f>
        <v>0</v>
      </c>
      <c r="Y23" s="2">
        <f>Scoresheet!JY25</f>
        <v>0</v>
      </c>
      <c r="Z23" s="2">
        <f t="shared" si="0"/>
        <v>3</v>
      </c>
      <c r="AA23" s="2" t="str">
        <f>Data!H23</f>
        <v>16th January, 2026</v>
      </c>
      <c r="AB23" s="2" t="b">
        <f t="shared" si="2"/>
        <v>0</v>
      </c>
      <c r="AC23" s="2">
        <f t="shared" si="3"/>
        <v>300</v>
      </c>
      <c r="AD23" s="2">
        <f t="shared" si="1"/>
        <v>160</v>
      </c>
      <c r="AE23" s="157">
        <f t="shared" si="4"/>
        <v>15.6</v>
      </c>
      <c r="AF23" s="38">
        <f t="shared" si="5"/>
        <v>44</v>
      </c>
    </row>
    <row r="24" spans="1:32">
      <c r="A24" s="211">
        <v>23</v>
      </c>
      <c r="B24" s="2">
        <f>Scoresheet!I26</f>
        <v>28</v>
      </c>
      <c r="C24" s="2">
        <f>Scoresheet!U26</f>
        <v>28</v>
      </c>
      <c r="D24" s="2">
        <f>Scoresheet!AG26</f>
        <v>55</v>
      </c>
      <c r="E24" s="2">
        <f>Scoresheet!AS26</f>
        <v>0</v>
      </c>
      <c r="F24" s="2">
        <f>Scoresheet!BE26</f>
        <v>0</v>
      </c>
      <c r="G24" s="2">
        <f>Scoresheet!BQ26</f>
        <v>55</v>
      </c>
      <c r="H24" s="2">
        <f>Scoresheet!CC26</f>
        <v>51</v>
      </c>
      <c r="I24" s="2">
        <f>Scoresheet!CO26</f>
        <v>0</v>
      </c>
      <c r="J24" s="2">
        <f>Scoresheet!DA26</f>
        <v>0</v>
      </c>
      <c r="K24" s="2">
        <f>Scoresheet!DM26</f>
        <v>0</v>
      </c>
      <c r="L24" s="2">
        <f>Scoresheet!DY26</f>
        <v>0</v>
      </c>
      <c r="M24" s="2">
        <f>Scoresheet!EK26</f>
        <v>0</v>
      </c>
      <c r="N24" s="2">
        <f>Scoresheet!EW26</f>
        <v>0</v>
      </c>
      <c r="O24" s="2">
        <f>Scoresheet!FI26</f>
        <v>0</v>
      </c>
      <c r="P24" s="2">
        <f>Scoresheet!FU26</f>
        <v>0</v>
      </c>
      <c r="Q24" s="2">
        <f>Scoresheet!GG26</f>
        <v>45</v>
      </c>
      <c r="R24" s="2">
        <f>Scoresheet!GS26</f>
        <v>0</v>
      </c>
      <c r="S24" s="2">
        <f>Scoresheet!HE26</f>
        <v>0</v>
      </c>
      <c r="T24" s="2">
        <f>Scoresheet!HQ26</f>
        <v>0</v>
      </c>
      <c r="U24" s="2">
        <f>Scoresheet!IC26</f>
        <v>0</v>
      </c>
      <c r="V24" s="2">
        <f>Scoresheet!IO26</f>
        <v>0</v>
      </c>
      <c r="W24" s="2">
        <f>Scoresheet!JA26</f>
        <v>55</v>
      </c>
      <c r="X24" s="2">
        <f>Scoresheet!JM26</f>
        <v>0</v>
      </c>
      <c r="Y24" s="2">
        <f>Scoresheet!JY26</f>
        <v>0</v>
      </c>
      <c r="Z24" s="2">
        <f t="shared" si="0"/>
        <v>7</v>
      </c>
      <c r="AA24" s="2" t="str">
        <f>Data!H24</f>
        <v>16th January, 2026</v>
      </c>
      <c r="AB24" s="2" t="b">
        <f t="shared" si="2"/>
        <v>0</v>
      </c>
      <c r="AC24" s="2">
        <f t="shared" si="3"/>
        <v>700</v>
      </c>
      <c r="AD24" s="2">
        <f t="shared" si="1"/>
        <v>317</v>
      </c>
      <c r="AE24" s="157">
        <f t="shared" si="4"/>
        <v>31.7</v>
      </c>
      <c r="AF24" s="38">
        <f t="shared" si="5"/>
        <v>26</v>
      </c>
    </row>
    <row r="25" spans="1:32">
      <c r="A25" s="211">
        <v>24</v>
      </c>
      <c r="B25" s="2">
        <f>Scoresheet!I27</f>
        <v>37</v>
      </c>
      <c r="C25" s="2">
        <f>Scoresheet!U27</f>
        <v>37</v>
      </c>
      <c r="D25" s="2">
        <f>Scoresheet!AG27</f>
        <v>54</v>
      </c>
      <c r="E25" s="2">
        <f>Scoresheet!AS27</f>
        <v>0</v>
      </c>
      <c r="F25" s="2">
        <f>Scoresheet!BE27</f>
        <v>0</v>
      </c>
      <c r="G25" s="2">
        <f>Scoresheet!BQ27</f>
        <v>54</v>
      </c>
      <c r="H25" s="2">
        <f>Scoresheet!CC27</f>
        <v>40</v>
      </c>
      <c r="I25" s="2">
        <f>Scoresheet!CO27</f>
        <v>0</v>
      </c>
      <c r="J25" s="2">
        <f>Scoresheet!DA27</f>
        <v>0</v>
      </c>
      <c r="K25" s="2">
        <f>Scoresheet!DM27</f>
        <v>0</v>
      </c>
      <c r="L25" s="2">
        <f>Scoresheet!DY27</f>
        <v>0</v>
      </c>
      <c r="M25" s="2">
        <f>Scoresheet!EK27</f>
        <v>0</v>
      </c>
      <c r="N25" s="2">
        <f>Scoresheet!EW27</f>
        <v>0</v>
      </c>
      <c r="O25" s="2">
        <f>Scoresheet!FI27</f>
        <v>0</v>
      </c>
      <c r="P25" s="2">
        <f>Scoresheet!FU27</f>
        <v>0</v>
      </c>
      <c r="Q25" s="2">
        <f>Scoresheet!GG27</f>
        <v>31</v>
      </c>
      <c r="R25" s="2">
        <f>Scoresheet!GS27</f>
        <v>0</v>
      </c>
      <c r="S25" s="2">
        <f>Scoresheet!HE27</f>
        <v>0</v>
      </c>
      <c r="T25" s="2">
        <f>Scoresheet!HQ27</f>
        <v>29</v>
      </c>
      <c r="U25" s="2">
        <f>Scoresheet!IC27</f>
        <v>0</v>
      </c>
      <c r="V25" s="2">
        <f>Scoresheet!IO27</f>
        <v>0</v>
      </c>
      <c r="W25" s="2">
        <f>Scoresheet!JA27</f>
        <v>54</v>
      </c>
      <c r="X25" s="2">
        <f>Scoresheet!JM27</f>
        <v>0</v>
      </c>
      <c r="Y25" s="2">
        <f>Scoresheet!JY27</f>
        <v>0</v>
      </c>
      <c r="Z25" s="2">
        <f t="shared" si="0"/>
        <v>8</v>
      </c>
      <c r="AA25" s="2" t="str">
        <f>Data!H25</f>
        <v>16th January, 2026</v>
      </c>
      <c r="AB25" s="2" t="b">
        <f t="shared" si="2"/>
        <v>0</v>
      </c>
      <c r="AC25" s="2">
        <f t="shared" si="3"/>
        <v>800</v>
      </c>
      <c r="AD25" s="2">
        <f t="shared" si="1"/>
        <v>336</v>
      </c>
      <c r="AE25" s="157">
        <f t="shared" si="4"/>
        <v>33.6</v>
      </c>
      <c r="AF25" s="38">
        <f t="shared" si="5"/>
        <v>20</v>
      </c>
    </row>
    <row r="26" spans="1:32">
      <c r="A26" s="211">
        <v>25</v>
      </c>
      <c r="B26" s="2">
        <f>Scoresheet!I28</f>
        <v>0</v>
      </c>
      <c r="C26" s="2">
        <f>Scoresheet!U28</f>
        <v>0</v>
      </c>
      <c r="D26" s="2">
        <f>Scoresheet!AG28</f>
        <v>42</v>
      </c>
      <c r="E26" s="2">
        <f>Scoresheet!AS28</f>
        <v>0</v>
      </c>
      <c r="F26" s="2">
        <f>Scoresheet!BE28</f>
        <v>0</v>
      </c>
      <c r="G26" s="2">
        <f>Scoresheet!BQ28</f>
        <v>42</v>
      </c>
      <c r="H26" s="2">
        <f>Scoresheet!CC28</f>
        <v>0</v>
      </c>
      <c r="I26" s="2">
        <f>Scoresheet!CO28</f>
        <v>0</v>
      </c>
      <c r="J26" s="2">
        <f>Scoresheet!DA28</f>
        <v>0</v>
      </c>
      <c r="K26" s="2">
        <f>Scoresheet!DM28</f>
        <v>0</v>
      </c>
      <c r="L26" s="2">
        <f>Scoresheet!DY28</f>
        <v>0</v>
      </c>
      <c r="M26" s="2">
        <f>Scoresheet!EK28</f>
        <v>0</v>
      </c>
      <c r="N26" s="2">
        <f>Scoresheet!EW28</f>
        <v>0</v>
      </c>
      <c r="O26" s="2">
        <f>Scoresheet!FI28</f>
        <v>0</v>
      </c>
      <c r="P26" s="2">
        <f>Scoresheet!FU28</f>
        <v>0</v>
      </c>
      <c r="Q26" s="2">
        <f>Scoresheet!GG28</f>
        <v>0</v>
      </c>
      <c r="R26" s="2">
        <f>Scoresheet!GS28</f>
        <v>0</v>
      </c>
      <c r="S26" s="2">
        <f>Scoresheet!HE28</f>
        <v>0</v>
      </c>
      <c r="T26" s="2">
        <f>Scoresheet!HQ28</f>
        <v>0</v>
      </c>
      <c r="U26" s="2">
        <f>Scoresheet!IC28</f>
        <v>0</v>
      </c>
      <c r="V26" s="2">
        <f>Scoresheet!IO28</f>
        <v>0</v>
      </c>
      <c r="W26" s="2">
        <f>Scoresheet!JA28</f>
        <v>42</v>
      </c>
      <c r="X26" s="2">
        <f>Scoresheet!JM28</f>
        <v>0</v>
      </c>
      <c r="Y26" s="2">
        <f>Scoresheet!JY28</f>
        <v>0</v>
      </c>
      <c r="Z26" s="2">
        <f t="shared" si="0"/>
        <v>3</v>
      </c>
      <c r="AA26" s="2" t="str">
        <f>Data!H26</f>
        <v>16th January, 2026</v>
      </c>
      <c r="AB26" s="2" t="b">
        <f t="shared" si="2"/>
        <v>0</v>
      </c>
      <c r="AC26" s="2">
        <f t="shared" si="3"/>
        <v>300</v>
      </c>
      <c r="AD26" s="2">
        <f t="shared" si="1"/>
        <v>126</v>
      </c>
      <c r="AE26" s="157">
        <f t="shared" si="4"/>
        <v>12.6</v>
      </c>
      <c r="AF26" s="38">
        <f t="shared" si="5"/>
        <v>45</v>
      </c>
    </row>
    <row r="27" spans="1:32">
      <c r="A27" s="211">
        <v>26</v>
      </c>
      <c r="B27" s="2">
        <f>Scoresheet!I29</f>
        <v>0</v>
      </c>
      <c r="C27" s="2">
        <f>Scoresheet!U29</f>
        <v>0</v>
      </c>
      <c r="D27" s="2">
        <f>Scoresheet!AG29</f>
        <v>42</v>
      </c>
      <c r="E27" s="2">
        <f>Scoresheet!AS29</f>
        <v>0</v>
      </c>
      <c r="F27" s="2">
        <f>Scoresheet!BE29</f>
        <v>0</v>
      </c>
      <c r="G27" s="2">
        <f>Scoresheet!BQ29</f>
        <v>42</v>
      </c>
      <c r="H27" s="2">
        <f>Scoresheet!CC29</f>
        <v>0</v>
      </c>
      <c r="I27" s="2">
        <f>Scoresheet!CO29</f>
        <v>0</v>
      </c>
      <c r="J27" s="2">
        <f>Scoresheet!DA29</f>
        <v>0</v>
      </c>
      <c r="K27" s="2">
        <f>Scoresheet!DM29</f>
        <v>0</v>
      </c>
      <c r="L27" s="2">
        <f>Scoresheet!DY29</f>
        <v>0</v>
      </c>
      <c r="M27" s="2">
        <f>Scoresheet!EK29</f>
        <v>0</v>
      </c>
      <c r="N27" s="2">
        <f>Scoresheet!EW29</f>
        <v>0</v>
      </c>
      <c r="O27" s="2">
        <f>Scoresheet!FI29</f>
        <v>0</v>
      </c>
      <c r="P27" s="2">
        <f>Scoresheet!FU29</f>
        <v>0</v>
      </c>
      <c r="Q27" s="2">
        <f>Scoresheet!GG29</f>
        <v>0</v>
      </c>
      <c r="R27" s="2">
        <f>Scoresheet!GS29</f>
        <v>0</v>
      </c>
      <c r="S27" s="2">
        <f>Scoresheet!HE29</f>
        <v>0</v>
      </c>
      <c r="T27" s="2">
        <f>Scoresheet!HQ29</f>
        <v>0</v>
      </c>
      <c r="U27" s="2">
        <f>Scoresheet!IC29</f>
        <v>0</v>
      </c>
      <c r="V27" s="2">
        <f>Scoresheet!IO29</f>
        <v>0</v>
      </c>
      <c r="W27" s="2">
        <f>Scoresheet!JA29</f>
        <v>42</v>
      </c>
      <c r="X27" s="2">
        <f>Scoresheet!JM29</f>
        <v>0</v>
      </c>
      <c r="Y27" s="2">
        <f>Scoresheet!JY29</f>
        <v>0</v>
      </c>
      <c r="Z27" s="2">
        <f t="shared" si="0"/>
        <v>3</v>
      </c>
      <c r="AA27" s="2" t="str">
        <f>Data!H27</f>
        <v>16th January, 2026</v>
      </c>
      <c r="AB27" s="2" t="b">
        <f t="shared" si="2"/>
        <v>0</v>
      </c>
      <c r="AC27" s="2">
        <f t="shared" si="3"/>
        <v>300</v>
      </c>
      <c r="AD27" s="2">
        <f t="shared" si="1"/>
        <v>126</v>
      </c>
      <c r="AE27" s="157">
        <f t="shared" si="4"/>
        <v>12.6</v>
      </c>
      <c r="AF27" s="38">
        <f t="shared" si="5"/>
        <v>45</v>
      </c>
    </row>
    <row r="28" spans="1:32">
      <c r="A28" s="211">
        <v>27</v>
      </c>
      <c r="B28" s="2">
        <f>Scoresheet!I30</f>
        <v>0</v>
      </c>
      <c r="C28" s="2">
        <f>Scoresheet!U30</f>
        <v>0</v>
      </c>
      <c r="D28" s="2">
        <f>Scoresheet!AG30</f>
        <v>42</v>
      </c>
      <c r="E28" s="2">
        <f>Scoresheet!AS30</f>
        <v>0</v>
      </c>
      <c r="F28" s="2">
        <f>Scoresheet!BE30</f>
        <v>0</v>
      </c>
      <c r="G28" s="2">
        <f>Scoresheet!BQ30</f>
        <v>42</v>
      </c>
      <c r="H28" s="2">
        <f>Scoresheet!CC30</f>
        <v>0</v>
      </c>
      <c r="I28" s="2">
        <f>Scoresheet!CO30</f>
        <v>0</v>
      </c>
      <c r="J28" s="2">
        <f>Scoresheet!DA30</f>
        <v>0</v>
      </c>
      <c r="K28" s="2">
        <f>Scoresheet!DM30</f>
        <v>0</v>
      </c>
      <c r="L28" s="2">
        <f>Scoresheet!DY30</f>
        <v>0</v>
      </c>
      <c r="M28" s="2">
        <f>Scoresheet!EK30</f>
        <v>0</v>
      </c>
      <c r="N28" s="2">
        <f>Scoresheet!EW30</f>
        <v>0</v>
      </c>
      <c r="O28" s="2">
        <f>Scoresheet!FI30</f>
        <v>0</v>
      </c>
      <c r="P28" s="2">
        <f>Scoresheet!FU30</f>
        <v>0</v>
      </c>
      <c r="Q28" s="2">
        <f>Scoresheet!GG30</f>
        <v>0</v>
      </c>
      <c r="R28" s="2">
        <f>Scoresheet!GS30</f>
        <v>0</v>
      </c>
      <c r="S28" s="2">
        <f>Scoresheet!HE30</f>
        <v>0</v>
      </c>
      <c r="T28" s="2">
        <f>Scoresheet!HQ30</f>
        <v>0</v>
      </c>
      <c r="U28" s="2">
        <f>Scoresheet!IC30</f>
        <v>0</v>
      </c>
      <c r="V28" s="2">
        <f>Scoresheet!IO30</f>
        <v>0</v>
      </c>
      <c r="W28" s="2">
        <f>Scoresheet!JA30</f>
        <v>42</v>
      </c>
      <c r="X28" s="2">
        <f>Scoresheet!JM30</f>
        <v>0</v>
      </c>
      <c r="Y28" s="2">
        <f>Scoresheet!JY30</f>
        <v>0</v>
      </c>
      <c r="Z28" s="2">
        <f t="shared" si="0"/>
        <v>3</v>
      </c>
      <c r="AA28" s="2" t="str">
        <f>Data!H28</f>
        <v>16th January, 2026</v>
      </c>
      <c r="AB28" s="2" t="b">
        <f t="shared" si="2"/>
        <v>0</v>
      </c>
      <c r="AC28" s="2">
        <f t="shared" si="3"/>
        <v>300</v>
      </c>
      <c r="AD28" s="2">
        <f t="shared" si="1"/>
        <v>126</v>
      </c>
      <c r="AE28" s="157">
        <f t="shared" si="4"/>
        <v>12.6</v>
      </c>
      <c r="AF28" s="38">
        <f t="shared" si="5"/>
        <v>45</v>
      </c>
    </row>
    <row r="29" spans="1:32">
      <c r="A29" s="211">
        <v>28</v>
      </c>
      <c r="B29" s="2">
        <f>Scoresheet!I31</f>
        <v>0</v>
      </c>
      <c r="C29" s="2">
        <f>Scoresheet!U31</f>
        <v>0</v>
      </c>
      <c r="D29" s="2">
        <f>Scoresheet!AG31</f>
        <v>42</v>
      </c>
      <c r="E29" s="2">
        <f>Scoresheet!AS31</f>
        <v>0</v>
      </c>
      <c r="F29" s="2">
        <f>Scoresheet!BE31</f>
        <v>0</v>
      </c>
      <c r="G29" s="2">
        <f>Scoresheet!BQ31</f>
        <v>42</v>
      </c>
      <c r="H29" s="2">
        <f>Scoresheet!CC31</f>
        <v>0</v>
      </c>
      <c r="I29" s="2">
        <f>Scoresheet!CO31</f>
        <v>0</v>
      </c>
      <c r="J29" s="2">
        <f>Scoresheet!DA31</f>
        <v>0</v>
      </c>
      <c r="K29" s="2">
        <f>Scoresheet!DM31</f>
        <v>0</v>
      </c>
      <c r="L29" s="2">
        <f>Scoresheet!DY31</f>
        <v>0</v>
      </c>
      <c r="M29" s="2">
        <f>Scoresheet!EK31</f>
        <v>0</v>
      </c>
      <c r="N29" s="2">
        <f>Scoresheet!EW31</f>
        <v>0</v>
      </c>
      <c r="O29" s="2">
        <f>Scoresheet!FI31</f>
        <v>0</v>
      </c>
      <c r="P29" s="2">
        <f>Scoresheet!FU31</f>
        <v>0</v>
      </c>
      <c r="Q29" s="2">
        <f>Scoresheet!GG31</f>
        <v>0</v>
      </c>
      <c r="R29" s="2">
        <f>Scoresheet!GS31</f>
        <v>0</v>
      </c>
      <c r="S29" s="2">
        <f>Scoresheet!HE31</f>
        <v>0</v>
      </c>
      <c r="T29" s="2">
        <f>Scoresheet!HQ31</f>
        <v>0</v>
      </c>
      <c r="U29" s="2">
        <f>Scoresheet!IC31</f>
        <v>0</v>
      </c>
      <c r="V29" s="2">
        <f>Scoresheet!IO31</f>
        <v>0</v>
      </c>
      <c r="W29" s="2">
        <f>Scoresheet!JA31</f>
        <v>42</v>
      </c>
      <c r="X29" s="2">
        <f>Scoresheet!JM31</f>
        <v>0</v>
      </c>
      <c r="Y29" s="2">
        <f>Scoresheet!JY31</f>
        <v>0</v>
      </c>
      <c r="Z29" s="2">
        <f t="shared" si="0"/>
        <v>3</v>
      </c>
      <c r="AA29" s="2" t="str">
        <f>Data!H29</f>
        <v>16th January, 2026</v>
      </c>
      <c r="AB29" s="2" t="b">
        <f t="shared" si="2"/>
        <v>0</v>
      </c>
      <c r="AC29" s="2">
        <f t="shared" si="3"/>
        <v>300</v>
      </c>
      <c r="AD29" s="2">
        <f t="shared" si="1"/>
        <v>126</v>
      </c>
      <c r="AE29" s="157">
        <f t="shared" si="4"/>
        <v>12.6</v>
      </c>
      <c r="AF29" s="38">
        <f t="shared" si="5"/>
        <v>45</v>
      </c>
    </row>
    <row r="30" spans="1:32">
      <c r="A30" s="211">
        <v>29</v>
      </c>
      <c r="B30" s="2">
        <f>Scoresheet!I32</f>
        <v>0</v>
      </c>
      <c r="C30" s="2">
        <f>Scoresheet!U32</f>
        <v>0</v>
      </c>
      <c r="D30" s="2">
        <f>Scoresheet!AG32</f>
        <v>42</v>
      </c>
      <c r="E30" s="2">
        <f>Scoresheet!AS32</f>
        <v>0</v>
      </c>
      <c r="F30" s="2">
        <f>Scoresheet!BE32</f>
        <v>0</v>
      </c>
      <c r="G30" s="2">
        <f>Scoresheet!BQ32</f>
        <v>42</v>
      </c>
      <c r="H30" s="2">
        <f>Scoresheet!CC32</f>
        <v>75</v>
      </c>
      <c r="I30" s="2">
        <f>Scoresheet!CO32</f>
        <v>0</v>
      </c>
      <c r="J30" s="2">
        <f>Scoresheet!DA32</f>
        <v>0</v>
      </c>
      <c r="K30" s="2">
        <f>Scoresheet!DM32</f>
        <v>0</v>
      </c>
      <c r="L30" s="2">
        <f>Scoresheet!DY32</f>
        <v>0</v>
      </c>
      <c r="M30" s="2">
        <f>Scoresheet!EK32</f>
        <v>0</v>
      </c>
      <c r="N30" s="2">
        <f>Scoresheet!EW32</f>
        <v>0</v>
      </c>
      <c r="O30" s="2">
        <f>Scoresheet!FI32</f>
        <v>0</v>
      </c>
      <c r="P30" s="2">
        <f>Scoresheet!FU32</f>
        <v>0</v>
      </c>
      <c r="Q30" s="2">
        <f>Scoresheet!GG32</f>
        <v>71</v>
      </c>
      <c r="R30" s="2">
        <f>Scoresheet!GS32</f>
        <v>0</v>
      </c>
      <c r="S30" s="2">
        <f>Scoresheet!HE32</f>
        <v>0</v>
      </c>
      <c r="T30" s="2">
        <f>Scoresheet!HQ32</f>
        <v>0</v>
      </c>
      <c r="U30" s="2">
        <f>Scoresheet!IC32</f>
        <v>0</v>
      </c>
      <c r="V30" s="2">
        <f>Scoresheet!IO32</f>
        <v>0</v>
      </c>
      <c r="W30" s="2">
        <f>Scoresheet!JA32</f>
        <v>42</v>
      </c>
      <c r="X30" s="2">
        <f>Scoresheet!JM32</f>
        <v>0</v>
      </c>
      <c r="Y30" s="2">
        <f>Scoresheet!JY32</f>
        <v>0</v>
      </c>
      <c r="Z30" s="2">
        <f t="shared" si="0"/>
        <v>5</v>
      </c>
      <c r="AA30" s="2" t="str">
        <f>Data!H30</f>
        <v>16th January, 2026</v>
      </c>
      <c r="AB30" s="2" t="b">
        <f t="shared" si="2"/>
        <v>0</v>
      </c>
      <c r="AC30" s="2">
        <f t="shared" si="3"/>
        <v>500</v>
      </c>
      <c r="AD30" s="2">
        <f t="shared" si="1"/>
        <v>272</v>
      </c>
      <c r="AE30" s="157">
        <f t="shared" si="4"/>
        <v>27.2</v>
      </c>
      <c r="AF30" s="38">
        <f t="shared" si="5"/>
        <v>30</v>
      </c>
    </row>
    <row r="31" spans="1:32">
      <c r="A31" s="211">
        <v>30</v>
      </c>
      <c r="B31" s="2">
        <f>Scoresheet!I33</f>
        <v>0</v>
      </c>
      <c r="C31" s="2">
        <f>Scoresheet!U33</f>
        <v>0</v>
      </c>
      <c r="D31" s="2">
        <f>Scoresheet!AG33</f>
        <v>42</v>
      </c>
      <c r="E31" s="2">
        <f>Scoresheet!AS33</f>
        <v>0</v>
      </c>
      <c r="F31" s="2">
        <f>Scoresheet!BE33</f>
        <v>0</v>
      </c>
      <c r="G31" s="2">
        <f>Scoresheet!BQ33</f>
        <v>42</v>
      </c>
      <c r="H31" s="2">
        <f>Scoresheet!CC33</f>
        <v>73</v>
      </c>
      <c r="I31" s="2">
        <f>Scoresheet!CO33</f>
        <v>0</v>
      </c>
      <c r="J31" s="2">
        <f>Scoresheet!DA33</f>
        <v>0</v>
      </c>
      <c r="K31" s="2">
        <f>Scoresheet!DM33</f>
        <v>0</v>
      </c>
      <c r="L31" s="2">
        <f>Scoresheet!DY33</f>
        <v>0</v>
      </c>
      <c r="M31" s="2">
        <f>Scoresheet!EK33</f>
        <v>0</v>
      </c>
      <c r="N31" s="2">
        <f>Scoresheet!EW33</f>
        <v>0</v>
      </c>
      <c r="O31" s="2">
        <f>Scoresheet!FI33</f>
        <v>0</v>
      </c>
      <c r="P31" s="2">
        <f>Scoresheet!FU33</f>
        <v>0</v>
      </c>
      <c r="Q31" s="2">
        <f>Scoresheet!GG33</f>
        <v>55</v>
      </c>
      <c r="R31" s="2">
        <f>Scoresheet!GS33</f>
        <v>0</v>
      </c>
      <c r="S31" s="2">
        <f>Scoresheet!HE33</f>
        <v>0</v>
      </c>
      <c r="T31" s="2">
        <f>Scoresheet!HQ33</f>
        <v>0</v>
      </c>
      <c r="U31" s="2">
        <f>Scoresheet!IC33</f>
        <v>0</v>
      </c>
      <c r="V31" s="2">
        <f>Scoresheet!IO33</f>
        <v>0</v>
      </c>
      <c r="W31" s="2">
        <f>Scoresheet!JA33</f>
        <v>42</v>
      </c>
      <c r="X31" s="2">
        <f>Scoresheet!JM33</f>
        <v>0</v>
      </c>
      <c r="Y31" s="2">
        <f>Scoresheet!JY33</f>
        <v>0</v>
      </c>
      <c r="Z31" s="2">
        <f t="shared" si="0"/>
        <v>5</v>
      </c>
      <c r="AA31" s="2" t="str">
        <f>Data!H31</f>
        <v>16th January, 2026</v>
      </c>
      <c r="AB31" s="2" t="b">
        <f t="shared" si="2"/>
        <v>0</v>
      </c>
      <c r="AC31" s="2">
        <f t="shared" si="3"/>
        <v>500</v>
      </c>
      <c r="AD31" s="2">
        <f t="shared" si="1"/>
        <v>254</v>
      </c>
      <c r="AE31" s="157">
        <f t="shared" si="4"/>
        <v>25.4</v>
      </c>
      <c r="AF31" s="38">
        <f t="shared" si="5"/>
        <v>32</v>
      </c>
    </row>
    <row r="32" spans="1:32">
      <c r="A32" s="211">
        <v>31</v>
      </c>
      <c r="B32" s="2">
        <f>Scoresheet!I34</f>
        <v>60</v>
      </c>
      <c r="C32" s="2">
        <f>Scoresheet!U34</f>
        <v>60</v>
      </c>
      <c r="D32" s="2">
        <f>Scoresheet!AG34</f>
        <v>75</v>
      </c>
      <c r="E32" s="2">
        <f>Scoresheet!AS34</f>
        <v>0</v>
      </c>
      <c r="F32" s="2">
        <f>Scoresheet!BE34</f>
        <v>0</v>
      </c>
      <c r="G32" s="2">
        <f>Scoresheet!BQ34</f>
        <v>75</v>
      </c>
      <c r="H32" s="2">
        <f>Scoresheet!CC34</f>
        <v>60</v>
      </c>
      <c r="I32" s="2">
        <f>Scoresheet!CO34</f>
        <v>0</v>
      </c>
      <c r="J32" s="2">
        <f>Scoresheet!DA34</f>
        <v>0</v>
      </c>
      <c r="K32" s="2">
        <f>Scoresheet!DM34</f>
        <v>0</v>
      </c>
      <c r="L32" s="2">
        <f>Scoresheet!DY34</f>
        <v>0</v>
      </c>
      <c r="M32" s="2">
        <f>Scoresheet!EK34</f>
        <v>0</v>
      </c>
      <c r="N32" s="2">
        <f>Scoresheet!EW34</f>
        <v>0</v>
      </c>
      <c r="O32" s="2">
        <f>Scoresheet!FI34</f>
        <v>0</v>
      </c>
      <c r="P32" s="2">
        <f>Scoresheet!FU34</f>
        <v>0</v>
      </c>
      <c r="Q32" s="2">
        <f>Scoresheet!GG34</f>
        <v>65</v>
      </c>
      <c r="R32" s="2">
        <f>Scoresheet!GS34</f>
        <v>0</v>
      </c>
      <c r="S32" s="2">
        <f>Scoresheet!HE34</f>
        <v>0</v>
      </c>
      <c r="T32" s="2">
        <f>Scoresheet!HQ34</f>
        <v>27</v>
      </c>
      <c r="U32" s="2">
        <f>Scoresheet!IC34</f>
        <v>0</v>
      </c>
      <c r="V32" s="2">
        <f>Scoresheet!IO34</f>
        <v>0</v>
      </c>
      <c r="W32" s="2">
        <f>Scoresheet!JA34</f>
        <v>75</v>
      </c>
      <c r="X32" s="2">
        <f>Scoresheet!JM34</f>
        <v>0</v>
      </c>
      <c r="Y32" s="2">
        <f>Scoresheet!JY34</f>
        <v>0</v>
      </c>
      <c r="Z32" s="2">
        <f t="shared" si="0"/>
        <v>8</v>
      </c>
      <c r="AA32" s="2" t="str">
        <f>Data!H32</f>
        <v>16th January, 2026</v>
      </c>
      <c r="AB32" s="2" t="b">
        <f t="shared" si="2"/>
        <v>0</v>
      </c>
      <c r="AC32" s="2">
        <f t="shared" si="3"/>
        <v>800</v>
      </c>
      <c r="AD32" s="2">
        <f t="shared" si="1"/>
        <v>497</v>
      </c>
      <c r="AE32" s="157">
        <f t="shared" si="4"/>
        <v>49.7</v>
      </c>
      <c r="AF32" s="38">
        <f t="shared" si="5"/>
        <v>3</v>
      </c>
    </row>
    <row r="33" spans="1:32">
      <c r="A33" s="211">
        <v>32</v>
      </c>
      <c r="B33" s="2">
        <f>Scoresheet!I35</f>
        <v>54</v>
      </c>
      <c r="C33" s="2">
        <f>Scoresheet!U35</f>
        <v>54</v>
      </c>
      <c r="D33" s="2">
        <f>Scoresheet!AG35</f>
        <v>73</v>
      </c>
      <c r="E33" s="2">
        <f>Scoresheet!AS35</f>
        <v>0</v>
      </c>
      <c r="F33" s="2">
        <f>Scoresheet!BE35</f>
        <v>0</v>
      </c>
      <c r="G33" s="2">
        <f>Scoresheet!BQ35</f>
        <v>73</v>
      </c>
      <c r="H33" s="2">
        <f>Scoresheet!CC35</f>
        <v>45</v>
      </c>
      <c r="I33" s="2">
        <f>Scoresheet!CO35</f>
        <v>0</v>
      </c>
      <c r="J33" s="2">
        <f>Scoresheet!DA35</f>
        <v>0</v>
      </c>
      <c r="K33" s="2">
        <f>Scoresheet!DM35</f>
        <v>0</v>
      </c>
      <c r="L33" s="2">
        <f>Scoresheet!DY35</f>
        <v>0</v>
      </c>
      <c r="M33" s="2">
        <f>Scoresheet!EK35</f>
        <v>0</v>
      </c>
      <c r="N33" s="2">
        <f>Scoresheet!EW35</f>
        <v>0</v>
      </c>
      <c r="O33" s="2">
        <f>Scoresheet!FI35</f>
        <v>0</v>
      </c>
      <c r="P33" s="2">
        <f>Scoresheet!FU35</f>
        <v>0</v>
      </c>
      <c r="Q33" s="2">
        <f>Scoresheet!GG35</f>
        <v>53</v>
      </c>
      <c r="R33" s="2">
        <f>Scoresheet!GS35</f>
        <v>0</v>
      </c>
      <c r="S33" s="2">
        <f>Scoresheet!HE35</f>
        <v>36</v>
      </c>
      <c r="T33" s="2">
        <f>Scoresheet!HQ35</f>
        <v>0</v>
      </c>
      <c r="U33" s="2">
        <f>Scoresheet!IC35</f>
        <v>0</v>
      </c>
      <c r="V33" s="2">
        <f>Scoresheet!IO35</f>
        <v>0</v>
      </c>
      <c r="W33" s="2">
        <f>Scoresheet!JA35</f>
        <v>73</v>
      </c>
      <c r="X33" s="2">
        <f>Scoresheet!JM35</f>
        <v>0</v>
      </c>
      <c r="Y33" s="2">
        <f>Scoresheet!JY35</f>
        <v>0</v>
      </c>
      <c r="Z33" s="2">
        <f t="shared" si="0"/>
        <v>8</v>
      </c>
      <c r="AA33" s="2" t="str">
        <f>Data!H33</f>
        <v>16th January, 2026</v>
      </c>
      <c r="AB33" s="2" t="b">
        <f t="shared" si="2"/>
        <v>0</v>
      </c>
      <c r="AC33" s="2">
        <f t="shared" si="3"/>
        <v>800</v>
      </c>
      <c r="AD33" s="2">
        <f t="shared" si="1"/>
        <v>461</v>
      </c>
      <c r="AE33" s="157">
        <f t="shared" si="4"/>
        <v>46.1</v>
      </c>
      <c r="AF33" s="38">
        <f t="shared" si="5"/>
        <v>6</v>
      </c>
    </row>
    <row r="34" spans="1:32">
      <c r="A34" s="211">
        <v>33</v>
      </c>
      <c r="B34" s="2">
        <f>Scoresheet!I36</f>
        <v>0</v>
      </c>
      <c r="C34" s="2">
        <f>Scoresheet!U36</f>
        <v>0</v>
      </c>
      <c r="D34" s="2">
        <f>Scoresheet!AG36</f>
        <v>42</v>
      </c>
      <c r="E34" s="2">
        <f>Scoresheet!AS36</f>
        <v>0</v>
      </c>
      <c r="F34" s="2">
        <f>Scoresheet!BE36</f>
        <v>0</v>
      </c>
      <c r="G34" s="2">
        <f>Scoresheet!BQ36</f>
        <v>42</v>
      </c>
      <c r="H34" s="2">
        <f>Scoresheet!CC36</f>
        <v>79</v>
      </c>
      <c r="I34" s="2">
        <f>Scoresheet!CO36</f>
        <v>0</v>
      </c>
      <c r="J34" s="2">
        <f>Scoresheet!DA36</f>
        <v>0</v>
      </c>
      <c r="K34" s="2">
        <f>Scoresheet!DM36</f>
        <v>0</v>
      </c>
      <c r="L34" s="2">
        <f>Scoresheet!DY36</f>
        <v>0</v>
      </c>
      <c r="M34" s="2">
        <f>Scoresheet!EK36</f>
        <v>0</v>
      </c>
      <c r="N34" s="2">
        <f>Scoresheet!EW36</f>
        <v>0</v>
      </c>
      <c r="O34" s="2">
        <f>Scoresheet!FI36</f>
        <v>0</v>
      </c>
      <c r="P34" s="2">
        <f>Scoresheet!FU36</f>
        <v>0</v>
      </c>
      <c r="Q34" s="2">
        <f>Scoresheet!GG36</f>
        <v>76</v>
      </c>
      <c r="R34" s="2">
        <f>Scoresheet!GS36</f>
        <v>0</v>
      </c>
      <c r="S34" s="2">
        <f>Scoresheet!HE36</f>
        <v>0</v>
      </c>
      <c r="T34" s="2">
        <f>Scoresheet!HQ36</f>
        <v>0</v>
      </c>
      <c r="U34" s="2">
        <f>Scoresheet!IC36</f>
        <v>0</v>
      </c>
      <c r="V34" s="2">
        <f>Scoresheet!IO36</f>
        <v>0</v>
      </c>
      <c r="W34" s="2">
        <f>Scoresheet!JA36</f>
        <v>42</v>
      </c>
      <c r="X34" s="2">
        <f>Scoresheet!JM36</f>
        <v>0</v>
      </c>
      <c r="Y34" s="2">
        <f>Scoresheet!JY36</f>
        <v>0</v>
      </c>
      <c r="Z34" s="2">
        <f t="shared" ref="Z34:Z51" si="6">COUNTIF(B34:Y34,"&gt;5")</f>
        <v>5</v>
      </c>
      <c r="AA34" s="2" t="str">
        <f>Data!H34</f>
        <v>16th January, 2026</v>
      </c>
      <c r="AB34" s="2" t="b">
        <f t="shared" si="2"/>
        <v>0</v>
      </c>
      <c r="AC34" s="2">
        <f t="shared" si="3"/>
        <v>500</v>
      </c>
      <c r="AD34" s="2">
        <f t="shared" ref="AD34:AD51" si="7">SUM(B34:Y34)</f>
        <v>281</v>
      </c>
      <c r="AE34" s="157">
        <f t="shared" si="4"/>
        <v>28.1</v>
      </c>
      <c r="AF34" s="38">
        <f t="shared" si="5"/>
        <v>29</v>
      </c>
    </row>
    <row r="35" spans="1:32">
      <c r="A35" s="211">
        <v>34</v>
      </c>
      <c r="B35" s="2">
        <f>Scoresheet!I37</f>
        <v>55</v>
      </c>
      <c r="C35" s="2">
        <f>Scoresheet!U37</f>
        <v>55</v>
      </c>
      <c r="D35" s="2">
        <f>Scoresheet!AG37</f>
        <v>69</v>
      </c>
      <c r="E35" s="2">
        <f>Scoresheet!AS37</f>
        <v>0</v>
      </c>
      <c r="F35" s="2">
        <f>Scoresheet!BE37</f>
        <v>0</v>
      </c>
      <c r="G35" s="2">
        <f>Scoresheet!BQ37</f>
        <v>69</v>
      </c>
      <c r="H35" s="2">
        <f>Scoresheet!CC37</f>
        <v>62</v>
      </c>
      <c r="I35" s="2">
        <f>Scoresheet!CO37</f>
        <v>0</v>
      </c>
      <c r="J35" s="2">
        <f>Scoresheet!DA37</f>
        <v>0</v>
      </c>
      <c r="K35" s="2">
        <f>Scoresheet!DM37</f>
        <v>0</v>
      </c>
      <c r="L35" s="2">
        <f>Scoresheet!DY37</f>
        <v>0</v>
      </c>
      <c r="M35" s="2">
        <f>Scoresheet!EK37</f>
        <v>0</v>
      </c>
      <c r="N35" s="2">
        <f>Scoresheet!EW37</f>
        <v>0</v>
      </c>
      <c r="O35" s="2">
        <f>Scoresheet!FI37</f>
        <v>0</v>
      </c>
      <c r="P35" s="2">
        <f>Scoresheet!FU37</f>
        <v>0</v>
      </c>
      <c r="Q35" s="2">
        <f>Scoresheet!GG37</f>
        <v>56</v>
      </c>
      <c r="R35" s="2">
        <f>Scoresheet!GS37</f>
        <v>0</v>
      </c>
      <c r="S35" s="2">
        <f>Scoresheet!HE37</f>
        <v>0</v>
      </c>
      <c r="T35" s="2">
        <f>Scoresheet!HQ37</f>
        <v>28</v>
      </c>
      <c r="U35" s="2">
        <f>Scoresheet!IC37</f>
        <v>0</v>
      </c>
      <c r="V35" s="2">
        <f>Scoresheet!IO37</f>
        <v>0</v>
      </c>
      <c r="W35" s="2">
        <f>Scoresheet!JA37</f>
        <v>69</v>
      </c>
      <c r="X35" s="2">
        <f>Scoresheet!JM37</f>
        <v>0</v>
      </c>
      <c r="Y35" s="2">
        <f>Scoresheet!JY37</f>
        <v>0</v>
      </c>
      <c r="Z35" s="2">
        <f t="shared" si="6"/>
        <v>8</v>
      </c>
      <c r="AA35" s="2" t="str">
        <f>Data!H35</f>
        <v>16th January, 2026</v>
      </c>
      <c r="AB35" s="2" t="b">
        <f t="shared" si="2"/>
        <v>0</v>
      </c>
      <c r="AC35" s="2">
        <f t="shared" si="3"/>
        <v>800</v>
      </c>
      <c r="AD35" s="2">
        <f t="shared" si="7"/>
        <v>463</v>
      </c>
      <c r="AE35" s="157">
        <f t="shared" si="4"/>
        <v>46.3</v>
      </c>
      <c r="AF35" s="38">
        <f t="shared" ref="AF35:AF52" si="8">IFERROR(RANK(AE35,$AE$2:$AE$49),"")</f>
        <v>5</v>
      </c>
    </row>
    <row r="36" spans="1:32">
      <c r="A36" s="211">
        <v>35</v>
      </c>
      <c r="B36" s="2">
        <f>Scoresheet!I38</f>
        <v>35</v>
      </c>
      <c r="C36" s="2">
        <f>Scoresheet!U38</f>
        <v>35</v>
      </c>
      <c r="D36" s="2">
        <f>Scoresheet!AG38</f>
        <v>52</v>
      </c>
      <c r="E36" s="2">
        <f>Scoresheet!AS38</f>
        <v>0</v>
      </c>
      <c r="F36" s="2">
        <f>Scoresheet!BE38</f>
        <v>0</v>
      </c>
      <c r="G36" s="2">
        <f>Scoresheet!BQ38</f>
        <v>52</v>
      </c>
      <c r="H36" s="2">
        <f>Scoresheet!CC38</f>
        <v>50</v>
      </c>
      <c r="I36" s="2">
        <f>Scoresheet!CO38</f>
        <v>0</v>
      </c>
      <c r="J36" s="2">
        <f>Scoresheet!DA38</f>
        <v>0</v>
      </c>
      <c r="K36" s="2">
        <f>Scoresheet!DM38</f>
        <v>37</v>
      </c>
      <c r="L36" s="2">
        <f>Scoresheet!DY38</f>
        <v>0</v>
      </c>
      <c r="M36" s="2">
        <f>Scoresheet!EK38</f>
        <v>0</v>
      </c>
      <c r="N36" s="2">
        <f>Scoresheet!EW38</f>
        <v>0</v>
      </c>
      <c r="O36" s="2">
        <f>Scoresheet!FI38</f>
        <v>0</v>
      </c>
      <c r="P36" s="2">
        <f>Scoresheet!FU38</f>
        <v>0</v>
      </c>
      <c r="Q36" s="2">
        <f>Scoresheet!GG38</f>
        <v>58</v>
      </c>
      <c r="R36" s="2">
        <f>Scoresheet!GS38</f>
        <v>0</v>
      </c>
      <c r="S36" s="2">
        <f>Scoresheet!HE38</f>
        <v>0</v>
      </c>
      <c r="T36" s="2">
        <f>Scoresheet!HQ38</f>
        <v>0</v>
      </c>
      <c r="U36" s="2">
        <f>Scoresheet!IC38</f>
        <v>0</v>
      </c>
      <c r="V36" s="2">
        <f>Scoresheet!IO38</f>
        <v>0</v>
      </c>
      <c r="W36" s="2">
        <f>Scoresheet!JA38</f>
        <v>52</v>
      </c>
      <c r="X36" s="2">
        <f>Scoresheet!JM38</f>
        <v>0</v>
      </c>
      <c r="Y36" s="2">
        <f>Scoresheet!JY38</f>
        <v>0</v>
      </c>
      <c r="Z36" s="2">
        <f t="shared" si="6"/>
        <v>8</v>
      </c>
      <c r="AA36" s="2" t="str">
        <f>Data!H36</f>
        <v>16th January, 2026</v>
      </c>
      <c r="AB36" s="2" t="b">
        <f t="shared" si="2"/>
        <v>0</v>
      </c>
      <c r="AC36" s="2">
        <f t="shared" si="3"/>
        <v>800</v>
      </c>
      <c r="AD36" s="2">
        <f t="shared" si="7"/>
        <v>371</v>
      </c>
      <c r="AE36" s="157">
        <f t="shared" si="4"/>
        <v>37.1</v>
      </c>
      <c r="AF36" s="38">
        <f t="shared" si="8"/>
        <v>17</v>
      </c>
    </row>
    <row r="37" spans="1:32">
      <c r="A37" s="211">
        <v>36</v>
      </c>
      <c r="B37" s="2">
        <f>Scoresheet!I39</f>
        <v>43</v>
      </c>
      <c r="C37" s="2">
        <f>Scoresheet!U39</f>
        <v>0</v>
      </c>
      <c r="D37" s="2">
        <f>Scoresheet!AG39</f>
        <v>58</v>
      </c>
      <c r="E37" s="2">
        <f>Scoresheet!AS39</f>
        <v>0</v>
      </c>
      <c r="F37" s="2">
        <f>Scoresheet!BE39</f>
        <v>0</v>
      </c>
      <c r="G37" s="2">
        <f>Scoresheet!BQ39</f>
        <v>58</v>
      </c>
      <c r="H37" s="2">
        <f>Scoresheet!CC39</f>
        <v>81</v>
      </c>
      <c r="I37" s="2">
        <f>Scoresheet!CO39</f>
        <v>0</v>
      </c>
      <c r="J37" s="2">
        <f>Scoresheet!DA39</f>
        <v>0</v>
      </c>
      <c r="K37" s="2">
        <f>Scoresheet!DM39</f>
        <v>0</v>
      </c>
      <c r="L37" s="2">
        <f>Scoresheet!DY39</f>
        <v>0</v>
      </c>
      <c r="M37" s="2">
        <f>Scoresheet!EK39</f>
        <v>0</v>
      </c>
      <c r="N37" s="2">
        <f>Scoresheet!EW39</f>
        <v>0</v>
      </c>
      <c r="O37" s="2">
        <f>Scoresheet!FI39</f>
        <v>0</v>
      </c>
      <c r="P37" s="2">
        <f>Scoresheet!FU39</f>
        <v>0</v>
      </c>
      <c r="Q37" s="2">
        <f>Scoresheet!GG39</f>
        <v>64</v>
      </c>
      <c r="R37" s="2">
        <f>Scoresheet!GS39</f>
        <v>0</v>
      </c>
      <c r="S37" s="2">
        <f>Scoresheet!HE39</f>
        <v>0</v>
      </c>
      <c r="T37" s="2">
        <f>Scoresheet!HQ39</f>
        <v>33</v>
      </c>
      <c r="U37" s="2">
        <f>Scoresheet!IC39</f>
        <v>0</v>
      </c>
      <c r="V37" s="2">
        <f>Scoresheet!IO39</f>
        <v>0</v>
      </c>
      <c r="W37" s="2">
        <f>Scoresheet!JA39</f>
        <v>58</v>
      </c>
      <c r="X37" s="2">
        <f>Scoresheet!JM39</f>
        <v>0</v>
      </c>
      <c r="Y37" s="2">
        <f>Scoresheet!JY39</f>
        <v>0</v>
      </c>
      <c r="Z37" s="2">
        <f t="shared" si="6"/>
        <v>7</v>
      </c>
      <c r="AA37" s="2" t="str">
        <f>Data!H37</f>
        <v>16th January, 2026</v>
      </c>
      <c r="AB37" s="2" t="b">
        <f t="shared" si="2"/>
        <v>0</v>
      </c>
      <c r="AC37" s="2">
        <f t="shared" si="3"/>
        <v>700</v>
      </c>
      <c r="AD37" s="2">
        <f t="shared" si="7"/>
        <v>395</v>
      </c>
      <c r="AE37" s="157">
        <f t="shared" si="4"/>
        <v>39.5</v>
      </c>
      <c r="AF37" s="38">
        <f t="shared" si="8"/>
        <v>14</v>
      </c>
    </row>
    <row r="38" spans="1:32">
      <c r="A38" s="211">
        <v>37</v>
      </c>
      <c r="B38" s="2">
        <f>Scoresheet!I40</f>
        <v>31</v>
      </c>
      <c r="C38" s="2">
        <f>Scoresheet!U40</f>
        <v>0</v>
      </c>
      <c r="D38" s="2">
        <f>Scoresheet!AG40</f>
        <v>50</v>
      </c>
      <c r="E38" s="2">
        <f>Scoresheet!AS40</f>
        <v>0</v>
      </c>
      <c r="F38" s="2">
        <f>Scoresheet!BE40</f>
        <v>0</v>
      </c>
      <c r="G38" s="2">
        <f>Scoresheet!BQ40</f>
        <v>0</v>
      </c>
      <c r="H38" s="2">
        <f>Scoresheet!CC40</f>
        <v>46</v>
      </c>
      <c r="I38" s="2">
        <f>Scoresheet!CO40</f>
        <v>0</v>
      </c>
      <c r="J38" s="2">
        <f>Scoresheet!DA40</f>
        <v>0</v>
      </c>
      <c r="K38" s="2">
        <f>Scoresheet!DM40</f>
        <v>0</v>
      </c>
      <c r="L38" s="2">
        <f>Scoresheet!DY40</f>
        <v>0</v>
      </c>
      <c r="M38" s="2">
        <f>Scoresheet!EK40</f>
        <v>0</v>
      </c>
      <c r="N38" s="2">
        <f>Scoresheet!EW40</f>
        <v>0</v>
      </c>
      <c r="O38" s="2">
        <f>Scoresheet!FI40</f>
        <v>0</v>
      </c>
      <c r="P38" s="2">
        <f>Scoresheet!FU40</f>
        <v>0</v>
      </c>
      <c r="Q38" s="2">
        <f>Scoresheet!GG40</f>
        <v>45</v>
      </c>
      <c r="R38" s="2">
        <f>Scoresheet!GS40</f>
        <v>0</v>
      </c>
      <c r="S38" s="2">
        <f>Scoresheet!HE40</f>
        <v>0</v>
      </c>
      <c r="T38" s="2">
        <f>Scoresheet!HQ40</f>
        <v>12</v>
      </c>
      <c r="U38" s="2">
        <f>Scoresheet!IC40</f>
        <v>0</v>
      </c>
      <c r="V38" s="2">
        <f>Scoresheet!IO40</f>
        <v>0</v>
      </c>
      <c r="W38" s="2">
        <f>Scoresheet!JA40</f>
        <v>0</v>
      </c>
      <c r="X38" s="2">
        <f>Scoresheet!JM40</f>
        <v>0</v>
      </c>
      <c r="Y38" s="2">
        <f>Scoresheet!JY40</f>
        <v>0</v>
      </c>
      <c r="Z38" s="2">
        <f t="shared" si="6"/>
        <v>5</v>
      </c>
      <c r="AA38" s="2" t="str">
        <f>Data!H38</f>
        <v>16th January, 2026</v>
      </c>
      <c r="AB38" s="2" t="b">
        <f t="shared" si="2"/>
        <v>0</v>
      </c>
      <c r="AC38" s="2">
        <f t="shared" si="3"/>
        <v>500</v>
      </c>
      <c r="AD38" s="2">
        <f t="shared" si="7"/>
        <v>184</v>
      </c>
      <c r="AE38" s="157">
        <f t="shared" si="4"/>
        <v>18.399999999999999</v>
      </c>
      <c r="AF38" s="38">
        <f t="shared" si="8"/>
        <v>39</v>
      </c>
    </row>
    <row r="39" spans="1:32">
      <c r="A39" s="211">
        <v>38</v>
      </c>
      <c r="B39" s="2">
        <f>Scoresheet!I41</f>
        <v>41</v>
      </c>
      <c r="C39" s="2">
        <f>Scoresheet!U41</f>
        <v>0</v>
      </c>
      <c r="D39" s="2">
        <f>Scoresheet!AG41</f>
        <v>59</v>
      </c>
      <c r="E39" s="2">
        <f>Scoresheet!AS41</f>
        <v>0</v>
      </c>
      <c r="F39" s="2">
        <f>Scoresheet!BE41</f>
        <v>0</v>
      </c>
      <c r="G39" s="2">
        <f>Scoresheet!BQ41</f>
        <v>0</v>
      </c>
      <c r="H39" s="2">
        <f>Scoresheet!CC41</f>
        <v>60</v>
      </c>
      <c r="I39" s="2">
        <f>Scoresheet!CO41</f>
        <v>0</v>
      </c>
      <c r="J39" s="2">
        <f>Scoresheet!DA41</f>
        <v>0</v>
      </c>
      <c r="K39" s="2">
        <f>Scoresheet!DM41</f>
        <v>0</v>
      </c>
      <c r="L39" s="2">
        <f>Scoresheet!DY41</f>
        <v>0</v>
      </c>
      <c r="M39" s="2">
        <f>Scoresheet!EK41</f>
        <v>0</v>
      </c>
      <c r="N39" s="2">
        <f>Scoresheet!EW41</f>
        <v>0</v>
      </c>
      <c r="O39" s="2">
        <f>Scoresheet!FI41</f>
        <v>0</v>
      </c>
      <c r="P39" s="2">
        <f>Scoresheet!FU41</f>
        <v>0</v>
      </c>
      <c r="Q39" s="2">
        <f>Scoresheet!GG41</f>
        <v>60</v>
      </c>
      <c r="R39" s="2">
        <f>Scoresheet!GS41</f>
        <v>0</v>
      </c>
      <c r="S39" s="2">
        <f>Scoresheet!HE41</f>
        <v>0</v>
      </c>
      <c r="T39" s="2">
        <f>Scoresheet!HQ41</f>
        <v>0</v>
      </c>
      <c r="U39" s="2">
        <f>Scoresheet!IC41</f>
        <v>0</v>
      </c>
      <c r="V39" s="2">
        <f>Scoresheet!IO41</f>
        <v>0</v>
      </c>
      <c r="W39" s="2">
        <f>Scoresheet!JA41</f>
        <v>0</v>
      </c>
      <c r="X39" s="2">
        <f>Scoresheet!JM41</f>
        <v>0</v>
      </c>
      <c r="Y39" s="2">
        <f>Scoresheet!JY41</f>
        <v>0</v>
      </c>
      <c r="Z39" s="2">
        <f t="shared" si="6"/>
        <v>4</v>
      </c>
      <c r="AA39" s="2" t="str">
        <f>Data!H39</f>
        <v>16th January, 2026</v>
      </c>
      <c r="AB39" s="2" t="b">
        <f t="shared" si="2"/>
        <v>0</v>
      </c>
      <c r="AC39" s="2">
        <f t="shared" si="3"/>
        <v>400</v>
      </c>
      <c r="AD39" s="2">
        <f t="shared" si="7"/>
        <v>220</v>
      </c>
      <c r="AE39" s="157">
        <f t="shared" si="4"/>
        <v>22</v>
      </c>
      <c r="AF39" s="38">
        <f t="shared" si="8"/>
        <v>35</v>
      </c>
    </row>
    <row r="40" spans="1:32">
      <c r="A40" s="211">
        <v>39</v>
      </c>
      <c r="B40" s="2">
        <f>Scoresheet!I42</f>
        <v>0</v>
      </c>
      <c r="C40" s="2">
        <f>Scoresheet!U42</f>
        <v>0</v>
      </c>
      <c r="D40" s="2">
        <f>Scoresheet!AG42</f>
        <v>42</v>
      </c>
      <c r="E40" s="2">
        <f>Scoresheet!AS42</f>
        <v>0</v>
      </c>
      <c r="F40" s="2">
        <f>Scoresheet!BE42</f>
        <v>0</v>
      </c>
      <c r="G40" s="2">
        <f>Scoresheet!BQ42</f>
        <v>0</v>
      </c>
      <c r="H40" s="2">
        <f>Scoresheet!CC42</f>
        <v>58</v>
      </c>
      <c r="I40" s="2">
        <f>Scoresheet!CO42</f>
        <v>0</v>
      </c>
      <c r="J40" s="2">
        <f>Scoresheet!DA42</f>
        <v>0</v>
      </c>
      <c r="K40" s="2">
        <f>Scoresheet!DM42</f>
        <v>0</v>
      </c>
      <c r="L40" s="2">
        <f>Scoresheet!DY42</f>
        <v>0</v>
      </c>
      <c r="M40" s="2">
        <f>Scoresheet!EK42</f>
        <v>0</v>
      </c>
      <c r="N40" s="2">
        <f>Scoresheet!EW42</f>
        <v>0</v>
      </c>
      <c r="O40" s="2">
        <f>Scoresheet!FI42</f>
        <v>0</v>
      </c>
      <c r="P40" s="2">
        <f>Scoresheet!FU42</f>
        <v>0</v>
      </c>
      <c r="Q40" s="2">
        <f>Scoresheet!GG42</f>
        <v>50</v>
      </c>
      <c r="R40" s="2">
        <f>Scoresheet!GS42</f>
        <v>0</v>
      </c>
      <c r="S40" s="2">
        <f>Scoresheet!HE42</f>
        <v>0</v>
      </c>
      <c r="T40" s="2">
        <f>Scoresheet!HQ42</f>
        <v>12</v>
      </c>
      <c r="U40" s="2">
        <f>Scoresheet!IC42</f>
        <v>0</v>
      </c>
      <c r="V40" s="2">
        <f>Scoresheet!IO42</f>
        <v>0</v>
      </c>
      <c r="W40" s="2">
        <f>Scoresheet!JA42</f>
        <v>0</v>
      </c>
      <c r="X40" s="2">
        <f>Scoresheet!JM42</f>
        <v>0</v>
      </c>
      <c r="Y40" s="2">
        <f>Scoresheet!JY42</f>
        <v>0</v>
      </c>
      <c r="Z40" s="2">
        <f t="shared" si="6"/>
        <v>4</v>
      </c>
      <c r="AA40" s="2" t="str">
        <f>Data!H40</f>
        <v>16th January, 2026</v>
      </c>
      <c r="AB40" s="2" t="b">
        <f t="shared" si="2"/>
        <v>0</v>
      </c>
      <c r="AC40" s="2">
        <f t="shared" si="3"/>
        <v>400</v>
      </c>
      <c r="AD40" s="2">
        <f t="shared" si="7"/>
        <v>162</v>
      </c>
      <c r="AE40" s="157">
        <f t="shared" si="4"/>
        <v>16.2</v>
      </c>
      <c r="AF40" s="38">
        <f t="shared" si="8"/>
        <v>43</v>
      </c>
    </row>
    <row r="41" spans="1:32">
      <c r="A41" s="211">
        <v>40</v>
      </c>
      <c r="B41" s="2">
        <f>Scoresheet!I43</f>
        <v>42</v>
      </c>
      <c r="C41" s="2">
        <f>Scoresheet!U43</f>
        <v>0</v>
      </c>
      <c r="D41" s="2">
        <f>Scoresheet!AG43</f>
        <v>52</v>
      </c>
      <c r="E41" s="2">
        <f>Scoresheet!AS43</f>
        <v>0</v>
      </c>
      <c r="F41" s="2">
        <f>Scoresheet!BE43</f>
        <v>0</v>
      </c>
      <c r="G41" s="2">
        <f>Scoresheet!BQ43</f>
        <v>0</v>
      </c>
      <c r="H41" s="2">
        <f>Scoresheet!CC43</f>
        <v>62</v>
      </c>
      <c r="I41" s="2">
        <f>Scoresheet!CO43</f>
        <v>0</v>
      </c>
      <c r="J41" s="2">
        <f>Scoresheet!DA43</f>
        <v>0</v>
      </c>
      <c r="K41" s="2">
        <f>Scoresheet!DM43</f>
        <v>0</v>
      </c>
      <c r="L41" s="2">
        <f>Scoresheet!DY43</f>
        <v>0</v>
      </c>
      <c r="M41" s="2">
        <f>Scoresheet!EK43</f>
        <v>0</v>
      </c>
      <c r="N41" s="2">
        <f>Scoresheet!EW43</f>
        <v>0</v>
      </c>
      <c r="O41" s="2">
        <f>Scoresheet!FI43</f>
        <v>0</v>
      </c>
      <c r="P41" s="2">
        <f>Scoresheet!FU43</f>
        <v>0</v>
      </c>
      <c r="Q41" s="2">
        <f>Scoresheet!GG43</f>
        <v>52</v>
      </c>
      <c r="R41" s="2">
        <f>Scoresheet!GS43</f>
        <v>0</v>
      </c>
      <c r="S41" s="2">
        <f>Scoresheet!HE43</f>
        <v>0</v>
      </c>
      <c r="T41" s="2">
        <f>Scoresheet!HQ43</f>
        <v>10</v>
      </c>
      <c r="U41" s="2">
        <f>Scoresheet!IC43</f>
        <v>0</v>
      </c>
      <c r="V41" s="2">
        <f>Scoresheet!IO43</f>
        <v>0</v>
      </c>
      <c r="W41" s="2">
        <f>Scoresheet!JA43</f>
        <v>0</v>
      </c>
      <c r="X41" s="2">
        <f>Scoresheet!JM43</f>
        <v>0</v>
      </c>
      <c r="Y41" s="2">
        <f>Scoresheet!JY43</f>
        <v>0</v>
      </c>
      <c r="Z41" s="2">
        <f t="shared" si="6"/>
        <v>5</v>
      </c>
      <c r="AA41" s="2" t="str">
        <f>Data!H41</f>
        <v>16th January, 2026</v>
      </c>
      <c r="AB41" s="2" t="b">
        <f t="shared" si="2"/>
        <v>0</v>
      </c>
      <c r="AC41" s="2">
        <f t="shared" si="3"/>
        <v>500</v>
      </c>
      <c r="AD41" s="2">
        <f t="shared" si="7"/>
        <v>218</v>
      </c>
      <c r="AE41" s="157">
        <f t="shared" si="4"/>
        <v>21.8</v>
      </c>
      <c r="AF41" s="38">
        <f t="shared" si="8"/>
        <v>36</v>
      </c>
    </row>
    <row r="42" spans="1:32">
      <c r="A42" s="211">
        <v>41</v>
      </c>
      <c r="B42" s="2">
        <f>Scoresheet!I44</f>
        <v>40</v>
      </c>
      <c r="C42" s="2">
        <f>Scoresheet!U44</f>
        <v>0</v>
      </c>
      <c r="D42" s="2">
        <f>Scoresheet!AG44</f>
        <v>57</v>
      </c>
      <c r="E42" s="2">
        <f>Scoresheet!AS44</f>
        <v>0</v>
      </c>
      <c r="F42" s="2">
        <f>Scoresheet!BE44</f>
        <v>0</v>
      </c>
      <c r="G42" s="2">
        <f>Scoresheet!BQ44</f>
        <v>0</v>
      </c>
      <c r="H42" s="2">
        <f>Scoresheet!CC44</f>
        <v>38</v>
      </c>
      <c r="I42" s="2">
        <f>Scoresheet!CO44</f>
        <v>0</v>
      </c>
      <c r="J42" s="2">
        <f>Scoresheet!DA44</f>
        <v>0</v>
      </c>
      <c r="K42" s="2">
        <f>Scoresheet!DM44</f>
        <v>0</v>
      </c>
      <c r="L42" s="2">
        <f>Scoresheet!DY44</f>
        <v>0</v>
      </c>
      <c r="M42" s="2">
        <f>Scoresheet!EK44</f>
        <v>0</v>
      </c>
      <c r="N42" s="2">
        <f>Scoresheet!EW44</f>
        <v>0</v>
      </c>
      <c r="O42" s="2">
        <f>Scoresheet!FI44</f>
        <v>0</v>
      </c>
      <c r="P42" s="2">
        <f>Scoresheet!FU44</f>
        <v>0</v>
      </c>
      <c r="Q42" s="2">
        <f>Scoresheet!GG44</f>
        <v>38</v>
      </c>
      <c r="R42" s="2">
        <f>Scoresheet!GS44</f>
        <v>0</v>
      </c>
      <c r="S42" s="2">
        <f>Scoresheet!HE44</f>
        <v>0</v>
      </c>
      <c r="T42" s="2">
        <f>Scoresheet!HQ44</f>
        <v>8</v>
      </c>
      <c r="U42" s="2">
        <f>Scoresheet!IC44</f>
        <v>0</v>
      </c>
      <c r="V42" s="2">
        <f>Scoresheet!IO44</f>
        <v>0</v>
      </c>
      <c r="W42" s="2">
        <f>Scoresheet!JA44</f>
        <v>0</v>
      </c>
      <c r="X42" s="2">
        <f>Scoresheet!JM44</f>
        <v>0</v>
      </c>
      <c r="Y42" s="2">
        <f>Scoresheet!JY44</f>
        <v>0</v>
      </c>
      <c r="Z42" s="2">
        <f t="shared" si="6"/>
        <v>5</v>
      </c>
      <c r="AA42" s="2" t="str">
        <f>Data!H42</f>
        <v>16th January, 2026</v>
      </c>
      <c r="AB42" s="2" t="b">
        <f t="shared" si="2"/>
        <v>0</v>
      </c>
      <c r="AC42" s="2">
        <f t="shared" si="3"/>
        <v>500</v>
      </c>
      <c r="AD42" s="2">
        <f t="shared" si="7"/>
        <v>181</v>
      </c>
      <c r="AE42" s="157">
        <f t="shared" si="4"/>
        <v>18.100000000000001</v>
      </c>
      <c r="AF42" s="38">
        <f t="shared" si="8"/>
        <v>40</v>
      </c>
    </row>
    <row r="43" spans="1:32">
      <c r="A43" s="211">
        <v>42</v>
      </c>
      <c r="B43" s="2">
        <f>Scoresheet!I45</f>
        <v>35</v>
      </c>
      <c r="C43" s="2">
        <f>Scoresheet!U45</f>
        <v>0</v>
      </c>
      <c r="D43" s="2">
        <f>Scoresheet!AG45</f>
        <v>55</v>
      </c>
      <c r="E43" s="2">
        <f>Scoresheet!AS45</f>
        <v>0</v>
      </c>
      <c r="F43" s="2">
        <f>Scoresheet!BE45</f>
        <v>0</v>
      </c>
      <c r="G43" s="2">
        <f>Scoresheet!BQ45</f>
        <v>0</v>
      </c>
      <c r="H43" s="2">
        <f>Scoresheet!CC45</f>
        <v>50</v>
      </c>
      <c r="I43" s="2">
        <f>Scoresheet!CO45</f>
        <v>0</v>
      </c>
      <c r="J43" s="2">
        <f>Scoresheet!DA45</f>
        <v>0</v>
      </c>
      <c r="K43" s="2">
        <f>Scoresheet!DM45</f>
        <v>0</v>
      </c>
      <c r="L43" s="2">
        <f>Scoresheet!DY45</f>
        <v>0</v>
      </c>
      <c r="M43" s="2">
        <f>Scoresheet!EK45</f>
        <v>0</v>
      </c>
      <c r="N43" s="2">
        <f>Scoresheet!EW45</f>
        <v>0</v>
      </c>
      <c r="O43" s="2">
        <f>Scoresheet!FI45</f>
        <v>0</v>
      </c>
      <c r="P43" s="2">
        <f>Scoresheet!FU45</f>
        <v>0</v>
      </c>
      <c r="Q43" s="2">
        <f>Scoresheet!GG45</f>
        <v>53</v>
      </c>
      <c r="R43" s="2">
        <f>Scoresheet!GS45</f>
        <v>0</v>
      </c>
      <c r="S43" s="2">
        <f>Scoresheet!HE45</f>
        <v>0</v>
      </c>
      <c r="T43" s="2">
        <f>Scoresheet!HQ45</f>
        <v>12</v>
      </c>
      <c r="U43" s="2">
        <f>Scoresheet!IC45</f>
        <v>0</v>
      </c>
      <c r="V43" s="2">
        <f>Scoresheet!IO45</f>
        <v>0</v>
      </c>
      <c r="W43" s="2">
        <f>Scoresheet!JA45</f>
        <v>0</v>
      </c>
      <c r="X43" s="2">
        <f>Scoresheet!JM45</f>
        <v>0</v>
      </c>
      <c r="Y43" s="2">
        <f>Scoresheet!JY45</f>
        <v>0</v>
      </c>
      <c r="Z43" s="2">
        <f t="shared" si="6"/>
        <v>5</v>
      </c>
      <c r="AA43" s="2" t="str">
        <f>Data!H43</f>
        <v>16th January, 2026</v>
      </c>
      <c r="AB43" s="2" t="b">
        <f t="shared" si="2"/>
        <v>0</v>
      </c>
      <c r="AC43" s="2">
        <f t="shared" si="3"/>
        <v>500</v>
      </c>
      <c r="AD43" s="2">
        <f t="shared" si="7"/>
        <v>205</v>
      </c>
      <c r="AE43" s="157">
        <f t="shared" si="4"/>
        <v>20.5</v>
      </c>
      <c r="AF43" s="38">
        <f t="shared" si="8"/>
        <v>38</v>
      </c>
    </row>
    <row r="44" spans="1:32">
      <c r="A44" s="211">
        <v>43</v>
      </c>
      <c r="B44" s="2">
        <f>Scoresheet!I46</f>
        <v>52</v>
      </c>
      <c r="C44" s="2">
        <f>Scoresheet!U46</f>
        <v>0</v>
      </c>
      <c r="D44" s="2">
        <f>Scoresheet!AG46</f>
        <v>62</v>
      </c>
      <c r="E44" s="2">
        <f>Scoresheet!AS46</f>
        <v>0</v>
      </c>
      <c r="F44" s="2">
        <f>Scoresheet!BE46</f>
        <v>0</v>
      </c>
      <c r="G44" s="2">
        <f>Scoresheet!BQ46</f>
        <v>0</v>
      </c>
      <c r="H44" s="2">
        <f>Scoresheet!CC46</f>
        <v>41</v>
      </c>
      <c r="I44" s="2">
        <f>Scoresheet!CO46</f>
        <v>0</v>
      </c>
      <c r="J44" s="2">
        <f>Scoresheet!DA46</f>
        <v>0</v>
      </c>
      <c r="K44" s="2">
        <f>Scoresheet!DM46</f>
        <v>0</v>
      </c>
      <c r="L44" s="2">
        <f>Scoresheet!DY46</f>
        <v>0</v>
      </c>
      <c r="M44" s="2">
        <f>Scoresheet!EK46</f>
        <v>0</v>
      </c>
      <c r="N44" s="2">
        <f>Scoresheet!EW46</f>
        <v>0</v>
      </c>
      <c r="O44" s="2">
        <f>Scoresheet!FI46</f>
        <v>0</v>
      </c>
      <c r="P44" s="2">
        <f>Scoresheet!FU46</f>
        <v>0</v>
      </c>
      <c r="Q44" s="2">
        <f>Scoresheet!GG46</f>
        <v>53</v>
      </c>
      <c r="R44" s="2">
        <f>Scoresheet!GS46</f>
        <v>0</v>
      </c>
      <c r="S44" s="2">
        <f>Scoresheet!HE46</f>
        <v>0</v>
      </c>
      <c r="T44" s="2">
        <f>Scoresheet!HQ46</f>
        <v>9</v>
      </c>
      <c r="U44" s="2">
        <f>Scoresheet!IC46</f>
        <v>0</v>
      </c>
      <c r="V44" s="2">
        <f>Scoresheet!IO46</f>
        <v>0</v>
      </c>
      <c r="W44" s="2">
        <f>Scoresheet!JA46</f>
        <v>0</v>
      </c>
      <c r="X44" s="2">
        <f>Scoresheet!JM46</f>
        <v>0</v>
      </c>
      <c r="Y44" s="2">
        <f>Scoresheet!JY46</f>
        <v>0</v>
      </c>
      <c r="Z44" s="2">
        <f t="shared" si="6"/>
        <v>5</v>
      </c>
      <c r="AA44" s="2" t="str">
        <f>Data!H44</f>
        <v>16th January, 2026</v>
      </c>
      <c r="AB44" s="2" t="b">
        <f t="shared" si="2"/>
        <v>0</v>
      </c>
      <c r="AC44" s="2">
        <f t="shared" si="3"/>
        <v>500</v>
      </c>
      <c r="AD44" s="2">
        <f t="shared" si="7"/>
        <v>217</v>
      </c>
      <c r="AE44" s="157">
        <f t="shared" si="4"/>
        <v>21.7</v>
      </c>
      <c r="AF44" s="38">
        <f t="shared" si="8"/>
        <v>37</v>
      </c>
    </row>
    <row r="45" spans="1:32">
      <c r="A45" s="211">
        <v>44</v>
      </c>
      <c r="B45" s="2">
        <f>Scoresheet!I47</f>
        <v>25</v>
      </c>
      <c r="C45" s="2">
        <f>Scoresheet!U47</f>
        <v>0</v>
      </c>
      <c r="D45" s="2">
        <f>Scoresheet!AG47</f>
        <v>42</v>
      </c>
      <c r="E45" s="2">
        <f>Scoresheet!AS47</f>
        <v>0</v>
      </c>
      <c r="F45" s="2">
        <f>Scoresheet!BE47</f>
        <v>0</v>
      </c>
      <c r="G45" s="2">
        <f>Scoresheet!BQ47</f>
        <v>0</v>
      </c>
      <c r="H45" s="2">
        <f>Scoresheet!CC47</f>
        <v>38</v>
      </c>
      <c r="I45" s="2">
        <f>Scoresheet!CO47</f>
        <v>0</v>
      </c>
      <c r="J45" s="2">
        <f>Scoresheet!DA47</f>
        <v>0</v>
      </c>
      <c r="K45" s="2">
        <f>Scoresheet!DM47</f>
        <v>0</v>
      </c>
      <c r="L45" s="2">
        <f>Scoresheet!DY47</f>
        <v>0</v>
      </c>
      <c r="M45" s="2">
        <f>Scoresheet!EK47</f>
        <v>0</v>
      </c>
      <c r="N45" s="2">
        <f>Scoresheet!EW47</f>
        <v>0</v>
      </c>
      <c r="O45" s="2">
        <f>Scoresheet!FI47</f>
        <v>0</v>
      </c>
      <c r="P45" s="2">
        <f>Scoresheet!FU47</f>
        <v>0</v>
      </c>
      <c r="Q45" s="2">
        <f>Scoresheet!GG47</f>
        <v>38</v>
      </c>
      <c r="R45" s="2">
        <f>Scoresheet!GS47</f>
        <v>0</v>
      </c>
      <c r="S45" s="2">
        <f>Scoresheet!HE47</f>
        <v>31</v>
      </c>
      <c r="T45" s="2">
        <f>Scoresheet!HQ47</f>
        <v>0</v>
      </c>
      <c r="U45" s="2">
        <f>Scoresheet!IC47</f>
        <v>0</v>
      </c>
      <c r="V45" s="2">
        <f>Scoresheet!IO47</f>
        <v>0</v>
      </c>
      <c r="W45" s="2">
        <f>Scoresheet!JA47</f>
        <v>0</v>
      </c>
      <c r="X45" s="2">
        <f>Scoresheet!JM47</f>
        <v>0</v>
      </c>
      <c r="Y45" s="2">
        <f>Scoresheet!JY47</f>
        <v>0</v>
      </c>
      <c r="Z45" s="2">
        <f t="shared" si="6"/>
        <v>5</v>
      </c>
      <c r="AA45" s="2" t="str">
        <f>Data!H45</f>
        <v>16th January, 2026</v>
      </c>
      <c r="AB45" s="2" t="b">
        <f t="shared" si="2"/>
        <v>0</v>
      </c>
      <c r="AC45" s="2">
        <f t="shared" si="3"/>
        <v>500</v>
      </c>
      <c r="AD45" s="2">
        <f t="shared" si="7"/>
        <v>174</v>
      </c>
      <c r="AE45" s="157">
        <f t="shared" si="4"/>
        <v>17.399999999999999</v>
      </c>
      <c r="AF45" s="38">
        <f t="shared" si="8"/>
        <v>41</v>
      </c>
    </row>
    <row r="46" spans="1:32">
      <c r="A46" s="211">
        <v>45</v>
      </c>
      <c r="B46" s="2">
        <f>Scoresheet!I48</f>
        <v>27</v>
      </c>
      <c r="C46" s="2">
        <f>Scoresheet!U48</f>
        <v>0</v>
      </c>
      <c r="D46" s="2">
        <f>Scoresheet!AG48</f>
        <v>51</v>
      </c>
      <c r="E46" s="2">
        <f>Scoresheet!AS48</f>
        <v>0</v>
      </c>
      <c r="F46" s="2">
        <f>Scoresheet!BE48</f>
        <v>0</v>
      </c>
      <c r="G46" s="2">
        <f>Scoresheet!BQ48</f>
        <v>0</v>
      </c>
      <c r="H46" s="2">
        <f>Scoresheet!CC48</f>
        <v>43</v>
      </c>
      <c r="I46" s="2">
        <f>Scoresheet!CO48</f>
        <v>0</v>
      </c>
      <c r="J46" s="2">
        <f>Scoresheet!DA48</f>
        <v>0</v>
      </c>
      <c r="K46" s="2">
        <f>Scoresheet!DM48</f>
        <v>0</v>
      </c>
      <c r="L46" s="2">
        <f>Scoresheet!DY48</f>
        <v>0</v>
      </c>
      <c r="M46" s="2">
        <f>Scoresheet!EK48</f>
        <v>0</v>
      </c>
      <c r="N46" s="2">
        <f>Scoresheet!EW48</f>
        <v>0</v>
      </c>
      <c r="O46" s="2">
        <f>Scoresheet!FI48</f>
        <v>0</v>
      </c>
      <c r="P46" s="2">
        <f>Scoresheet!FU48</f>
        <v>0</v>
      </c>
      <c r="Q46" s="2">
        <f>Scoresheet!GG48</f>
        <v>41</v>
      </c>
      <c r="R46" s="2">
        <f>Scoresheet!GS48</f>
        <v>0</v>
      </c>
      <c r="S46" s="2">
        <f>Scoresheet!HE48</f>
        <v>0</v>
      </c>
      <c r="T46" s="2">
        <f>Scoresheet!HQ48</f>
        <v>10</v>
      </c>
      <c r="U46" s="2">
        <f>Scoresheet!IC48</f>
        <v>0</v>
      </c>
      <c r="V46" s="2">
        <f>Scoresheet!IO48</f>
        <v>0</v>
      </c>
      <c r="W46" s="2">
        <f>Scoresheet!JA48</f>
        <v>0</v>
      </c>
      <c r="X46" s="2">
        <f>Scoresheet!JM48</f>
        <v>0</v>
      </c>
      <c r="Y46" s="2">
        <f>Scoresheet!JY48</f>
        <v>0</v>
      </c>
      <c r="Z46" s="2">
        <f t="shared" si="6"/>
        <v>5</v>
      </c>
      <c r="AA46" s="2" t="str">
        <f>Data!H46</f>
        <v>16th January, 2026</v>
      </c>
      <c r="AB46" s="2" t="b">
        <f t="shared" si="2"/>
        <v>0</v>
      </c>
      <c r="AC46" s="2">
        <f t="shared" si="3"/>
        <v>500</v>
      </c>
      <c r="AD46" s="2">
        <f t="shared" si="7"/>
        <v>172</v>
      </c>
      <c r="AE46" s="157">
        <f t="shared" si="4"/>
        <v>17.2</v>
      </c>
      <c r="AF46" s="38">
        <f t="shared" si="8"/>
        <v>42</v>
      </c>
    </row>
    <row r="47" spans="1:32">
      <c r="A47" s="211">
        <v>46</v>
      </c>
      <c r="B47" s="2">
        <f>Scoresheet!I49</f>
        <v>52</v>
      </c>
      <c r="C47" s="2">
        <f>Scoresheet!U49</f>
        <v>0</v>
      </c>
      <c r="D47" s="2">
        <f>Scoresheet!AG49</f>
        <v>68</v>
      </c>
      <c r="E47" s="2">
        <f>Scoresheet!AS49</f>
        <v>0</v>
      </c>
      <c r="F47" s="2">
        <f>Scoresheet!BE49</f>
        <v>0</v>
      </c>
      <c r="G47" s="2">
        <f>Scoresheet!BQ49</f>
        <v>0</v>
      </c>
      <c r="H47" s="2">
        <f>Scoresheet!CC49</f>
        <v>91</v>
      </c>
      <c r="I47" s="2">
        <f>Scoresheet!CO49</f>
        <v>0</v>
      </c>
      <c r="J47" s="2">
        <f>Scoresheet!DA49</f>
        <v>0</v>
      </c>
      <c r="K47" s="2">
        <f>Scoresheet!DM49</f>
        <v>0</v>
      </c>
      <c r="L47" s="2">
        <f>Scoresheet!DY49</f>
        <v>0</v>
      </c>
      <c r="M47" s="2">
        <f>Scoresheet!EK49</f>
        <v>0</v>
      </c>
      <c r="N47" s="2">
        <f>Scoresheet!EW49</f>
        <v>0</v>
      </c>
      <c r="O47" s="2">
        <f>Scoresheet!FI49</f>
        <v>0</v>
      </c>
      <c r="P47" s="2">
        <f>Scoresheet!FU49</f>
        <v>0</v>
      </c>
      <c r="Q47" s="2">
        <f>Scoresheet!GG49</f>
        <v>77</v>
      </c>
      <c r="R47" s="2">
        <f>Scoresheet!GS49</f>
        <v>0</v>
      </c>
      <c r="S47" s="2">
        <f>Scoresheet!HE49</f>
        <v>40</v>
      </c>
      <c r="T47" s="2">
        <f>Scoresheet!HQ49</f>
        <v>0</v>
      </c>
      <c r="U47" s="2">
        <f>Scoresheet!IC49</f>
        <v>0</v>
      </c>
      <c r="V47" s="2">
        <f>Scoresheet!IO49</f>
        <v>0</v>
      </c>
      <c r="W47" s="2">
        <f>Scoresheet!JA49</f>
        <v>0</v>
      </c>
      <c r="X47" s="2">
        <f>Scoresheet!JM49</f>
        <v>0</v>
      </c>
      <c r="Y47" s="2">
        <f>Scoresheet!JY49</f>
        <v>0</v>
      </c>
      <c r="Z47" s="2">
        <f t="shared" si="6"/>
        <v>5</v>
      </c>
      <c r="AA47" s="2" t="str">
        <f>Data!H47</f>
        <v>16th January, 2026</v>
      </c>
      <c r="AB47" s="2" t="b">
        <f t="shared" si="2"/>
        <v>0</v>
      </c>
      <c r="AC47" s="2">
        <f t="shared" si="3"/>
        <v>500</v>
      </c>
      <c r="AD47" s="2">
        <f t="shared" si="7"/>
        <v>328</v>
      </c>
      <c r="AE47" s="157">
        <f t="shared" si="4"/>
        <v>32.799999999999997</v>
      </c>
      <c r="AF47" s="38">
        <f t="shared" si="8"/>
        <v>22</v>
      </c>
    </row>
    <row r="48" spans="1:32">
      <c r="A48" s="211">
        <v>47</v>
      </c>
      <c r="B48" s="2">
        <f>Scoresheet!I50</f>
        <v>53</v>
      </c>
      <c r="C48" s="2">
        <f>Scoresheet!U50</f>
        <v>0</v>
      </c>
      <c r="D48" s="2">
        <f>Scoresheet!AG50</f>
        <v>68</v>
      </c>
      <c r="E48" s="2">
        <f>Scoresheet!AS50</f>
        <v>0</v>
      </c>
      <c r="F48" s="2">
        <f>Scoresheet!BE50</f>
        <v>0</v>
      </c>
      <c r="G48" s="2">
        <f>Scoresheet!BQ50</f>
        <v>0</v>
      </c>
      <c r="H48" s="2">
        <f>Scoresheet!CC50</f>
        <v>81</v>
      </c>
      <c r="I48" s="2">
        <f>Scoresheet!CO50</f>
        <v>0</v>
      </c>
      <c r="J48" s="2">
        <f>Scoresheet!DA50</f>
        <v>0</v>
      </c>
      <c r="K48" s="2">
        <f>Scoresheet!DM50</f>
        <v>64</v>
      </c>
      <c r="L48" s="2">
        <f>Scoresheet!DY50</f>
        <v>0</v>
      </c>
      <c r="M48" s="2">
        <f>Scoresheet!EK50</f>
        <v>0</v>
      </c>
      <c r="N48" s="2">
        <f>Scoresheet!EW50</f>
        <v>0</v>
      </c>
      <c r="O48" s="2">
        <f>Scoresheet!FI50</f>
        <v>0</v>
      </c>
      <c r="P48" s="2">
        <f>Scoresheet!FU50</f>
        <v>0</v>
      </c>
      <c r="Q48" s="2">
        <f>Scoresheet!GG50</f>
        <v>70</v>
      </c>
      <c r="R48" s="2">
        <f>Scoresheet!GS50</f>
        <v>0</v>
      </c>
      <c r="S48" s="2">
        <f>Scoresheet!HE50</f>
        <v>0</v>
      </c>
      <c r="T48" s="2">
        <f>Scoresheet!HQ50</f>
        <v>0</v>
      </c>
      <c r="U48" s="2">
        <f>Scoresheet!IC50</f>
        <v>0</v>
      </c>
      <c r="V48" s="2">
        <f>Scoresheet!IO50</f>
        <v>0</v>
      </c>
      <c r="W48" s="2">
        <f>Scoresheet!JA50</f>
        <v>0</v>
      </c>
      <c r="X48" s="2">
        <f>Scoresheet!JM50</f>
        <v>0</v>
      </c>
      <c r="Y48" s="2">
        <f>Scoresheet!JY50</f>
        <v>0</v>
      </c>
      <c r="Z48" s="2">
        <f t="shared" si="6"/>
        <v>5</v>
      </c>
      <c r="AA48" s="2" t="str">
        <f>Data!H48</f>
        <v>16th January, 2026</v>
      </c>
      <c r="AB48" s="2" t="b">
        <f t="shared" si="2"/>
        <v>0</v>
      </c>
      <c r="AC48" s="2">
        <f t="shared" si="3"/>
        <v>500</v>
      </c>
      <c r="AD48" s="2">
        <f t="shared" si="7"/>
        <v>336</v>
      </c>
      <c r="AE48" s="157">
        <f t="shared" si="4"/>
        <v>33.6</v>
      </c>
      <c r="AF48" s="38">
        <f t="shared" si="8"/>
        <v>20</v>
      </c>
    </row>
    <row r="49" spans="1:32">
      <c r="A49" s="211">
        <v>48</v>
      </c>
      <c r="B49" s="2">
        <f>Scoresheet!I51</f>
        <v>63</v>
      </c>
      <c r="C49" s="2">
        <f>Scoresheet!U51</f>
        <v>0</v>
      </c>
      <c r="D49" s="2">
        <f>Scoresheet!AG51</f>
        <v>72</v>
      </c>
      <c r="E49" s="2">
        <f>Scoresheet!AS51</f>
        <v>0</v>
      </c>
      <c r="F49" s="2">
        <f>Scoresheet!BE51</f>
        <v>0</v>
      </c>
      <c r="G49" s="2">
        <f>Scoresheet!BQ51</f>
        <v>0</v>
      </c>
      <c r="H49" s="2">
        <f>Scoresheet!CC51</f>
        <v>80</v>
      </c>
      <c r="I49" s="2">
        <f>Scoresheet!CO51</f>
        <v>0</v>
      </c>
      <c r="J49" s="2">
        <f>Scoresheet!DA51</f>
        <v>0</v>
      </c>
      <c r="K49" s="2">
        <f>Scoresheet!DM51</f>
        <v>0</v>
      </c>
      <c r="L49" s="2">
        <f>Scoresheet!DY51</f>
        <v>0</v>
      </c>
      <c r="M49" s="2">
        <f>Scoresheet!EK51</f>
        <v>0</v>
      </c>
      <c r="N49" s="2">
        <f>Scoresheet!EW51</f>
        <v>0</v>
      </c>
      <c r="O49" s="2">
        <f>Scoresheet!FI51</f>
        <v>0</v>
      </c>
      <c r="P49" s="2">
        <f>Scoresheet!FU51</f>
        <v>0</v>
      </c>
      <c r="Q49" s="2">
        <f>Scoresheet!GG51</f>
        <v>72</v>
      </c>
      <c r="R49" s="2">
        <f>Scoresheet!GS51</f>
        <v>0</v>
      </c>
      <c r="S49" s="2">
        <f>Scoresheet!HE51</f>
        <v>22</v>
      </c>
      <c r="T49" s="2">
        <f>Scoresheet!HQ51</f>
        <v>15</v>
      </c>
      <c r="U49" s="2">
        <f>Scoresheet!IC51</f>
        <v>0</v>
      </c>
      <c r="V49" s="2">
        <f>Scoresheet!IO51</f>
        <v>0</v>
      </c>
      <c r="W49" s="2">
        <f>Scoresheet!JA51</f>
        <v>0</v>
      </c>
      <c r="X49" s="2">
        <f>Scoresheet!JM51</f>
        <v>0</v>
      </c>
      <c r="Y49" s="2">
        <f>Scoresheet!JY51</f>
        <v>0</v>
      </c>
      <c r="Z49" s="2">
        <f t="shared" si="6"/>
        <v>6</v>
      </c>
      <c r="AA49" s="2" t="str">
        <f>Data!H49</f>
        <v>16th January, 2026</v>
      </c>
      <c r="AB49" s="2" t="b">
        <f t="shared" si="2"/>
        <v>0</v>
      </c>
      <c r="AC49" s="2">
        <f t="shared" si="3"/>
        <v>600</v>
      </c>
      <c r="AD49" s="2">
        <f t="shared" si="7"/>
        <v>324</v>
      </c>
      <c r="AE49" s="157">
        <f t="shared" si="4"/>
        <v>32.4</v>
      </c>
      <c r="AF49" s="38">
        <f t="shared" si="8"/>
        <v>24</v>
      </c>
    </row>
    <row r="50" spans="1:32">
      <c r="A50" s="211">
        <v>49</v>
      </c>
      <c r="B50" s="2">
        <f>Scoresheet!I52</f>
        <v>41</v>
      </c>
      <c r="C50" s="2">
        <f>Scoresheet!U52</f>
        <v>0</v>
      </c>
      <c r="D50" s="2">
        <f>Scoresheet!AG52</f>
        <v>58</v>
      </c>
      <c r="E50" s="2">
        <f>Scoresheet!AS52</f>
        <v>0</v>
      </c>
      <c r="F50" s="2">
        <f>Scoresheet!BE52</f>
        <v>0</v>
      </c>
      <c r="G50" s="2">
        <f>Scoresheet!BQ52</f>
        <v>0</v>
      </c>
      <c r="H50" s="2">
        <f>Scoresheet!CC52</f>
        <v>51</v>
      </c>
      <c r="I50" s="2">
        <f>Scoresheet!CO52</f>
        <v>0</v>
      </c>
      <c r="J50" s="2">
        <f>Scoresheet!DA52</f>
        <v>0</v>
      </c>
      <c r="K50" s="2">
        <f>Scoresheet!DM52</f>
        <v>0</v>
      </c>
      <c r="L50" s="2">
        <f>Scoresheet!DY52</f>
        <v>0</v>
      </c>
      <c r="M50" s="2">
        <f>Scoresheet!EK52</f>
        <v>0</v>
      </c>
      <c r="N50" s="2">
        <f>Scoresheet!EW52</f>
        <v>0</v>
      </c>
      <c r="O50" s="2">
        <f>Scoresheet!FI52</f>
        <v>0</v>
      </c>
      <c r="P50" s="2">
        <f>Scoresheet!FU52</f>
        <v>0</v>
      </c>
      <c r="Q50" s="2">
        <f>Scoresheet!GG52</f>
        <v>57</v>
      </c>
      <c r="R50" s="2">
        <f>Scoresheet!GS52</f>
        <v>0</v>
      </c>
      <c r="S50" s="2">
        <f>Scoresheet!HE52</f>
        <v>28</v>
      </c>
      <c r="T50" s="2">
        <f>Scoresheet!HQ52</f>
        <v>0</v>
      </c>
      <c r="U50" s="2">
        <f>Scoresheet!IC52</f>
        <v>0</v>
      </c>
      <c r="V50" s="2">
        <f>Scoresheet!IO52</f>
        <v>0</v>
      </c>
      <c r="W50" s="2">
        <f>Scoresheet!JA52</f>
        <v>0</v>
      </c>
      <c r="X50" s="2">
        <f>Scoresheet!JM52</f>
        <v>0</v>
      </c>
      <c r="Y50" s="2">
        <f>Scoresheet!JY52</f>
        <v>0</v>
      </c>
      <c r="Z50" s="2">
        <f t="shared" si="6"/>
        <v>5</v>
      </c>
      <c r="AA50" s="2" t="str">
        <f>Data!H50</f>
        <v>16th January, 2026</v>
      </c>
      <c r="AB50" s="2" t="b">
        <f t="shared" si="2"/>
        <v>0</v>
      </c>
      <c r="AC50" s="2">
        <f t="shared" si="3"/>
        <v>500</v>
      </c>
      <c r="AD50" s="2">
        <f t="shared" si="7"/>
        <v>235</v>
      </c>
      <c r="AE50" s="157">
        <f t="shared" si="4"/>
        <v>23.5</v>
      </c>
      <c r="AF50" s="38">
        <f t="shared" si="8"/>
        <v>33</v>
      </c>
    </row>
    <row r="51" spans="1:32">
      <c r="A51" s="211">
        <v>50</v>
      </c>
      <c r="B51" s="2">
        <f>Scoresheet!I53</f>
        <v>0</v>
      </c>
      <c r="C51" s="2">
        <f>Scoresheet!U53</f>
        <v>0</v>
      </c>
      <c r="D51" s="2">
        <f>Scoresheet!AG53</f>
        <v>62.344346322886949</v>
      </c>
      <c r="E51" s="2">
        <f>Scoresheet!AS53</f>
        <v>0</v>
      </c>
      <c r="F51" s="2">
        <f>Scoresheet!BE53</f>
        <v>0</v>
      </c>
      <c r="G51" s="2">
        <f>Scoresheet!BQ53</f>
        <v>0</v>
      </c>
      <c r="H51" s="2">
        <f>Scoresheet!CC53</f>
        <v>64</v>
      </c>
      <c r="I51" s="2">
        <f>Scoresheet!CO53</f>
        <v>0</v>
      </c>
      <c r="J51" s="2">
        <f>Scoresheet!DA53</f>
        <v>0</v>
      </c>
      <c r="K51" s="2">
        <f>Scoresheet!DM53</f>
        <v>41</v>
      </c>
      <c r="L51" s="2">
        <f>Scoresheet!DY53</f>
        <v>0</v>
      </c>
      <c r="M51" s="2">
        <f>Scoresheet!EK53</f>
        <v>0</v>
      </c>
      <c r="N51" s="2">
        <f>Scoresheet!EW53</f>
        <v>0</v>
      </c>
      <c r="O51" s="2">
        <f>Scoresheet!FI53</f>
        <v>0</v>
      </c>
      <c r="P51" s="2">
        <f>Scoresheet!FU53</f>
        <v>0</v>
      </c>
      <c r="Q51" s="2">
        <f>Scoresheet!GG53</f>
        <v>64</v>
      </c>
      <c r="R51" s="2">
        <f>Scoresheet!GS53</f>
        <v>0</v>
      </c>
      <c r="S51" s="2">
        <f>Scoresheet!HE53</f>
        <v>0</v>
      </c>
      <c r="T51" s="2">
        <f>Scoresheet!HQ53</f>
        <v>0</v>
      </c>
      <c r="U51" s="2">
        <f>Scoresheet!IC53</f>
        <v>0</v>
      </c>
      <c r="V51" s="2">
        <f>Scoresheet!IO53</f>
        <v>0</v>
      </c>
      <c r="W51" s="2">
        <f>Scoresheet!JA53</f>
        <v>0</v>
      </c>
      <c r="X51" s="2">
        <f>Scoresheet!JM53</f>
        <v>0</v>
      </c>
      <c r="Y51" s="2">
        <f>Scoresheet!JY53</f>
        <v>0</v>
      </c>
      <c r="Z51" s="2">
        <f t="shared" si="6"/>
        <v>4</v>
      </c>
      <c r="AA51" s="2" t="str">
        <f>Data!H51</f>
        <v>16th January, 2026</v>
      </c>
      <c r="AB51" s="2" t="b">
        <f t="shared" si="2"/>
        <v>0</v>
      </c>
      <c r="AC51" s="2">
        <f t="shared" si="3"/>
        <v>400</v>
      </c>
      <c r="AD51" s="2">
        <f t="shared" si="7"/>
        <v>231.34434632288696</v>
      </c>
      <c r="AE51" s="157">
        <f t="shared" si="4"/>
        <v>23.134434632288695</v>
      </c>
      <c r="AF51" s="38" t="str">
        <f t="shared" si="8"/>
        <v/>
      </c>
    </row>
    <row r="52" spans="1:32">
      <c r="A52" s="233">
        <f>Data!B52</f>
        <v>0</v>
      </c>
      <c r="B52" s="223"/>
      <c r="C52" s="223">
        <f>Scoresheet!U54</f>
        <v>0</v>
      </c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>
        <f>Data!H52</f>
        <v>0</v>
      </c>
      <c r="AB52" s="223"/>
      <c r="AC52" s="223"/>
      <c r="AD52" s="223"/>
      <c r="AE52" s="234">
        <f t="shared" si="4"/>
        <v>0</v>
      </c>
      <c r="AF52" s="224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66" t="s">
        <v>0</v>
      </c>
      <c r="B1" s="267"/>
      <c r="C1" s="267"/>
      <c r="D1" s="267"/>
      <c r="E1" s="267"/>
      <c r="F1" s="268"/>
      <c r="G1" s="268"/>
    </row>
    <row r="2" spans="1:7">
      <c r="A2" s="269" t="s">
        <v>1</v>
      </c>
      <c r="B2" s="269"/>
      <c r="C2" s="269" t="s">
        <v>2</v>
      </c>
      <c r="D2" s="269"/>
      <c r="E2" s="269"/>
      <c r="F2" s="270" t="s">
        <v>3</v>
      </c>
      <c r="G2" s="271"/>
    </row>
    <row r="3" spans="1:7" ht="15.75">
      <c r="A3" s="158" t="s">
        <v>4</v>
      </c>
      <c r="B3" s="158" t="s">
        <v>5</v>
      </c>
      <c r="C3" s="159" t="s">
        <v>6</v>
      </c>
      <c r="D3" s="159" t="s">
        <v>7</v>
      </c>
      <c r="E3" s="159" t="s">
        <v>8</v>
      </c>
      <c r="F3" s="159" t="s">
        <v>9</v>
      </c>
      <c r="G3" s="159" t="s">
        <v>10</v>
      </c>
    </row>
    <row r="4" spans="1:7" ht="15.75">
      <c r="A4" s="160">
        <v>1</v>
      </c>
      <c r="B4" s="108" t="str">
        <f>Data!B2</f>
        <v>ALI AHMED ASHEMI</v>
      </c>
      <c r="C4" s="160"/>
      <c r="D4" s="160"/>
      <c r="E4" s="160"/>
      <c r="F4" s="160"/>
      <c r="G4" s="160"/>
    </row>
    <row r="5" spans="1:7" ht="15.75">
      <c r="A5" s="161">
        <v>2</v>
      </c>
      <c r="B5" s="108" t="str">
        <f>Data!B3</f>
        <v>ALHAJI MUSTAPHA ABUBAKAR</v>
      </c>
      <c r="C5" s="161"/>
      <c r="D5" s="161"/>
      <c r="E5" s="161"/>
      <c r="F5" s="161"/>
      <c r="G5" s="161"/>
    </row>
    <row r="6" spans="1:7" ht="15.75">
      <c r="A6" s="161">
        <v>3</v>
      </c>
      <c r="B6" s="108" t="str">
        <f>Data!B4</f>
        <v>ALI MUHAMMED UMAR</v>
      </c>
      <c r="C6" s="161"/>
      <c r="D6" s="161"/>
      <c r="E6" s="161"/>
      <c r="F6" s="161"/>
      <c r="G6" s="161"/>
    </row>
    <row r="7" spans="1:7" ht="15.75">
      <c r="A7" s="161">
        <v>4</v>
      </c>
      <c r="B7" s="108" t="str">
        <f>Data!B5</f>
        <v>ADAM UMAR LAMINU</v>
      </c>
      <c r="C7" s="161"/>
      <c r="D7" s="161"/>
      <c r="E7" s="161"/>
      <c r="F7" s="161"/>
      <c r="G7" s="161"/>
    </row>
    <row r="8" spans="1:7" ht="15.75">
      <c r="A8" s="161">
        <v>5</v>
      </c>
      <c r="B8" s="108" t="str">
        <f>Data!B6</f>
        <v>ABUBAKAR UMAR</v>
      </c>
      <c r="C8" s="161"/>
      <c r="D8" s="161"/>
      <c r="E8" s="161"/>
      <c r="F8" s="161"/>
      <c r="G8" s="161"/>
    </row>
    <row r="9" spans="1:7" ht="15.75">
      <c r="A9" s="161">
        <v>6</v>
      </c>
      <c r="B9" s="108" t="str">
        <f>Data!B7</f>
        <v>BABAGANA ISA ABBA</v>
      </c>
      <c r="C9" s="161"/>
      <c r="D9" s="161"/>
      <c r="E9" s="161"/>
      <c r="F9" s="161"/>
      <c r="G9" s="161"/>
    </row>
    <row r="10" spans="1:7" ht="15.75">
      <c r="A10" s="161">
        <v>7</v>
      </c>
      <c r="B10" s="108" t="str">
        <f>Data!B8</f>
        <v>BABASHEHU ABDULLAHI</v>
      </c>
      <c r="C10" s="161"/>
      <c r="D10" s="161"/>
      <c r="E10" s="161"/>
      <c r="F10" s="161"/>
      <c r="G10" s="161"/>
    </row>
    <row r="11" spans="1:7" ht="15.75">
      <c r="A11" s="161">
        <v>8</v>
      </c>
      <c r="B11" s="108" t="str">
        <f>Data!B9</f>
        <v>BUKAR MUHAMMED GAMBO</v>
      </c>
      <c r="C11" s="161"/>
      <c r="D11" s="161"/>
      <c r="E11" s="161"/>
      <c r="F11" s="161"/>
      <c r="G11" s="161"/>
    </row>
    <row r="12" spans="1:7" ht="15.75">
      <c r="A12" s="161">
        <v>9</v>
      </c>
      <c r="B12" s="108" t="str">
        <f>Data!B10</f>
        <v>ELKANAH DANIEL KAIGAMA</v>
      </c>
      <c r="C12" s="161"/>
      <c r="D12" s="161"/>
      <c r="E12" s="161"/>
      <c r="F12" s="161"/>
      <c r="G12" s="161"/>
    </row>
    <row r="13" spans="1:7" ht="15.75">
      <c r="A13" s="161">
        <v>10</v>
      </c>
      <c r="B13" s="108" t="str">
        <f>Data!B11</f>
        <v>GANA ABUBAKAR ALHAJ</v>
      </c>
      <c r="C13" s="161"/>
      <c r="D13" s="161"/>
      <c r="E13" s="161"/>
      <c r="F13" s="161"/>
      <c r="G13" s="161"/>
    </row>
    <row r="14" spans="1:7" ht="15.75">
      <c r="A14" s="161">
        <v>11</v>
      </c>
      <c r="B14" s="108" t="str">
        <f>Data!B12</f>
        <v>IBRAHIM HASSAN HELMA</v>
      </c>
      <c r="C14" s="161"/>
      <c r="D14" s="161"/>
      <c r="E14" s="161"/>
      <c r="F14" s="161"/>
      <c r="G14" s="161"/>
    </row>
    <row r="15" spans="1:7" ht="15.75">
      <c r="A15" s="161">
        <v>12</v>
      </c>
      <c r="B15" s="108" t="str">
        <f>Data!B13</f>
        <v>MODUYE ALI</v>
      </c>
      <c r="C15" s="161"/>
      <c r="D15" s="161"/>
      <c r="E15" s="161"/>
      <c r="F15" s="161"/>
      <c r="G15" s="161"/>
    </row>
    <row r="16" spans="1:7" ht="15.75">
      <c r="A16" s="161">
        <v>13</v>
      </c>
      <c r="B16" s="108" t="str">
        <f>Data!B14</f>
        <v>MUSA AYUNDA JAMES</v>
      </c>
      <c r="C16" s="161"/>
      <c r="D16" s="161"/>
      <c r="E16" s="161"/>
      <c r="F16" s="161"/>
      <c r="G16" s="161"/>
    </row>
    <row r="17" spans="1:7" ht="15.75">
      <c r="A17" s="161">
        <v>14</v>
      </c>
      <c r="B17" s="108" t="str">
        <f>Data!B15</f>
        <v>MUHAMMED KOLE MUHAMMED</v>
      </c>
      <c r="C17" s="161"/>
      <c r="D17" s="161"/>
      <c r="E17" s="161"/>
      <c r="F17" s="161"/>
      <c r="G17" s="161"/>
    </row>
    <row r="18" spans="1:7" ht="15.75">
      <c r="A18" s="161">
        <v>15</v>
      </c>
      <c r="B18" s="108" t="str">
        <f>Data!B16</f>
        <v>MOHAMMED IBRAHIM SHETTIMA</v>
      </c>
      <c r="C18" s="161"/>
      <c r="D18" s="161"/>
      <c r="E18" s="161"/>
      <c r="F18" s="161"/>
      <c r="G18" s="161"/>
    </row>
    <row r="19" spans="1:7" ht="15.75">
      <c r="A19" s="161">
        <v>16</v>
      </c>
      <c r="B19" s="108" t="str">
        <f>Data!B17</f>
        <v>MUHAMMED MUSA BUKAR</v>
      </c>
      <c r="C19" s="161"/>
      <c r="D19" s="161"/>
      <c r="E19" s="161"/>
      <c r="F19" s="161"/>
      <c r="G19" s="161"/>
    </row>
    <row r="20" spans="1:7" ht="15.75">
      <c r="A20" s="161">
        <v>17</v>
      </c>
      <c r="B20" s="108" t="str">
        <f>Data!B18</f>
        <v>MOHAMMED KASHIM ADAM</v>
      </c>
      <c r="C20" s="161"/>
      <c r="D20" s="161"/>
      <c r="E20" s="161"/>
      <c r="F20" s="161"/>
      <c r="G20" s="161"/>
    </row>
    <row r="21" spans="1:7" ht="15.75">
      <c r="A21" s="161">
        <v>18</v>
      </c>
      <c r="B21" s="108" t="str">
        <f>Data!B19</f>
        <v>MOHAMMED KALA JUNIOR</v>
      </c>
      <c r="C21" s="161"/>
      <c r="D21" s="161"/>
      <c r="E21" s="161"/>
      <c r="F21" s="161"/>
      <c r="G21" s="161"/>
    </row>
    <row r="22" spans="1:7" ht="15.75">
      <c r="A22" s="161">
        <v>19</v>
      </c>
      <c r="B22" s="108" t="str">
        <f>Data!B20</f>
        <v>MUSTAPHA NGABURA LAMINU</v>
      </c>
      <c r="C22" s="161"/>
      <c r="D22" s="161"/>
      <c r="E22" s="161"/>
      <c r="F22" s="161"/>
      <c r="G22" s="161"/>
    </row>
    <row r="23" spans="1:7" ht="15.75">
      <c r="A23" s="161">
        <v>20</v>
      </c>
      <c r="B23" s="108" t="str">
        <f>Data!B21</f>
        <v>MOHAMMED ALKALI</v>
      </c>
      <c r="C23" s="161"/>
      <c r="D23" s="161"/>
      <c r="E23" s="161"/>
      <c r="F23" s="161"/>
      <c r="G23" s="161"/>
    </row>
    <row r="24" spans="1:7" ht="15.75">
      <c r="A24" s="161">
        <v>21</v>
      </c>
      <c r="B24" s="108" t="str">
        <f>Data!B22</f>
        <v>MOHAMMED TAHIR KOTOKO</v>
      </c>
      <c r="C24" s="161"/>
      <c r="D24" s="161"/>
      <c r="E24" s="161"/>
      <c r="F24" s="161"/>
      <c r="G24" s="161"/>
    </row>
    <row r="25" spans="1:7" ht="15.75">
      <c r="A25" s="161">
        <v>22</v>
      </c>
      <c r="B25" s="108" t="str">
        <f>Data!B23</f>
        <v>SUGUN IBRAHIM</v>
      </c>
      <c r="C25" s="161"/>
      <c r="D25" s="161"/>
      <c r="E25" s="161"/>
      <c r="F25" s="161"/>
      <c r="G25" s="161"/>
    </row>
    <row r="26" spans="1:7" ht="15.75">
      <c r="A26" s="161">
        <v>23</v>
      </c>
      <c r="B26" s="108" t="str">
        <f>Data!B24</f>
        <v>WIZIRI UMAR KINIDI</v>
      </c>
      <c r="C26" s="161"/>
      <c r="D26" s="161"/>
      <c r="E26" s="161"/>
      <c r="F26" s="161"/>
      <c r="G26" s="161"/>
    </row>
    <row r="27" spans="1:7" ht="15.75">
      <c r="A27" s="161">
        <v>24</v>
      </c>
      <c r="B27" s="108">
        <f>Data!B25</f>
        <v>0</v>
      </c>
      <c r="C27" s="161"/>
      <c r="D27" s="161"/>
      <c r="E27" s="161"/>
      <c r="F27" s="161"/>
      <c r="G27" s="161"/>
    </row>
    <row r="28" spans="1:7" ht="15.75">
      <c r="A28" s="161">
        <v>25</v>
      </c>
      <c r="B28" s="108">
        <f>Data!B26</f>
        <v>0</v>
      </c>
      <c r="C28" s="161"/>
      <c r="D28" s="161"/>
      <c r="E28" s="161"/>
      <c r="F28" s="161"/>
      <c r="G28" s="161"/>
    </row>
    <row r="29" spans="1:7" ht="15.75">
      <c r="A29" s="161">
        <v>26</v>
      </c>
      <c r="B29" s="108">
        <f>Data!B27</f>
        <v>0</v>
      </c>
      <c r="C29" s="161"/>
      <c r="D29" s="161"/>
      <c r="E29" s="161"/>
      <c r="F29" s="161"/>
      <c r="G29" s="161"/>
    </row>
    <row r="30" spans="1:7" ht="15.75">
      <c r="A30" s="161">
        <v>27</v>
      </c>
      <c r="B30" s="108">
        <f>Data!B28</f>
        <v>0</v>
      </c>
      <c r="C30" s="161"/>
      <c r="D30" s="161"/>
      <c r="E30" s="161"/>
      <c r="F30" s="161"/>
      <c r="G30" s="161"/>
    </row>
    <row r="31" spans="1:7" ht="15.75">
      <c r="A31" s="161">
        <v>28</v>
      </c>
      <c r="B31" s="108">
        <f>Data!B29</f>
        <v>0</v>
      </c>
      <c r="C31" s="161"/>
      <c r="D31" s="161"/>
      <c r="E31" s="161"/>
      <c r="F31" s="161"/>
      <c r="G31" s="161"/>
    </row>
    <row r="32" spans="1:7" ht="15.75">
      <c r="A32" s="161">
        <v>29</v>
      </c>
      <c r="B32" s="108" t="str">
        <f>Data!B30</f>
        <v>ALI AALIYA SHEHU</v>
      </c>
      <c r="C32" s="161"/>
      <c r="D32" s="161"/>
      <c r="E32" s="161"/>
      <c r="F32" s="161"/>
      <c r="G32" s="161"/>
    </row>
    <row r="33" spans="1:7" ht="15.75">
      <c r="A33" s="161">
        <v>30</v>
      </c>
      <c r="B33" s="108" t="str">
        <f>Data!B31</f>
        <v>AUDU FATIMA ADO</v>
      </c>
      <c r="C33" s="161"/>
      <c r="D33" s="161"/>
      <c r="E33" s="161"/>
      <c r="F33" s="161"/>
      <c r="G33" s="161"/>
    </row>
    <row r="34" spans="1:7" ht="15.75">
      <c r="A34" s="161">
        <v>31</v>
      </c>
      <c r="B34" s="108" t="str">
        <f>Data!B32</f>
        <v>ABBA FATIMA KYARI</v>
      </c>
      <c r="C34" s="161"/>
      <c r="D34" s="161"/>
      <c r="E34" s="161"/>
      <c r="F34" s="161"/>
      <c r="G34" s="161"/>
    </row>
    <row r="35" spans="1:7" ht="15.75">
      <c r="A35" s="161">
        <v>32</v>
      </c>
      <c r="B35" s="108" t="str">
        <f>Data!B33</f>
        <v>AHMED FATIMA JIME</v>
      </c>
      <c r="C35" s="161"/>
      <c r="D35" s="161"/>
      <c r="E35" s="161"/>
      <c r="F35" s="161"/>
      <c r="G35" s="161"/>
    </row>
    <row r="36" spans="1:7" ht="15.75">
      <c r="A36" s="161">
        <v>33</v>
      </c>
      <c r="B36" s="108" t="str">
        <f>Data!B34</f>
        <v>ADAMU HASAT ISAH</v>
      </c>
      <c r="C36" s="161"/>
      <c r="D36" s="161"/>
      <c r="E36" s="161"/>
      <c r="F36" s="161"/>
      <c r="G36" s="161"/>
    </row>
    <row r="37" spans="1:7" ht="15.75">
      <c r="A37" s="161">
        <v>34</v>
      </c>
      <c r="B37" s="108" t="str">
        <f>Data!B35</f>
        <v>BABAGANA AISHA ARFO</v>
      </c>
      <c r="C37" s="161"/>
      <c r="D37" s="161"/>
      <c r="E37" s="161"/>
      <c r="F37" s="161"/>
      <c r="G37" s="161"/>
    </row>
    <row r="38" spans="1:7" ht="15.75">
      <c r="A38" s="161">
        <v>35</v>
      </c>
      <c r="B38" s="108" t="str">
        <f>Data!B36</f>
        <v>BABA AMINA ZANNAH</v>
      </c>
      <c r="C38" s="161"/>
      <c r="D38" s="161"/>
      <c r="E38" s="161"/>
      <c r="F38" s="161"/>
      <c r="G38" s="161"/>
    </row>
    <row r="39" spans="1:7" ht="15.75">
      <c r="A39" s="161">
        <v>36</v>
      </c>
      <c r="B39" s="108" t="str">
        <f>Data!B37</f>
        <v>BUKAR FATIMAH ALLAU</v>
      </c>
      <c r="C39" s="161"/>
      <c r="D39" s="161"/>
      <c r="E39" s="161"/>
      <c r="F39" s="161"/>
      <c r="G39" s="161"/>
    </row>
    <row r="40" spans="1:7" ht="15.75">
      <c r="A40" s="161">
        <v>37</v>
      </c>
      <c r="B40" s="108" t="str">
        <f>Data!B38</f>
        <v>BABAGANA FATIMA KARUMI</v>
      </c>
      <c r="C40" s="161"/>
      <c r="D40" s="161"/>
      <c r="E40" s="161"/>
      <c r="F40" s="161"/>
      <c r="G40" s="161"/>
    </row>
    <row r="41" spans="1:7" ht="15.75">
      <c r="A41" s="161">
        <v>38</v>
      </c>
      <c r="B41" s="108" t="str">
        <f>Data!B39</f>
        <v>HARUNA RUTH AFFIKU</v>
      </c>
      <c r="C41" s="161"/>
      <c r="D41" s="161"/>
      <c r="E41" s="161"/>
      <c r="F41" s="161"/>
      <c r="G41" s="161"/>
    </row>
    <row r="42" spans="1:7" ht="15.75">
      <c r="A42" s="161">
        <v>39</v>
      </c>
      <c r="B42" s="108" t="str">
        <f>Data!B40</f>
        <v>HABILA ROSE</v>
      </c>
      <c r="C42" s="161"/>
      <c r="D42" s="161"/>
      <c r="E42" s="161"/>
      <c r="F42" s="161"/>
      <c r="G42" s="161"/>
    </row>
    <row r="43" spans="1:7" ht="15.75">
      <c r="A43" s="161">
        <v>40</v>
      </c>
      <c r="B43" s="108" t="str">
        <f>Data!B41</f>
        <v>IBRAHIM HADIZA ABUBAKAR</v>
      </c>
      <c r="C43" s="161"/>
      <c r="D43" s="161"/>
      <c r="E43" s="161"/>
      <c r="F43" s="161"/>
      <c r="G43" s="161"/>
    </row>
    <row r="44" spans="1:7" ht="15.75">
      <c r="A44" s="161">
        <v>41</v>
      </c>
      <c r="B44" s="108" t="str">
        <f>Data!B42</f>
        <v>KALLI AMSATU SHETTIMA</v>
      </c>
      <c r="C44" s="161"/>
      <c r="D44" s="161"/>
      <c r="E44" s="161"/>
      <c r="F44" s="161"/>
      <c r="G44" s="161"/>
    </row>
    <row r="45" spans="1:7" ht="15.75">
      <c r="A45" s="161">
        <v>42</v>
      </c>
      <c r="B45" s="108" t="str">
        <f>Data!B43</f>
        <v>LUQMAN HIKMAH</v>
      </c>
      <c r="C45" s="161"/>
      <c r="D45" s="161"/>
      <c r="E45" s="161"/>
      <c r="F45" s="161"/>
      <c r="G45" s="161"/>
    </row>
    <row r="46" spans="1:7" ht="15.75">
      <c r="A46" s="161">
        <v>43</v>
      </c>
      <c r="B46" s="108" t="str">
        <f>Data!B44</f>
        <v>MADU AYAMU YARIMA</v>
      </c>
      <c r="C46" s="161"/>
      <c r="D46" s="161"/>
      <c r="E46" s="161"/>
      <c r="F46" s="161"/>
      <c r="G46" s="161"/>
    </row>
    <row r="47" spans="1:7" ht="15.75">
      <c r="A47" s="161">
        <v>44</v>
      </c>
      <c r="B47" s="108" t="str">
        <f>Data!B45</f>
        <v>MUHAMMED SAKINAH ABDU</v>
      </c>
      <c r="C47" s="161"/>
      <c r="D47" s="161"/>
      <c r="E47" s="161"/>
      <c r="F47" s="161"/>
      <c r="G47" s="161"/>
    </row>
    <row r="48" spans="1:7" ht="15.75">
      <c r="A48" s="161">
        <v>45</v>
      </c>
      <c r="B48" s="108" t="str">
        <f>Data!B46</f>
        <v>NASIRU KHADIJAH GAJI</v>
      </c>
      <c r="C48" s="161"/>
      <c r="D48" s="161"/>
      <c r="E48" s="161"/>
      <c r="F48" s="161"/>
      <c r="G48" s="161"/>
    </row>
    <row r="49" spans="1:7" ht="15.75">
      <c r="A49" s="161">
        <v>46</v>
      </c>
      <c r="B49" s="108" t="str">
        <f>Data!B47</f>
        <v>SULEIMAN LAILA</v>
      </c>
      <c r="C49" s="161"/>
      <c r="D49" s="161"/>
      <c r="E49" s="161"/>
      <c r="F49" s="161"/>
      <c r="G49" s="161"/>
    </row>
    <row r="50" spans="1:7" ht="15.75">
      <c r="A50" s="161">
        <v>47</v>
      </c>
      <c r="B50" s="108" t="str">
        <f>Data!B48</f>
        <v>TAHA AMINA</v>
      </c>
      <c r="C50" s="161"/>
      <c r="D50" s="161"/>
      <c r="E50" s="161"/>
      <c r="F50" s="161"/>
      <c r="G50" s="161"/>
    </row>
    <row r="51" spans="1:7" ht="15.75">
      <c r="A51" s="161">
        <v>48</v>
      </c>
      <c r="B51" s="108" t="str">
        <f>Data!B49</f>
        <v>UMAR ZAINAB ZARMA</v>
      </c>
      <c r="C51" s="161"/>
      <c r="D51" s="161"/>
      <c r="E51" s="161"/>
      <c r="F51" s="161"/>
      <c r="G51" s="161"/>
    </row>
    <row r="52" spans="1:7" ht="15.75">
      <c r="A52" s="161">
        <v>49</v>
      </c>
      <c r="B52" s="108" t="str">
        <f>Data!B50</f>
        <v>ZANNA ZARA MUSTAPHA</v>
      </c>
      <c r="C52" s="162"/>
      <c r="D52" s="161"/>
      <c r="E52" s="161"/>
      <c r="F52" s="161"/>
      <c r="G52" s="161"/>
    </row>
    <row r="53" spans="1:7" ht="15.75">
      <c r="A53" s="161">
        <v>50</v>
      </c>
      <c r="B53" s="108" t="str">
        <f>Data!B51</f>
        <v>ZUBAIRU KHADIJA H ALIN</v>
      </c>
      <c r="C53" s="162"/>
      <c r="D53" s="161"/>
      <c r="E53" s="161"/>
      <c r="F53" s="161"/>
      <c r="G53" s="161"/>
    </row>
    <row r="54" spans="1:7">
      <c r="B54" s="163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3" workbookViewId="0">
      <selection activeCell="E67" sqref="E67:M67"/>
    </sheetView>
  </sheetViews>
  <sheetFormatPr defaultColWidth="9" defaultRowHeight="15"/>
  <cols>
    <col min="1" max="1" width="19.7109375" style="164" customWidth="1"/>
    <col min="2" max="2" width="5.42578125" style="164" customWidth="1"/>
    <col min="3" max="3" width="4.28515625" style="164" customWidth="1"/>
    <col min="4" max="4" width="5.5703125" style="164" customWidth="1"/>
    <col min="5" max="5" width="6.28515625" style="164" customWidth="1"/>
    <col min="6" max="6" width="5.7109375" style="164" customWidth="1"/>
    <col min="7" max="7" width="7" style="164" customWidth="1"/>
    <col min="8" max="8" width="4.85546875" style="164" customWidth="1"/>
    <col min="9" max="9" width="6.7109375" style="164" customWidth="1"/>
    <col min="10" max="10" width="5.28515625" style="164" customWidth="1"/>
    <col min="11" max="11" width="14.7109375" style="164" customWidth="1"/>
    <col min="12" max="12" width="2.28515625" style="164" customWidth="1"/>
    <col min="13" max="13" width="2.7109375" style="164" customWidth="1"/>
    <col min="14" max="14" width="10.5703125" style="164" customWidth="1"/>
    <col min="15" max="16384" width="9" style="164"/>
  </cols>
  <sheetData>
    <row r="2" spans="1:15">
      <c r="A2" s="165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7"/>
    </row>
    <row r="3" spans="1:15">
      <c r="A3" s="168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70"/>
    </row>
    <row r="4" spans="1:15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70"/>
    </row>
    <row r="5" spans="1:15">
      <c r="A5" s="168"/>
      <c r="B5" s="169"/>
      <c r="C5" s="169"/>
      <c r="D5" s="169"/>
      <c r="E5" s="299" t="s">
        <v>103</v>
      </c>
      <c r="F5" s="299"/>
      <c r="G5" s="299"/>
      <c r="H5" s="299"/>
      <c r="I5" s="299"/>
      <c r="J5" s="299"/>
      <c r="K5" s="299"/>
      <c r="L5" s="299"/>
      <c r="M5" s="299"/>
      <c r="N5" s="300"/>
    </row>
    <row r="6" spans="1:15">
      <c r="A6" s="168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70"/>
    </row>
    <row r="7" spans="1:15">
      <c r="A7" s="168"/>
      <c r="B7" s="169"/>
      <c r="C7" s="169"/>
      <c r="D7" s="169"/>
      <c r="E7" s="169"/>
      <c r="F7" s="169"/>
      <c r="G7" s="169"/>
      <c r="H7" s="171"/>
      <c r="I7" s="169"/>
      <c r="J7" s="169"/>
      <c r="K7" s="169"/>
      <c r="L7" s="169"/>
      <c r="M7" s="169"/>
      <c r="N7" s="170"/>
    </row>
    <row r="8" spans="1:15">
      <c r="A8" s="172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4"/>
      <c r="O8" s="169"/>
    </row>
    <row r="9" spans="1:15">
      <c r="A9" s="168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70"/>
      <c r="O9" s="169"/>
    </row>
    <row r="10" spans="1:15">
      <c r="A10" s="175" t="s">
        <v>104</v>
      </c>
      <c r="B10" s="290" t="str">
        <f>VLOOKUP(B14,Data!A1:G55,2,0)</f>
        <v>ZANNA ZARA MUSTAPHA</v>
      </c>
      <c r="C10" s="290"/>
      <c r="D10" s="290"/>
      <c r="E10" s="290"/>
      <c r="F10" s="290"/>
      <c r="G10" s="290"/>
      <c r="H10" s="169"/>
      <c r="I10" s="169"/>
      <c r="J10" s="169"/>
      <c r="K10" s="289" t="s">
        <v>105</v>
      </c>
      <c r="L10" s="289"/>
      <c r="M10" s="290" t="str">
        <f>VLOOKUP(B14,Data!A2:J55,7,0)</f>
        <v>1 st</v>
      </c>
      <c r="N10" s="291"/>
    </row>
    <row r="11" spans="1:15">
      <c r="A11" s="175" t="s">
        <v>106</v>
      </c>
      <c r="B11" s="298">
        <f>VLOOKUP(B14,Data!A2:J55,5,0)</f>
        <v>0</v>
      </c>
      <c r="C11" s="298"/>
      <c r="D11" s="298"/>
      <c r="E11" s="298"/>
      <c r="F11" s="298"/>
      <c r="G11" s="298"/>
      <c r="H11" s="169"/>
      <c r="I11" s="169"/>
      <c r="J11" s="169"/>
      <c r="K11" s="289" t="s">
        <v>28</v>
      </c>
      <c r="L11" s="289"/>
      <c r="M11" s="290" t="str">
        <f>VLOOKUP(B14,Data!A2:J55,3,0)</f>
        <v>SS 1F</v>
      </c>
      <c r="N11" s="291"/>
    </row>
    <row r="12" spans="1:15">
      <c r="A12" s="175" t="s">
        <v>107</v>
      </c>
      <c r="B12" s="298">
        <f>VLOOKUP(B14,Data!A2:G55,4,0)</f>
        <v>0</v>
      </c>
      <c r="C12" s="298"/>
      <c r="D12" s="298"/>
      <c r="E12" s="298"/>
      <c r="F12" s="298"/>
      <c r="G12" s="298"/>
      <c r="H12" s="169"/>
      <c r="I12" s="169"/>
      <c r="J12" s="169"/>
      <c r="K12" s="289" t="s">
        <v>108</v>
      </c>
      <c r="L12" s="289"/>
      <c r="M12" s="290" t="str">
        <f>VLOOKUP(B14,Data!A2:J55,8,0)</f>
        <v>16th January, 2026</v>
      </c>
      <c r="N12" s="291"/>
    </row>
    <row r="13" spans="1:15">
      <c r="A13" s="175" t="s">
        <v>109</v>
      </c>
      <c r="B13" s="290">
        <f>VLOOKUP(B14,Data!A2:J55,6,0)</f>
        <v>0</v>
      </c>
      <c r="C13" s="290"/>
      <c r="D13" s="290"/>
      <c r="E13" s="290"/>
      <c r="F13" s="290"/>
      <c r="G13" s="290"/>
      <c r="H13" s="169"/>
      <c r="I13" s="169"/>
      <c r="J13" s="169"/>
      <c r="K13" s="289" t="s">
        <v>110</v>
      </c>
      <c r="L13" s="289"/>
      <c r="M13" s="302" t="str">
        <f>IF(M21&gt;=40,"Passed","Failed")</f>
        <v>Failed</v>
      </c>
      <c r="N13" s="303"/>
    </row>
    <row r="14" spans="1:15">
      <c r="A14" s="175" t="s">
        <v>111</v>
      </c>
      <c r="B14" s="301">
        <v>49</v>
      </c>
      <c r="C14" s="301"/>
      <c r="D14" s="169"/>
      <c r="E14" s="169"/>
      <c r="F14" s="169"/>
      <c r="G14" s="169"/>
      <c r="H14" s="169"/>
      <c r="I14" s="169"/>
      <c r="J14" s="169"/>
      <c r="K14" s="296"/>
      <c r="L14" s="296"/>
      <c r="M14" s="296"/>
      <c r="N14" s="297"/>
    </row>
    <row r="15" spans="1:15">
      <c r="A15" s="175" t="s">
        <v>112</v>
      </c>
      <c r="B15" s="176">
        <f>COUNTIF(H28:H51,"&gt;5")</f>
        <v>5</v>
      </c>
      <c r="C15" s="169"/>
      <c r="D15" s="169"/>
      <c r="E15" s="169"/>
      <c r="F15" s="169"/>
      <c r="G15" s="169"/>
      <c r="H15" s="169"/>
      <c r="I15" s="169"/>
      <c r="J15" s="169"/>
      <c r="K15" s="299"/>
      <c r="L15" s="299"/>
      <c r="M15" s="296"/>
      <c r="N15" s="297"/>
    </row>
    <row r="16" spans="1:15">
      <c r="A16" s="175" t="s">
        <v>113</v>
      </c>
      <c r="B16" s="176">
        <f>COUNTIF(H28:H51,"&gt;=40")</f>
        <v>4</v>
      </c>
      <c r="C16" s="169"/>
      <c r="D16" s="169"/>
      <c r="E16" s="169"/>
      <c r="F16" s="169"/>
      <c r="G16" s="169"/>
      <c r="H16" s="169"/>
      <c r="I16" s="169"/>
      <c r="J16" s="169"/>
      <c r="K16" s="177"/>
      <c r="L16" s="177"/>
      <c r="M16" s="169"/>
      <c r="N16" s="170"/>
    </row>
    <row r="17" spans="1:23">
      <c r="A17" s="168"/>
      <c r="B17" s="169"/>
      <c r="C17" s="169"/>
      <c r="D17" s="169"/>
      <c r="E17" s="169"/>
      <c r="F17" s="169"/>
      <c r="G17" s="169"/>
      <c r="H17" s="169"/>
      <c r="I17" s="169"/>
      <c r="J17" s="169"/>
      <c r="K17" s="177"/>
      <c r="L17" s="177"/>
      <c r="M17" s="169"/>
      <c r="N17" s="170"/>
      <c r="T17" s="280"/>
      <c r="U17" s="280"/>
      <c r="V17" s="280"/>
      <c r="W17" s="280"/>
    </row>
    <row r="18" spans="1:23">
      <c r="A18" s="178"/>
      <c r="B18" s="179"/>
      <c r="C18" s="179"/>
      <c r="D18" s="179"/>
      <c r="E18" s="179"/>
      <c r="F18" s="179"/>
      <c r="G18" s="179"/>
      <c r="H18" s="179"/>
      <c r="I18" s="179"/>
      <c r="J18" s="179"/>
      <c r="K18" s="180"/>
      <c r="L18" s="180"/>
      <c r="M18" s="179"/>
      <c r="N18" s="181" t="s">
        <v>114</v>
      </c>
    </row>
    <row r="19" spans="1:23" ht="15" customHeight="1">
      <c r="A19" s="287" t="s">
        <v>19</v>
      </c>
      <c r="B19" s="294" t="s">
        <v>115</v>
      </c>
      <c r="C19" s="294" t="s">
        <v>116</v>
      </c>
      <c r="D19" s="294" t="s">
        <v>117</v>
      </c>
      <c r="E19" s="294" t="s">
        <v>118</v>
      </c>
      <c r="F19" s="274" t="s">
        <v>119</v>
      </c>
      <c r="G19" s="294" t="s">
        <v>76</v>
      </c>
      <c r="H19" s="294" t="s">
        <v>24</v>
      </c>
      <c r="I19" s="274" t="s">
        <v>25</v>
      </c>
      <c r="J19" s="318" t="s">
        <v>26</v>
      </c>
      <c r="K19" s="292" t="s">
        <v>120</v>
      </c>
      <c r="L19" s="293"/>
      <c r="M19" s="321">
        <f>VLOOKUP(B14,BSheet!A1:AG51,30,0)</f>
        <v>235</v>
      </c>
      <c r="N19" s="322"/>
    </row>
    <row r="20" spans="1:23" ht="12" customHeight="1">
      <c r="A20" s="288"/>
      <c r="B20" s="295"/>
      <c r="C20" s="295"/>
      <c r="D20" s="295"/>
      <c r="E20" s="295"/>
      <c r="F20" s="275"/>
      <c r="G20" s="295"/>
      <c r="H20" s="295"/>
      <c r="I20" s="275"/>
      <c r="J20" s="319"/>
      <c r="K20" s="306" t="s">
        <v>121</v>
      </c>
      <c r="L20" s="307"/>
      <c r="M20" s="276">
        <f>VLOOKUP(B14,BSheet!A2:AF51,31,0)</f>
        <v>23.5</v>
      </c>
      <c r="N20" s="277"/>
    </row>
    <row r="21" spans="1:23" ht="15" customHeight="1">
      <c r="A21" s="288"/>
      <c r="B21" s="295"/>
      <c r="C21" s="295"/>
      <c r="D21" s="295"/>
      <c r="E21" s="295"/>
      <c r="F21" s="275"/>
      <c r="G21" s="295"/>
      <c r="H21" s="295"/>
      <c r="I21" s="275"/>
      <c r="J21" s="319"/>
      <c r="K21" s="306" t="s">
        <v>122</v>
      </c>
      <c r="L21" s="307"/>
      <c r="M21" s="304">
        <f>VLOOKUP(B14,BSheet!A2:AF51,32,0)</f>
        <v>33</v>
      </c>
      <c r="N21" s="305"/>
    </row>
    <row r="22" spans="1:23" ht="15" hidden="1" customHeight="1">
      <c r="A22" s="288"/>
      <c r="B22" s="295"/>
      <c r="C22" s="295"/>
      <c r="D22" s="295"/>
      <c r="E22" s="295"/>
      <c r="F22" s="275"/>
      <c r="G22" s="295"/>
      <c r="H22" s="295"/>
      <c r="I22" s="275"/>
      <c r="J22" s="319"/>
      <c r="K22" s="182"/>
      <c r="L22" s="182"/>
      <c r="M22" s="278"/>
      <c r="N22" s="279"/>
    </row>
    <row r="23" spans="1:23" ht="6.75" hidden="1" customHeight="1">
      <c r="A23" s="288"/>
      <c r="B23" s="295"/>
      <c r="C23" s="295"/>
      <c r="D23" s="295"/>
      <c r="E23" s="295"/>
      <c r="F23" s="275"/>
      <c r="G23" s="295"/>
      <c r="H23" s="295"/>
      <c r="I23" s="275"/>
      <c r="J23" s="319"/>
      <c r="K23" s="182"/>
      <c r="L23" s="182"/>
      <c r="M23" s="278"/>
      <c r="N23" s="279"/>
    </row>
    <row r="24" spans="1:23" ht="15" hidden="1" customHeight="1">
      <c r="A24" s="288"/>
      <c r="B24" s="295"/>
      <c r="C24" s="295"/>
      <c r="D24" s="295"/>
      <c r="E24" s="295"/>
      <c r="F24" s="275"/>
      <c r="G24" s="295"/>
      <c r="H24" s="295"/>
      <c r="I24" s="275"/>
      <c r="J24" s="319"/>
      <c r="K24" s="182"/>
      <c r="L24" s="182"/>
      <c r="M24" s="278"/>
      <c r="N24" s="279"/>
    </row>
    <row r="25" spans="1:23" ht="11.25" hidden="1" customHeight="1">
      <c r="A25" s="288"/>
      <c r="B25" s="295"/>
      <c r="C25" s="295"/>
      <c r="D25" s="295"/>
      <c r="E25" s="295"/>
      <c r="F25" s="275"/>
      <c r="G25" s="295"/>
      <c r="H25" s="295"/>
      <c r="I25" s="275"/>
      <c r="J25" s="319"/>
      <c r="K25" s="182"/>
      <c r="L25" s="182"/>
      <c r="M25" s="278"/>
      <c r="N25" s="279"/>
    </row>
    <row r="26" spans="1:23" ht="15" customHeight="1">
      <c r="A26" s="288"/>
      <c r="B26" s="295"/>
      <c r="C26" s="295"/>
      <c r="D26" s="295"/>
      <c r="E26" s="295"/>
      <c r="F26" s="275"/>
      <c r="G26" s="295"/>
      <c r="H26" s="295"/>
      <c r="I26" s="275"/>
      <c r="J26" s="319"/>
      <c r="K26" s="325" t="s">
        <v>123</v>
      </c>
      <c r="L26" s="326"/>
      <c r="M26" s="276">
        <f>VLOOKUP(B14,BSheet!A2:AH51,33,0)</f>
        <v>0</v>
      </c>
      <c r="N26" s="277"/>
    </row>
    <row r="27" spans="1:23" ht="16.5" customHeight="1">
      <c r="A27" s="288"/>
      <c r="B27" s="183" t="s">
        <v>124</v>
      </c>
      <c r="C27" s="183" t="s">
        <v>124</v>
      </c>
      <c r="D27" s="183" t="s">
        <v>124</v>
      </c>
      <c r="E27" s="183" t="s">
        <v>124</v>
      </c>
      <c r="F27" s="183" t="s">
        <v>125</v>
      </c>
      <c r="G27" s="183" t="s">
        <v>126</v>
      </c>
      <c r="H27" s="183" t="s">
        <v>127</v>
      </c>
      <c r="I27" s="184"/>
      <c r="J27" s="185"/>
      <c r="K27" s="323" t="s">
        <v>27</v>
      </c>
      <c r="L27" s="323"/>
      <c r="M27" s="323"/>
      <c r="N27" s="324"/>
    </row>
    <row r="28" spans="1:23">
      <c r="A28" s="186" t="s">
        <v>46</v>
      </c>
      <c r="B28" s="187">
        <f>VLOOKUP(B14,Scoresheet!A4:V56,3,0)</f>
        <v>9</v>
      </c>
      <c r="C28" s="187">
        <f>VLOOKUP(B14,Scoresheet!A4:L57,4,0)</f>
        <v>2</v>
      </c>
      <c r="D28" s="187">
        <f>VLOOKUP(B14,Scoresheet!A4:L57,5,0)</f>
        <v>1</v>
      </c>
      <c r="E28" s="187">
        <f>VLOOKUP(B14,Scoresheet!A4:L57,6,0)</f>
        <v>4</v>
      </c>
      <c r="F28" s="187">
        <f>VLOOKUP(B14,Scoresheet!A4:L57,7,0)</f>
        <v>16</v>
      </c>
      <c r="G28" s="187">
        <f>VLOOKUP(B14,Scoresheet!A4:L57,8,0)</f>
        <v>25</v>
      </c>
      <c r="H28" s="187">
        <f>VLOOKUP(B14,Scoresheet!A4:K57,9,0)</f>
        <v>41</v>
      </c>
      <c r="I28" s="187">
        <f>VLOOKUP(B14,Scoresheet!A4:K57,10,0)</f>
        <v>19</v>
      </c>
      <c r="J28" s="187" t="str">
        <f>VLOOKUP(B14,Scoresheet!A4:K57,11,0)</f>
        <v>E8</v>
      </c>
      <c r="K28" s="282" t="str">
        <f>VLOOKUP(B14,Scoresheet!A4:L57,12,0)</f>
        <v>Pass</v>
      </c>
      <c r="L28" s="283"/>
      <c r="M28" s="283"/>
      <c r="N28" s="284"/>
    </row>
    <row r="29" spans="1:23">
      <c r="A29" s="186" t="s">
        <v>47</v>
      </c>
      <c r="B29" s="187">
        <f>VLOOKUP(B14,Scoresheet!M4:W57,3,0)</f>
        <v>0</v>
      </c>
      <c r="C29" s="187">
        <f>VLOOKUP(B14,Scoresheet!M4:W57,4,0)</f>
        <v>0</v>
      </c>
      <c r="D29" s="187">
        <f>VLOOKUP(B14,Scoresheet!M4:W57,5,0)</f>
        <v>0</v>
      </c>
      <c r="E29" s="187">
        <f>VLOOKUP(B14,Scoresheet!M4:W57,6,0)</f>
        <v>0</v>
      </c>
      <c r="F29" s="187">
        <f>VLOOKUP(B14,Scoresheet!M4:W57,7,0)</f>
        <v>0</v>
      </c>
      <c r="G29" s="187">
        <f>VLOOKUP(B14,Scoresheet!M4:W57,8,0)</f>
        <v>0</v>
      </c>
      <c r="H29" s="187">
        <f>VLOOKUP(B14,Scoresheet!M4:W57,9,0)</f>
        <v>0</v>
      </c>
      <c r="I29" s="187" t="str">
        <f>VLOOKUP(B14,Scoresheet!M4:W57,10,0)</f>
        <v/>
      </c>
      <c r="J29" s="187" t="b">
        <f>VLOOKUP(B14,Scoresheet!M4:W57,11,0)</f>
        <v>0</v>
      </c>
      <c r="K29" s="282" t="str">
        <f>VLOOKUP(B14,Scoresheet!M4:X57,12,0)</f>
        <v/>
      </c>
      <c r="L29" s="283"/>
      <c r="M29" s="283"/>
      <c r="N29" s="284"/>
    </row>
    <row r="30" spans="1:23">
      <c r="A30" s="186" t="s">
        <v>77</v>
      </c>
      <c r="B30" s="187">
        <f>VLOOKUP(B14,Scoresheet!Y4:AI57,3,0)</f>
        <v>9</v>
      </c>
      <c r="C30" s="187">
        <f>VLOOKUP(B14,Scoresheet!Y4:AI57,4,0)</f>
        <v>2</v>
      </c>
      <c r="D30" s="187">
        <f>VLOOKUP(B14,Scoresheet!Y4:AI53,5,0)</f>
        <v>1</v>
      </c>
      <c r="E30" s="187">
        <f>VLOOKUP(B14,Scoresheet!Y4:AI53,6,0)</f>
        <v>4</v>
      </c>
      <c r="F30" s="187">
        <f>VLOOKUP(B14,Scoresheet!Y4:AI53,7,0)</f>
        <v>16</v>
      </c>
      <c r="G30" s="187">
        <f>VLOOKUP(B14,Scoresheet!Y4:AI53,8,0)</f>
        <v>42</v>
      </c>
      <c r="H30" s="187">
        <f>VLOOKUP(B14,Scoresheet!Y4:AI53,9,0)</f>
        <v>58</v>
      </c>
      <c r="I30" s="187">
        <f>VLOOKUP(B14,Scoresheet!Y4:AI53,10,0)</f>
        <v>19</v>
      </c>
      <c r="J30" s="187" t="str">
        <f>VLOOKUP(B14,Scoresheet!Y4:AI53,11,0)</f>
        <v>C</v>
      </c>
      <c r="K30" s="282" t="str">
        <f>VLOOKUP(B14,Scoresheet!Y4:AJ53,12,0)</f>
        <v>Credit</v>
      </c>
      <c r="L30" s="283"/>
      <c r="M30" s="283"/>
      <c r="N30" s="284"/>
    </row>
    <row r="31" spans="1:23">
      <c r="A31" s="186" t="s">
        <v>49</v>
      </c>
      <c r="B31" s="187">
        <f>VLOOKUP(B14,Scoresheet!AK4:AU53,3,0)</f>
        <v>0</v>
      </c>
      <c r="C31" s="187">
        <f>VLOOKUP(B14,Scoresheet!AK4:AU53,4,0)</f>
        <v>0</v>
      </c>
      <c r="D31" s="187">
        <f>VLOOKUP(B14,Scoresheet!AK4:AU53,5,0)</f>
        <v>0</v>
      </c>
      <c r="E31" s="187">
        <f>VLOOKUP(B14,Scoresheet!AK4:AU53,6,0)</f>
        <v>0</v>
      </c>
      <c r="F31" s="187">
        <f>VLOOKUP(B14,Scoresheet!AK4:AU53,7,0)</f>
        <v>0</v>
      </c>
      <c r="G31" s="187">
        <f>VLOOKUP(B14,Scoresheet!AK4:AU53,8,0)</f>
        <v>0</v>
      </c>
      <c r="H31" s="187">
        <f>VLOOKUP(B14,Scoresheet!AK4:AU53,9,0)</f>
        <v>0</v>
      </c>
      <c r="I31" s="187" t="str">
        <f>VLOOKUP(B14,Scoresheet!AK4:AU53,10,0)</f>
        <v/>
      </c>
      <c r="J31" s="187" t="str">
        <f>VLOOKUP(B14,Scoresheet!AK4:AU53,11,0)</f>
        <v/>
      </c>
      <c r="K31" s="282" t="str">
        <f>VLOOKUP(B14,Scoresheet!AK4:AV53,12,0)</f>
        <v/>
      </c>
      <c r="L31" s="283"/>
      <c r="M31" s="283"/>
      <c r="N31" s="284"/>
    </row>
    <row r="32" spans="1:23">
      <c r="A32" s="186" t="s">
        <v>78</v>
      </c>
      <c r="B32" s="187">
        <f>VLOOKUP(Report!B14,Scoresheet!AW4:BG53,3,0)</f>
        <v>0</v>
      </c>
      <c r="C32" s="187">
        <f>VLOOKUP(B14,Scoresheet!AW4:BG53,4,0)</f>
        <v>0</v>
      </c>
      <c r="D32" s="187">
        <f>VLOOKUP(B14,Scoresheet!AW4:BG53,5,0)</f>
        <v>0</v>
      </c>
      <c r="E32" s="187">
        <f>VLOOKUP(B14,Scoresheet!AW4:BI53,6,0)</f>
        <v>0</v>
      </c>
      <c r="F32" s="187">
        <f>VLOOKUP(B14,Scoresheet!AW4:BG53,7,0)</f>
        <v>0</v>
      </c>
      <c r="G32" s="187">
        <f>VLOOKUP(B14,Scoresheet!AW4:BG53,8,0)</f>
        <v>0</v>
      </c>
      <c r="H32" s="187">
        <f>VLOOKUP(B14,Scoresheet!AW4:BG53,9,0)</f>
        <v>0</v>
      </c>
      <c r="I32" s="187" t="str">
        <f>VLOOKUP(B14,Scoresheet!AW4:BG53,10,0)</f>
        <v/>
      </c>
      <c r="J32" s="187" t="str">
        <f>VLOOKUP(B14,Scoresheet!AW4:BG53,11,0)</f>
        <v/>
      </c>
      <c r="K32" s="282" t="str">
        <f>VLOOKUP(B14,Scoresheet!AW4:BH53,12,0)</f>
        <v/>
      </c>
      <c r="L32" s="283"/>
      <c r="M32" s="283"/>
      <c r="N32" s="284"/>
    </row>
    <row r="33" spans="1:14">
      <c r="A33" s="186" t="s">
        <v>79</v>
      </c>
      <c r="B33" s="187">
        <f>VLOOKUP(B14,Scoresheet!BI4:BS53,3,0)</f>
        <v>0</v>
      </c>
      <c r="C33" s="187">
        <f>VLOOKUP(B14,Scoresheet!BI4:BS53,4,0)</f>
        <v>0</v>
      </c>
      <c r="D33" s="187">
        <f>VLOOKUP(B14,Scoresheet!BI4:BS53,5,0)</f>
        <v>0</v>
      </c>
      <c r="E33" s="187">
        <f>VLOOKUP(B14,Scoresheet!BI4:BS53,6,0)</f>
        <v>0</v>
      </c>
      <c r="F33" s="187">
        <f>VLOOKUP(B14,Scoresheet!BI4:BS53,7,0)</f>
        <v>0</v>
      </c>
      <c r="G33" s="187">
        <f>VLOOKUP(B14,Scoresheet!BI4:BS53,8,0)</f>
        <v>0</v>
      </c>
      <c r="H33" s="187">
        <f>VLOOKUP(B14,Scoresheet!BI4:BS53,9,0)</f>
        <v>0</v>
      </c>
      <c r="I33" s="187" t="str">
        <f>VLOOKUP(B14,Scoresheet!BI4:BS53,10,0)</f>
        <v/>
      </c>
      <c r="J33" s="187" t="str">
        <f>VLOOKUP(B14,Scoresheet!BI4:BU53,11,0)</f>
        <v/>
      </c>
      <c r="K33" s="282" t="str">
        <f>VLOOKUP(B14,Scoresheet!BI4:BT53,12,0)</f>
        <v/>
      </c>
      <c r="L33" s="283"/>
      <c r="M33" s="283"/>
      <c r="N33" s="284"/>
    </row>
    <row r="34" spans="1:14">
      <c r="A34" s="186" t="s">
        <v>80</v>
      </c>
      <c r="B34" s="187">
        <f>VLOOKUP(B14,Scoresheet!BU4:CE53,3,0)</f>
        <v>8</v>
      </c>
      <c r="C34" s="187">
        <f>VLOOKUP(B14,Scoresheet!BU4:CE53,4,0)</f>
        <v>7</v>
      </c>
      <c r="D34" s="187">
        <f>VLOOKUP(B14,Scoresheet!BU4:CE53,5,0)</f>
        <v>9</v>
      </c>
      <c r="E34" s="187">
        <f>VLOOKUP(B14,Scoresheet!BU4:CE53,6,0)</f>
        <v>7</v>
      </c>
      <c r="F34" s="187">
        <f>VLOOKUP(B14,Scoresheet!BU4:CE53,7,0)</f>
        <v>31</v>
      </c>
      <c r="G34" s="187">
        <f>VLOOKUP(B14,Scoresheet!BU4:CE53,8,0)</f>
        <v>20</v>
      </c>
      <c r="H34" s="187">
        <f>VLOOKUP(B14,Scoresheet!BU4:CE53,9,0)</f>
        <v>51</v>
      </c>
      <c r="I34" s="187">
        <f>VLOOKUP(B14,Scoresheet!BU4:CE53,10,0)</f>
        <v>19</v>
      </c>
      <c r="J34" s="187" t="str">
        <f>VLOOKUP(B14,Scoresheet!BU4:CE53,11,0)</f>
        <v>C6</v>
      </c>
      <c r="K34" s="282" t="str">
        <f>VLOOKUP(B14,Scoresheet!BU4:CF53,12,0)</f>
        <v>Credit</v>
      </c>
      <c r="L34" s="283"/>
      <c r="M34" s="283"/>
      <c r="N34" s="284"/>
    </row>
    <row r="35" spans="1:14">
      <c r="A35" s="186" t="s">
        <v>81</v>
      </c>
      <c r="B35" s="187">
        <f>VLOOKUP(B14,Scoresheet!CG4:CQ53,3,0)</f>
        <v>0</v>
      </c>
      <c r="C35" s="187">
        <f>VLOOKUP(B14,Scoresheet!CG4:CQ53,4,0)</f>
        <v>0</v>
      </c>
      <c r="D35" s="187">
        <f>VLOOKUP(B14,Scoresheet!CG4:CQ53,5,0)</f>
        <v>0</v>
      </c>
      <c r="E35" s="187">
        <f>VLOOKUP(B14,Scoresheet!CG4:CQ53,6,0)</f>
        <v>0</v>
      </c>
      <c r="F35" s="187">
        <f>VLOOKUP(B14,Scoresheet!CG4:CQ53,7,0)</f>
        <v>0</v>
      </c>
      <c r="G35" s="187">
        <f>VLOOKUP(B14,Scoresheet!CG4:CQ53,8,0)</f>
        <v>0</v>
      </c>
      <c r="H35" s="187">
        <f>VLOOKUP(B14,Scoresheet!CG4:CQ53,9,0)</f>
        <v>0</v>
      </c>
      <c r="I35" s="187" t="str">
        <f>VLOOKUP(B14,Scoresheet!CG4:CQ53,10,0)</f>
        <v/>
      </c>
      <c r="J35" s="187" t="str">
        <f>VLOOKUP(B14,Scoresheet!CG4:CQ53,11,0)</f>
        <v/>
      </c>
      <c r="K35" s="282" t="str">
        <f>VLOOKUP(B14,Scoresheet!CG4:CR53,12,0)</f>
        <v/>
      </c>
      <c r="L35" s="283"/>
      <c r="M35" s="283"/>
      <c r="N35" s="284"/>
    </row>
    <row r="36" spans="1:14">
      <c r="A36" s="186" t="s">
        <v>82</v>
      </c>
      <c r="B36" s="187">
        <f>VLOOKUP(B14,Scoresheet!CS4:DC53,3,0)</f>
        <v>0</v>
      </c>
      <c r="C36" s="187">
        <f>VLOOKUP(B14,Scoresheet!CS4:DC53,4,0)</f>
        <v>0</v>
      </c>
      <c r="D36" s="187">
        <f>VLOOKUP(B14,Scoresheet!CS4:DC53,5,0)</f>
        <v>0</v>
      </c>
      <c r="E36" s="187">
        <f>VLOOKUP(B14,Scoresheet!CS4:DC53,6,0)</f>
        <v>0</v>
      </c>
      <c r="F36" s="187">
        <f>VLOOKUP(B14,Scoresheet!CS4:DC53,7,0)</f>
        <v>0</v>
      </c>
      <c r="G36" s="187">
        <f>VLOOKUP(B14,Scoresheet!CS4:DC53,8,0)</f>
        <v>0</v>
      </c>
      <c r="H36" s="187">
        <f>VLOOKUP(B14,Scoresheet!CS4:DC53,9,0)</f>
        <v>0</v>
      </c>
      <c r="I36" s="187" t="str">
        <f>VLOOKUP(B14,Scoresheet!CS4:DC53,10,0)</f>
        <v/>
      </c>
      <c r="J36" s="187" t="str">
        <f>VLOOKUP(B14,Scoresheet!CS4:DC53,11,0)</f>
        <v/>
      </c>
      <c r="K36" s="282" t="str">
        <f>VLOOKUP(B14,Scoresheet!CS4:DD53,12,0)</f>
        <v/>
      </c>
      <c r="L36" s="283"/>
      <c r="M36" s="283"/>
      <c r="N36" s="284"/>
    </row>
    <row r="37" spans="1:14">
      <c r="A37" s="186" t="s">
        <v>83</v>
      </c>
      <c r="B37" s="187">
        <f>VLOOKUP(B14,Scoresheet!DE4:DO53,3,0)</f>
        <v>0</v>
      </c>
      <c r="C37" s="187">
        <f>VLOOKUP(B14,Scoresheet!DE4:DO53,4,0)</f>
        <v>0</v>
      </c>
      <c r="D37" s="187">
        <f>VLOOKUP(B14,Scoresheet!DE4:DO53,5,0)</f>
        <v>0</v>
      </c>
      <c r="E37" s="187">
        <f>VLOOKUP(B14,Scoresheet!DE4:DO53,6,0)</f>
        <v>0</v>
      </c>
      <c r="F37" s="187">
        <f>VLOOKUP(B14,Scoresheet!DE4:DO53,7,0)</f>
        <v>0</v>
      </c>
      <c r="G37" s="187">
        <f>VLOOKUP(B14,Scoresheet!DE4:DO53,8,0)</f>
        <v>0</v>
      </c>
      <c r="H37" s="187">
        <f>VLOOKUP(B14,Scoresheet!DE4:DO53,9,0)</f>
        <v>0</v>
      </c>
      <c r="I37" s="187" t="str">
        <f>VLOOKUP(B14,Scoresheet!DE4:DO53,10,0)</f>
        <v/>
      </c>
      <c r="J37" s="187" t="str">
        <f>VLOOKUP(B14,Scoresheet!DE4:DO53,11,0)</f>
        <v/>
      </c>
      <c r="K37" s="282" t="str">
        <f>VLOOKUP(B14,Scoresheet!DE4:DP53,12,0)</f>
        <v/>
      </c>
      <c r="L37" s="283"/>
      <c r="M37" s="283"/>
      <c r="N37" s="284"/>
    </row>
    <row r="38" spans="1:14">
      <c r="A38" s="186" t="s">
        <v>84</v>
      </c>
      <c r="B38" s="187">
        <f>VLOOKUP(B14,Scoresheet!DQ4:EA53,3,0)</f>
        <v>0</v>
      </c>
      <c r="C38" s="187">
        <f>VLOOKUP(B14,Scoresheet!DQ4:EA53,4,0)</f>
        <v>0</v>
      </c>
      <c r="D38" s="187">
        <f>VLOOKUP(B14,Scoresheet!DQ4:EA53,5,0)</f>
        <v>0</v>
      </c>
      <c r="E38" s="187">
        <f>VLOOKUP(B14,Scoresheet!DQ4:EA53,6,0)</f>
        <v>0</v>
      </c>
      <c r="F38" s="187">
        <f>VLOOKUP(B14,Scoresheet!DQ4:EA53,7,0)</f>
        <v>0</v>
      </c>
      <c r="G38" s="187">
        <f>VLOOKUP(B14,Scoresheet!DQ4:EA53,8,0)</f>
        <v>0</v>
      </c>
      <c r="H38" s="187">
        <f>VLOOKUP(B14,Scoresheet!DQ4:EA53,9,0)</f>
        <v>0</v>
      </c>
      <c r="I38" s="187" t="str">
        <f>VLOOKUP(B14,Scoresheet!DQ4:EA53,10,0)</f>
        <v/>
      </c>
      <c r="J38" s="187" t="str">
        <f>VLOOKUP(B14,Scoresheet!DQ4:EA53,11,0)</f>
        <v/>
      </c>
      <c r="K38" s="282" t="str">
        <f>VLOOKUP(B14,Scoresheet!DQ4:EB53,12,0)</f>
        <v/>
      </c>
      <c r="L38" s="283"/>
      <c r="M38" s="283"/>
      <c r="N38" s="284"/>
    </row>
    <row r="39" spans="1:14">
      <c r="A39" s="186" t="s">
        <v>85</v>
      </c>
      <c r="B39" s="187">
        <f>VLOOKUP(B14,Scoresheet!EC4:EM53,3,0)</f>
        <v>0</v>
      </c>
      <c r="C39" s="187">
        <f>VLOOKUP(B14,Scoresheet!EC4:EM53,4,0)</f>
        <v>0</v>
      </c>
      <c r="D39" s="187">
        <f>VLOOKUP(B14,Scoresheet!EC4:EM53,5,0)</f>
        <v>0</v>
      </c>
      <c r="E39" s="187">
        <f>VLOOKUP(B14,Scoresheet!EC4:EM53,6,0)</f>
        <v>0</v>
      </c>
      <c r="F39" s="187">
        <f>VLOOKUP(B14,Scoresheet!EC4:EM53,7,0)</f>
        <v>0</v>
      </c>
      <c r="G39" s="187">
        <f>VLOOKUP(B14,Scoresheet!EC4:EM53,8,0)</f>
        <v>0</v>
      </c>
      <c r="H39" s="187">
        <f>VLOOKUP(B14,Scoresheet!EC4:EM53,9,0)</f>
        <v>0</v>
      </c>
      <c r="I39" s="187" t="str">
        <f>VLOOKUP(B14,Scoresheet!EC4:EM53,10,0)</f>
        <v/>
      </c>
      <c r="J39" s="187" t="str">
        <f>VLOOKUP(B14,Scoresheet!EC4:EM53,11,0)</f>
        <v/>
      </c>
      <c r="K39" s="282" t="str">
        <f>VLOOKUP(B14,Scoresheet!EO4:EZ53,12,0)</f>
        <v/>
      </c>
      <c r="L39" s="283"/>
      <c r="M39" s="283"/>
      <c r="N39" s="284"/>
    </row>
    <row r="40" spans="1:14">
      <c r="A40" s="186" t="s">
        <v>86</v>
      </c>
      <c r="B40" s="187">
        <f>VLOOKUP(B14,Scoresheet!EO4:EY53,3,0)</f>
        <v>0</v>
      </c>
      <c r="C40" s="187">
        <f>VLOOKUP(B14,Scoresheet!EO4:EY53,4,0)</f>
        <v>0</v>
      </c>
      <c r="D40" s="187">
        <f>VLOOKUP(B14,Scoresheet!EO4:EY53,5,0)</f>
        <v>0</v>
      </c>
      <c r="E40" s="187">
        <f>VLOOKUP(B14,Scoresheet!EO4:EY53,6,0)</f>
        <v>0</v>
      </c>
      <c r="F40" s="187">
        <f>VLOOKUP(B14,Scoresheet!EO4:EY53,7,0)</f>
        <v>0</v>
      </c>
      <c r="G40" s="187">
        <f>VLOOKUP(B14,Scoresheet!EO4:FA53,8,0)</f>
        <v>0</v>
      </c>
      <c r="H40" s="187">
        <f>VLOOKUP(B14,Scoresheet!EO4:EY53,9,0)</f>
        <v>0</v>
      </c>
      <c r="I40" s="187" t="str">
        <f>VLOOKUP(B14,Scoresheet!EO4:EY53,10,0)</f>
        <v/>
      </c>
      <c r="J40" s="187" t="str">
        <f>VLOOKUP(B14,Scoresheet!EO4:EY53,11,0)</f>
        <v/>
      </c>
      <c r="K40" s="282" t="str">
        <f>VLOOKUP(B14,Scoresheet!EO4:EZ53,12,0)</f>
        <v/>
      </c>
      <c r="L40" s="283"/>
      <c r="M40" s="283"/>
      <c r="N40" s="284"/>
    </row>
    <row r="41" spans="1:14">
      <c r="A41" s="186" t="s">
        <v>87</v>
      </c>
      <c r="B41" s="187">
        <f>VLOOKUP(B14,Scoresheet!FA4:FK53,3,0)</f>
        <v>0</v>
      </c>
      <c r="C41" s="187">
        <f>VLOOKUP(B14,Scoresheet!FA4:FK53,4,0)</f>
        <v>0</v>
      </c>
      <c r="D41" s="187">
        <f>VLOOKUP(B14,Scoresheet!FA4:FK53,5,0)</f>
        <v>0</v>
      </c>
      <c r="E41" s="187">
        <f>VLOOKUP(B14,Scoresheet!FA4:FK53,6,0)</f>
        <v>0</v>
      </c>
      <c r="F41" s="187">
        <f>VLOOKUP(B14,Scoresheet!FA4:FK53,7,0)</f>
        <v>0</v>
      </c>
      <c r="G41" s="187">
        <f>VLOOKUP(B14,Scoresheet!FA4:FK53,8,0)</f>
        <v>0</v>
      </c>
      <c r="H41" s="187">
        <f>VLOOKUP(B14,Scoresheet!FA4:FK53,9,0)</f>
        <v>0</v>
      </c>
      <c r="I41" s="187" t="str">
        <f>VLOOKUP(B14,Scoresheet!FA4:FK53,10,0)</f>
        <v/>
      </c>
      <c r="J41" s="187" t="str">
        <f>VLOOKUP(B14,Scoresheet!FA4:FK53,11,0)</f>
        <v/>
      </c>
      <c r="K41" s="282" t="str">
        <f>VLOOKUP(B14,Scoresheet!FA4:FL53,12,0)</f>
        <v/>
      </c>
      <c r="L41" s="283"/>
      <c r="M41" s="283"/>
      <c r="N41" s="284"/>
    </row>
    <row r="42" spans="1:14">
      <c r="A42" s="186" t="s">
        <v>88</v>
      </c>
      <c r="B42" s="187">
        <f>VLOOKUP(B14,Scoresheet!FM4:FX53,3,0)</f>
        <v>0</v>
      </c>
      <c r="C42" s="187">
        <f>VLOOKUP(B14,Scoresheet!FM4:FX53,4,0)</f>
        <v>0</v>
      </c>
      <c r="D42" s="187">
        <f>VLOOKUP(B14,Scoresheet!FM4:FX53,5,0)</f>
        <v>0</v>
      </c>
      <c r="E42" s="187">
        <f>VLOOKUP(B14,Scoresheet!FM4:FX53,6,0)</f>
        <v>0</v>
      </c>
      <c r="F42" s="187">
        <f>VLOOKUP(B14,Scoresheet!FM4:FX53,7,0)</f>
        <v>0</v>
      </c>
      <c r="G42" s="187">
        <f>VLOOKUP(B14,Scoresheet!FM4:FX53,8,0)</f>
        <v>0</v>
      </c>
      <c r="H42" s="187">
        <f>VLOOKUP(B14,Scoresheet!FM4:FX53,9,0)</f>
        <v>0</v>
      </c>
      <c r="I42" s="187" t="str">
        <f>VLOOKUP(B14,Scoresheet!FM4:FX53,10,0)</f>
        <v/>
      </c>
      <c r="J42" s="187" t="str">
        <f>VLOOKUP(B14,Scoresheet!FM4:FX53,11,0)</f>
        <v/>
      </c>
      <c r="K42" s="282" t="str">
        <f>VLOOKUP(B14,Scoresheet!FM4:FX53,12,0)</f>
        <v/>
      </c>
      <c r="L42" s="283"/>
      <c r="M42" s="283"/>
      <c r="N42" s="284"/>
    </row>
    <row r="43" spans="1:14">
      <c r="A43" s="186" t="s">
        <v>89</v>
      </c>
      <c r="B43" s="187">
        <f>VLOOKUP(B14,Scoresheet!FY4:GI53,3,0)</f>
        <v>7</v>
      </c>
      <c r="C43" s="187">
        <f>VLOOKUP(B14,Scoresheet!FY4:GI53,4,0)</f>
        <v>9</v>
      </c>
      <c r="D43" s="187">
        <f>VLOOKUP(B14,Scoresheet!FY4:GI53,5,0)</f>
        <v>8</v>
      </c>
      <c r="E43" s="187">
        <f>VLOOKUP(B14,Scoresheet!FY4:GI53,6,0)</f>
        <v>6</v>
      </c>
      <c r="F43" s="187">
        <f>VLOOKUP(B14,Scoresheet!FY4:GI53,7,0)</f>
        <v>30</v>
      </c>
      <c r="G43" s="187">
        <f>VLOOKUP(B14,Scoresheet!FY4:GI53,8,0)</f>
        <v>27</v>
      </c>
      <c r="H43" s="187">
        <f>VLOOKUP(B14,Scoresheet!FY4:GI53,9,0)</f>
        <v>57</v>
      </c>
      <c r="I43" s="187">
        <f>VLOOKUP(B14,Scoresheet!FY4:GI53,10,0)</f>
        <v>17</v>
      </c>
      <c r="J43" s="187" t="str">
        <f>VLOOKUP(B14,Scoresheet!FY4:GI53,11,0)</f>
        <v>C</v>
      </c>
      <c r="K43" s="282" t="str">
        <f>VLOOKUP(B14,Scoresheet!FY4:GJ53,12,0)</f>
        <v>Credit</v>
      </c>
      <c r="L43" s="283"/>
      <c r="M43" s="283"/>
      <c r="N43" s="284"/>
    </row>
    <row r="44" spans="1:14">
      <c r="A44" s="186" t="s">
        <v>90</v>
      </c>
      <c r="B44" s="187">
        <f>VLOOKUP(B14,Scoresheet!GK4:GU53,3,0)</f>
        <v>0</v>
      </c>
      <c r="C44" s="187">
        <f>VLOOKUP(B14,Scoresheet!GK4:GU53,4,0)</f>
        <v>0</v>
      </c>
      <c r="D44" s="187">
        <f>VLOOKUP(B14,Scoresheet!GK4:GU53,5,0)</f>
        <v>0</v>
      </c>
      <c r="E44" s="187">
        <f>VLOOKUP(B14,Scoresheet!GK4:GU53,6,0)</f>
        <v>0</v>
      </c>
      <c r="F44" s="187">
        <f>VLOOKUP(B14,Scoresheet!GK4:GU53,7,0)</f>
        <v>0</v>
      </c>
      <c r="G44" s="187">
        <f>VLOOKUP(B14,Scoresheet!GK4:GU53,8,0)</f>
        <v>0</v>
      </c>
      <c r="H44" s="187">
        <f>VLOOKUP(B14,Scoresheet!GK4:GU53,9,0)</f>
        <v>0</v>
      </c>
      <c r="I44" s="187" t="str">
        <f>VLOOKUP(B14,Scoresheet!GK4:GU53,10,0)</f>
        <v/>
      </c>
      <c r="J44" s="187" t="str">
        <f>VLOOKUP(B14,Scoresheet!GK4:GU53,11,0)</f>
        <v/>
      </c>
      <c r="K44" s="282" t="str">
        <f>VLOOKUP(B14,Scoresheet!GK4:GV53,12,0)</f>
        <v/>
      </c>
      <c r="L44" s="283"/>
      <c r="M44" s="283"/>
      <c r="N44" s="284"/>
    </row>
    <row r="45" spans="1:14">
      <c r="A45" s="186" t="s">
        <v>91</v>
      </c>
      <c r="B45" s="187">
        <f>VLOOKUP(B14,Scoresheet!GW4:HG53,3,0)</f>
        <v>0</v>
      </c>
      <c r="C45" s="187">
        <f>VLOOKUP(B14,Scoresheet!GW4:HG53,4,0)</f>
        <v>10</v>
      </c>
      <c r="D45" s="187">
        <f>VLOOKUP(B14,Scoresheet!GW4:HG53,5,0)</f>
        <v>9</v>
      </c>
      <c r="E45" s="187">
        <f>VLOOKUP(B14,Scoresheet!GW4:HG53,6,0)</f>
        <v>9</v>
      </c>
      <c r="F45" s="187">
        <f>VLOOKUP(B14,Scoresheet!GW4:HG53,7,0)</f>
        <v>28</v>
      </c>
      <c r="G45" s="187">
        <f>VLOOKUP(B14,Scoresheet!GW4:HG53,8,0)</f>
        <v>0</v>
      </c>
      <c r="H45" s="187">
        <f>VLOOKUP(B14,Scoresheet!GW4:HG53,9,0)</f>
        <v>28</v>
      </c>
      <c r="I45" s="187">
        <f>VLOOKUP(B14,Scoresheet!GW4:HG53,10,0)</f>
        <v>7</v>
      </c>
      <c r="J45" s="187" t="str">
        <f>VLOOKUP(B14,Scoresheet!GW4:HG53,11,0)</f>
        <v>F</v>
      </c>
      <c r="K45" s="282" t="str">
        <f>VLOOKUP(B14,Scoresheet!GW4:HH53,12,0)</f>
        <v>Fail</v>
      </c>
      <c r="L45" s="283"/>
      <c r="M45" s="283"/>
      <c r="N45" s="284"/>
    </row>
    <row r="46" spans="1:14">
      <c r="A46" s="186" t="s">
        <v>92</v>
      </c>
      <c r="B46" s="187">
        <f>VLOOKUP(B14,Scoresheet!HI4:HS53,3,0)</f>
        <v>0</v>
      </c>
      <c r="C46" s="187">
        <f>VLOOKUP(B14,Scoresheet!HI4:HS53,4,0)</f>
        <v>0</v>
      </c>
      <c r="D46" s="187">
        <f>VLOOKUP(B14,Scoresheet!HI4:HS53,5,0)</f>
        <v>0</v>
      </c>
      <c r="E46" s="187">
        <f>VLOOKUP(B14,Scoresheet!HI4:HS53,6,0)</f>
        <v>0</v>
      </c>
      <c r="F46" s="187">
        <f>VLOOKUP(B14,Scoresheet!HI4:HS53,7,0)</f>
        <v>0</v>
      </c>
      <c r="G46" s="187">
        <f>VLOOKUP(B14,Scoresheet!HI4:HS53,8,0)</f>
        <v>0</v>
      </c>
      <c r="H46" s="187">
        <f>VLOOKUP(B14,Scoresheet!HI4:HS53,9,0)</f>
        <v>0</v>
      </c>
      <c r="I46" s="187" t="str">
        <f>VLOOKUP(B14,Scoresheet!HI4:HS53,10,0)</f>
        <v/>
      </c>
      <c r="J46" s="187" t="str">
        <f>VLOOKUP(B14,Scoresheet!HI4:HS53,11,0)</f>
        <v/>
      </c>
      <c r="K46" s="282" t="str">
        <f>VLOOKUP(B14,Scoresheet!HI4:HT53,12,0)</f>
        <v/>
      </c>
      <c r="L46" s="283"/>
      <c r="M46" s="283"/>
      <c r="N46" s="284"/>
    </row>
    <row r="47" spans="1:14">
      <c r="A47" s="186" t="s">
        <v>93</v>
      </c>
      <c r="B47" s="187">
        <f>VLOOKUP(B14,Scoresheet!HU4:ID53,3,0)</f>
        <v>0</v>
      </c>
      <c r="C47" s="187">
        <f>VLOOKUP(B14,Scoresheet!HU4:IC53,4,0)</f>
        <v>0</v>
      </c>
      <c r="D47" s="187">
        <f>VLOOKUP(B14,Scoresheet!HU4:IE53,5,0)</f>
        <v>0</v>
      </c>
      <c r="E47" s="187">
        <f>VLOOKUP(B14,Scoresheet!HU4:IE53,6,0)</f>
        <v>0</v>
      </c>
      <c r="F47" s="187">
        <f>VLOOKUP(B14,Scoresheet!HU4:IE53,7,0)</f>
        <v>0</v>
      </c>
      <c r="G47" s="187">
        <f>VLOOKUP(B14,Scoresheet!HU4:IE53,8,0)</f>
        <v>0</v>
      </c>
      <c r="H47" s="187">
        <f>VLOOKUP(B14,Scoresheet!HU4:IE53,9,0)</f>
        <v>0</v>
      </c>
      <c r="I47" s="187" t="str">
        <f>VLOOKUP(B14,Scoresheet!HU4:IE53,10,0)</f>
        <v/>
      </c>
      <c r="J47" s="187" t="str">
        <f>VLOOKUP(B14,Scoresheet!HU4:IE53,11,0)</f>
        <v/>
      </c>
      <c r="K47" s="282" t="str">
        <f>VLOOKUP(B14,Scoresheet!HU4:IF53,12,0)</f>
        <v/>
      </c>
      <c r="L47" s="283"/>
      <c r="M47" s="283"/>
      <c r="N47" s="284"/>
    </row>
    <row r="48" spans="1:14">
      <c r="A48" s="186" t="s">
        <v>94</v>
      </c>
      <c r="B48" s="187">
        <f>VLOOKUP(B14,Scoresheet!IG4:IQ53,3,0)</f>
        <v>0</v>
      </c>
      <c r="C48" s="187">
        <f>VLOOKUP(B14,Scoresheet!IG4:IQ53,4,0)</f>
        <v>0</v>
      </c>
      <c r="D48" s="187">
        <f>VLOOKUP(B14,Scoresheet!IG4:IQ53,5,0)</f>
        <v>0</v>
      </c>
      <c r="E48" s="187">
        <f>VLOOKUP(B14,Scoresheet!IG4:IQ53,6,0)</f>
        <v>0</v>
      </c>
      <c r="F48" s="187">
        <f>VLOOKUP(B14,Scoresheet!IG4:IQ53,7,0)</f>
        <v>0</v>
      </c>
      <c r="G48" s="187">
        <f>VLOOKUP(B14,Scoresheet!IG4:IQ53,8,0)</f>
        <v>0</v>
      </c>
      <c r="H48" s="187">
        <f>VLOOKUP(B14,Scoresheet!IG4:IQ53,9,0)</f>
        <v>0</v>
      </c>
      <c r="I48" s="187" t="str">
        <f>VLOOKUP(B14,Scoresheet!IG4:IQ53,10,0)</f>
        <v/>
      </c>
      <c r="J48" s="187" t="str">
        <f>VLOOKUP(B14,Scoresheet!IG4:IQ53,11,0)</f>
        <v/>
      </c>
      <c r="K48" s="282" t="str">
        <f>VLOOKUP(B14,Scoresheet!IG4:IR53,12,0)</f>
        <v/>
      </c>
      <c r="L48" s="283"/>
      <c r="M48" s="283"/>
      <c r="N48" s="284"/>
    </row>
    <row r="49" spans="1:20">
      <c r="A49" s="186" t="s">
        <v>95</v>
      </c>
      <c r="B49" s="187">
        <f>VLOOKUP(B14,Scoresheet!IS4:JC53,3,0)</f>
        <v>0</v>
      </c>
      <c r="C49" s="187">
        <f>VLOOKUP(B14,Scoresheet!IS4:JC53,4,0)</f>
        <v>0</v>
      </c>
      <c r="D49" s="187">
        <f>VLOOKUP(B14,Scoresheet!IS4:JC53,5,0)</f>
        <v>0</v>
      </c>
      <c r="E49" s="187">
        <f>VLOOKUP(B14,Scoresheet!IS4:JC53,6,0)</f>
        <v>0</v>
      </c>
      <c r="F49" s="187">
        <f>VLOOKUP(B14,Scoresheet!IS4:JC53,7,0)</f>
        <v>0</v>
      </c>
      <c r="G49" s="187">
        <f>VLOOKUP(B14,Scoresheet!IS4:JC53,8,0)</f>
        <v>0</v>
      </c>
      <c r="H49" s="187">
        <f>VLOOKUP(B14,Scoresheet!IS4:JC53,9,0)</f>
        <v>0</v>
      </c>
      <c r="I49" s="187" t="str">
        <f>VLOOKUP(B14,Scoresheet!IS4:JC53,10,0)</f>
        <v/>
      </c>
      <c r="J49" s="187" t="str">
        <f>VLOOKUP(B14,Scoresheet!IS4:JH53,11,0)</f>
        <v/>
      </c>
      <c r="K49" s="282" t="str">
        <f>VLOOKUP(B14,Scoresheet!IS4:JD53,12,0)</f>
        <v/>
      </c>
      <c r="L49" s="283"/>
      <c r="M49" s="283"/>
      <c r="N49" s="284"/>
    </row>
    <row r="50" spans="1:20">
      <c r="A50" s="186" t="s">
        <v>96</v>
      </c>
      <c r="B50" s="187">
        <f>VLOOKUP(B14,Scoresheet!JE4:JO53,3,0)</f>
        <v>0</v>
      </c>
      <c r="C50" s="187">
        <f>VLOOKUP(B14,Scoresheet!JE4:JO53,4,0)</f>
        <v>0</v>
      </c>
      <c r="D50" s="187">
        <f>VLOOKUP(B14,Scoresheet!JE4:JO53,5,0)</f>
        <v>0</v>
      </c>
      <c r="E50" s="187">
        <f>VLOOKUP(B14,Scoresheet!JE4:JO53,6,0)</f>
        <v>0</v>
      </c>
      <c r="F50" s="187">
        <f>VLOOKUP(B14,Scoresheet!JE4:JO53,7,0)</f>
        <v>0</v>
      </c>
      <c r="G50" s="187">
        <f>VLOOKUP(B14,Scoresheet!JE4:JO53,8,0)</f>
        <v>0</v>
      </c>
      <c r="H50" s="187">
        <f>VLOOKUP(B14,Scoresheet!JE4:JO53,9,0)</f>
        <v>0</v>
      </c>
      <c r="I50" s="187" t="str">
        <f>VLOOKUP(B14,Scoresheet!JE4:JO53,10,0)</f>
        <v/>
      </c>
      <c r="J50" s="187" t="str">
        <f>VLOOKUP(B14,Scoresheet!JE4:JO53,11,0)</f>
        <v/>
      </c>
      <c r="K50" s="282" t="str">
        <f>VLOOKUP(B14,Scoresheet!JE4:JP53,12,0)</f>
        <v/>
      </c>
      <c r="L50" s="283"/>
      <c r="M50" s="283"/>
      <c r="N50" s="284"/>
    </row>
    <row r="51" spans="1:20">
      <c r="A51" s="188" t="s">
        <v>69</v>
      </c>
      <c r="B51" s="189">
        <f>VLOOKUP(B14,Scoresheet!JQ4:KA53,3,0)</f>
        <v>0</v>
      </c>
      <c r="C51" s="189">
        <f>VLOOKUP(B14,Scoresheet!JQ4:KA53,4,0)</f>
        <v>0</v>
      </c>
      <c r="D51" s="189">
        <f>VLOOKUP(B14,Scoresheet!JQ4:KA53,5,0)</f>
        <v>0</v>
      </c>
      <c r="E51" s="189">
        <f>VLOOKUP(B14,Scoresheet!JQ4:KA53,6,0)</f>
        <v>0</v>
      </c>
      <c r="F51" s="189">
        <f>VLOOKUP(B14,Scoresheet!JQ4:KA53,7,0)</f>
        <v>0</v>
      </c>
      <c r="G51" s="189">
        <f>VLOOKUP(B14,Scoresheet!JQ4:KA53,8,0)</f>
        <v>0</v>
      </c>
      <c r="H51" s="189">
        <f>VLOOKUP(B14,Scoresheet!JQ4:KA53,9,0)</f>
        <v>0</v>
      </c>
      <c r="I51" s="189" t="str">
        <f>VLOOKUP(B14,Scoresheet!JQ4:KA53,10,0)</f>
        <v/>
      </c>
      <c r="J51" s="189" t="str">
        <f>VLOOKUP(B14,Scoresheet!JQ4:KA53,11,0)</f>
        <v/>
      </c>
      <c r="K51" s="311" t="str">
        <f>VLOOKUP(B14,Scoresheet!JQ4:KB53,12,0)</f>
        <v/>
      </c>
      <c r="L51" s="312"/>
      <c r="M51" s="312"/>
      <c r="N51" s="313"/>
    </row>
    <row r="52" spans="1:20">
      <c r="A52" s="165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90"/>
      <c r="O52" s="169"/>
    </row>
    <row r="53" spans="1:20">
      <c r="A53" s="191" t="s">
        <v>128</v>
      </c>
      <c r="B53" s="192"/>
      <c r="C53" s="193"/>
      <c r="D53" s="309" t="s">
        <v>129</v>
      </c>
      <c r="E53" s="309"/>
      <c r="F53" s="194"/>
      <c r="G53" s="195"/>
      <c r="H53" s="272"/>
      <c r="I53" s="272"/>
      <c r="J53" s="272"/>
      <c r="K53" s="272"/>
      <c r="L53" s="272"/>
      <c r="M53" s="272"/>
      <c r="N53" s="196"/>
      <c r="O53" s="169"/>
    </row>
    <row r="54" spans="1:20">
      <c r="A54" s="191" t="s">
        <v>33</v>
      </c>
      <c r="B54" s="197">
        <f>VLOOKUP(B14,Behaviour!A2:I51,3,0)</f>
        <v>5</v>
      </c>
      <c r="C54" s="193"/>
      <c r="D54" s="309" t="s">
        <v>41</v>
      </c>
      <c r="E54" s="309"/>
      <c r="F54" s="194">
        <f>VLOOKUP(B14,Skills!A2:H51,3,0)</f>
        <v>3</v>
      </c>
      <c r="G54" s="195"/>
      <c r="H54" s="272"/>
      <c r="I54" s="272"/>
      <c r="J54" s="272"/>
      <c r="K54" s="272"/>
      <c r="L54" s="272"/>
      <c r="M54" s="272"/>
      <c r="N54" s="196"/>
      <c r="O54" s="169"/>
    </row>
    <row r="55" spans="1:20">
      <c r="A55" s="191" t="s">
        <v>34</v>
      </c>
      <c r="B55" s="197">
        <f>VLOOKUP(B14,Behaviour!A2:I51,4,0)</f>
        <v>3</v>
      </c>
      <c r="C55" s="193"/>
      <c r="D55" s="309" t="s">
        <v>42</v>
      </c>
      <c r="E55" s="309"/>
      <c r="F55" s="194">
        <f>VLOOKUP(B14,Skills!A2:H51,4,0)</f>
        <v>3</v>
      </c>
      <c r="G55" s="195"/>
      <c r="H55" s="272"/>
      <c r="I55" s="272"/>
      <c r="J55" s="272"/>
      <c r="K55" s="272"/>
      <c r="L55" s="272"/>
      <c r="M55" s="272"/>
      <c r="N55" s="196"/>
      <c r="O55" s="169"/>
    </row>
    <row r="56" spans="1:20">
      <c r="A56" s="191" t="s">
        <v>35</v>
      </c>
      <c r="B56" s="197">
        <f>VLOOKUP(B14,Behaviour!A2:I51,5,0)</f>
        <v>3</v>
      </c>
      <c r="C56" s="193"/>
      <c r="D56" s="309" t="s">
        <v>43</v>
      </c>
      <c r="E56" s="309"/>
      <c r="F56" s="194">
        <f>VLOOKUP(B14,Skills!A2:H51,5,0)</f>
        <v>5</v>
      </c>
      <c r="G56" s="195"/>
      <c r="H56" s="272"/>
      <c r="I56" s="272"/>
      <c r="J56" s="272"/>
      <c r="K56" s="272"/>
      <c r="L56" s="272"/>
      <c r="M56" s="272"/>
      <c r="N56" s="196"/>
      <c r="O56" s="169"/>
    </row>
    <row r="57" spans="1:20">
      <c r="A57" s="191" t="s">
        <v>36</v>
      </c>
      <c r="B57" s="197">
        <f>VLOOKUP(B14,Behaviour!A2:I51,6,0)</f>
        <v>2</v>
      </c>
      <c r="C57" s="193"/>
      <c r="D57" s="309" t="s">
        <v>44</v>
      </c>
      <c r="E57" s="309"/>
      <c r="F57" s="194">
        <f>VLOOKUP(B14,Skills!A2:H51,6,0)</f>
        <v>3</v>
      </c>
      <c r="G57" s="195"/>
      <c r="H57" s="195"/>
      <c r="I57" s="198" t="s">
        <v>130</v>
      </c>
      <c r="J57" s="199"/>
      <c r="K57" s="199"/>
      <c r="L57" s="199"/>
      <c r="M57" s="199"/>
      <c r="N57" s="196"/>
      <c r="O57" s="169"/>
    </row>
    <row r="58" spans="1:20">
      <c r="A58" s="191" t="s">
        <v>37</v>
      </c>
      <c r="B58" s="197">
        <f>VLOOKUP(B14,Behaviour!A2:I51,7,0)</f>
        <v>4</v>
      </c>
      <c r="C58" s="193"/>
      <c r="D58" s="309" t="s">
        <v>45</v>
      </c>
      <c r="E58" s="309"/>
      <c r="F58" s="194">
        <f>VLOOKUP(B14,Skills!A2:H51,7,0)</f>
        <v>0</v>
      </c>
      <c r="G58" s="195"/>
      <c r="H58" s="198"/>
      <c r="I58" s="273" t="str">
        <f t="array" ref="I58">IFERROR(INDEX($A$28:$A$51,SMALL(IF(($H$28:$H$51&gt;=5)*($H$28:$H$51&lt;=49)*($H$28:$H$51&lt;&gt;""),ROW($H$28:$H$51)-ROW($H$28)+1),ROW(1:1))),"")</f>
        <v>English Language</v>
      </c>
      <c r="J58" s="273"/>
      <c r="K58" s="273"/>
      <c r="L58" s="200"/>
      <c r="M58" s="200"/>
      <c r="N58" s="196"/>
      <c r="O58" s="169"/>
    </row>
    <row r="59" spans="1:20">
      <c r="A59" s="191" t="s">
        <v>38</v>
      </c>
      <c r="B59" s="197">
        <f>VLOOKUP(B14,Behaviour!A2:I51,8,0)</f>
        <v>2</v>
      </c>
      <c r="C59" s="193"/>
      <c r="D59" s="195"/>
      <c r="E59" s="195"/>
      <c r="F59" s="195"/>
      <c r="G59" s="195"/>
      <c r="H59" s="201"/>
      <c r="I59" s="273" t="str">
        <f t="array" ref="I59">IFERROR(INDEX($A$28:$A$51,SMALL(IF(($H$28:$H$51&gt;=5)*($H$28:$H$51&lt;=49)*($H$28:$H$51&lt;&gt;""),ROW($H$28:$H$51)-ROW($H$28)+1),ROW(2:2))),"")</f>
        <v>Hausa</v>
      </c>
      <c r="J59" s="273"/>
      <c r="K59" s="273"/>
      <c r="L59" s="202"/>
      <c r="M59" s="195"/>
      <c r="N59" s="196"/>
      <c r="O59" s="169"/>
    </row>
    <row r="60" spans="1:20">
      <c r="A60" s="191" t="s">
        <v>39</v>
      </c>
      <c r="B60" s="197">
        <f>VLOOKUP(B14,Behaviour!A2:I51,9,0)</f>
        <v>4</v>
      </c>
      <c r="C60" s="193"/>
      <c r="D60" s="195"/>
      <c r="E60" s="195"/>
      <c r="F60" s="195"/>
      <c r="G60" s="195"/>
      <c r="H60" s="201"/>
      <c r="I60" s="273" t="str">
        <f t="array" ref="I60">IFERROR(INDEX($A$28:$A$51,SMALL(IF(($H$28:$H$51&gt;=5)*($H$28:$H$51&lt;=49)*($H$28:$H$51&lt;&gt;""),ROW($H$28:$H$51)-ROW($H$28)+1),ROW(3:3))),"")</f>
        <v/>
      </c>
      <c r="J60" s="273"/>
      <c r="K60" s="273"/>
      <c r="L60" s="195"/>
      <c r="M60" s="195"/>
      <c r="N60" s="196"/>
      <c r="O60" s="169"/>
    </row>
    <row r="61" spans="1:20">
      <c r="A61" s="191" t="s">
        <v>40</v>
      </c>
      <c r="B61" s="197" t="e">
        <f>VLOOKUP(B14,Behaviour!A2:I51,10,0)</f>
        <v>#REF!</v>
      </c>
      <c r="C61" s="193"/>
      <c r="D61" s="195"/>
      <c r="E61" s="195"/>
      <c r="F61" s="195"/>
      <c r="G61" s="195"/>
      <c r="H61" s="201"/>
      <c r="I61" s="273" t="str">
        <f t="array" ref="I61">IFERROR(INDEX($A$28:$A$51,SMALL(IF(($H$28:$H$51&gt;=5)*($H$28:$H$51&lt;=49)*($H$28:$H$51&lt;&gt;""),ROW($H$28:$H$51)-ROW($H$28)+1),ROW(4:4))),"")</f>
        <v/>
      </c>
      <c r="J61" s="273"/>
      <c r="K61" s="273"/>
      <c r="L61" s="195"/>
      <c r="M61" s="195"/>
      <c r="N61" s="196"/>
      <c r="O61" s="169"/>
    </row>
    <row r="62" spans="1:20">
      <c r="A62" s="168"/>
      <c r="H62" s="203"/>
      <c r="I62" s="281" t="str">
        <f t="array" ref="I62">IFERROR(INDEX($A$28:$A$51,SMALL(IF(($H$28:$H$51&gt;=5)*($H$28:$H$51&lt;=49)*($H$28:$H$51&lt;&gt;""),ROW($H$28:$H$51)-ROW($H$28)+1),ROW(5:5))),"")</f>
        <v/>
      </c>
      <c r="J62" s="281"/>
      <c r="K62" s="281"/>
      <c r="N62" s="204"/>
      <c r="O62" s="169"/>
    </row>
    <row r="63" spans="1:20">
      <c r="A63" s="168"/>
      <c r="H63" s="203"/>
      <c r="I63" s="281" t="str">
        <f t="array" ref="I63">IFERROR(INDEX($A$28:$A$51,SMALL(IF(($H$28:$H$51&gt;=5)*($H$28:$H$51&lt;=49)*($H$28:$H$51&lt;&gt;""),ROW($H$28:$H$51)-ROW($H$28)+1),ROW(6:6))),"")</f>
        <v/>
      </c>
      <c r="J63" s="281"/>
      <c r="K63" s="281"/>
      <c r="N63" s="204"/>
      <c r="O63" s="169"/>
    </row>
    <row r="64" spans="1:20">
      <c r="A64" s="320" t="s">
        <v>131</v>
      </c>
      <c r="B64" s="280"/>
      <c r="C64" s="280"/>
      <c r="D64" s="164" t="s">
        <v>132</v>
      </c>
      <c r="E64" s="317" t="e">
        <f>VLOOKUP(B14,Comments!A2:C51,4,0)</f>
        <v>#REF!</v>
      </c>
      <c r="F64" s="317"/>
      <c r="G64" s="317"/>
      <c r="H64" s="317"/>
      <c r="I64" s="281" t="str">
        <f t="array" ref="I64">IFERROR(INDEX($A$28:$A$51,SMALL(IF(($H$28:$H$51&gt;=5)*($H$28:$H$51&lt;=49)*($H$28:$H$51&lt;&gt;""),ROW($H$28:$H$51)-ROW($H$28)+1),ROW(7:7))),"")</f>
        <v/>
      </c>
      <c r="J64" s="281"/>
      <c r="K64" s="281"/>
      <c r="N64" s="204"/>
      <c r="O64" s="169"/>
      <c r="R64" s="280"/>
      <c r="S64" s="280"/>
      <c r="T64" s="280"/>
    </row>
    <row r="65" spans="1:20">
      <c r="A65" s="320" t="s">
        <v>133</v>
      </c>
      <c r="B65" s="280"/>
      <c r="C65" s="280"/>
      <c r="D65" s="164" t="s">
        <v>132</v>
      </c>
      <c r="H65" s="203"/>
      <c r="I65" s="281" t="str">
        <f t="array" ref="I65">IFERROR(INDEX($A$28:$A$51,SMALL(IF(($H$28:$H$51&gt;=5)*($H$28:$H$51&lt;=49)*($H$28:$H$51&lt;&gt;""),ROW($H$28:$H$51)-ROW($H$28)+1),ROW(8:8))),"")</f>
        <v/>
      </c>
      <c r="J65" s="281"/>
      <c r="K65" s="281"/>
      <c r="N65" s="204"/>
      <c r="O65" s="169"/>
      <c r="R65" s="280"/>
      <c r="S65" s="280"/>
      <c r="T65" s="280"/>
    </row>
    <row r="66" spans="1:20">
      <c r="A66" s="314" t="s">
        <v>134</v>
      </c>
      <c r="B66" s="315"/>
      <c r="C66" s="315"/>
      <c r="D66" s="205" t="s">
        <v>132</v>
      </c>
      <c r="E66" s="310" t="str">
        <f>VLOOKUP(B14,Comments!A2:C51,3,0)</f>
        <v>Nil</v>
      </c>
      <c r="F66" s="310"/>
      <c r="G66" s="310"/>
      <c r="H66" s="310"/>
      <c r="I66" s="316"/>
      <c r="J66" s="316"/>
      <c r="K66" s="316"/>
      <c r="L66" s="205"/>
      <c r="M66" s="205"/>
      <c r="N66" s="206"/>
      <c r="O66" s="169"/>
      <c r="R66" s="280"/>
      <c r="S66" s="280"/>
      <c r="T66" s="280"/>
    </row>
    <row r="67" spans="1:20">
      <c r="A67" s="285" t="s">
        <v>135</v>
      </c>
      <c r="B67" s="286"/>
      <c r="C67" s="286"/>
      <c r="D67" s="207" t="s">
        <v>132</v>
      </c>
      <c r="E67" s="308" t="str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There is an urgent need fo academic intervention</v>
      </c>
      <c r="F67" s="308"/>
      <c r="G67" s="308"/>
      <c r="H67" s="308"/>
      <c r="I67" s="308"/>
      <c r="J67" s="308"/>
      <c r="K67" s="308"/>
      <c r="L67" s="308"/>
      <c r="M67" s="308"/>
      <c r="N67" s="208"/>
      <c r="O67" s="169"/>
      <c r="R67" s="280"/>
      <c r="S67" s="280"/>
      <c r="T67" s="280"/>
    </row>
    <row r="68" spans="1:20">
      <c r="A68" s="178"/>
      <c r="B68" s="179"/>
      <c r="C68" s="179"/>
      <c r="D68" s="179"/>
      <c r="E68" s="179"/>
      <c r="F68" s="179"/>
      <c r="G68" s="179"/>
      <c r="H68" s="209"/>
      <c r="I68" s="209"/>
      <c r="J68" s="201"/>
      <c r="K68" s="201"/>
      <c r="L68" s="179"/>
      <c r="M68" s="179"/>
      <c r="N68" s="210"/>
      <c r="O68" s="169"/>
    </row>
    <row r="69" spans="1:20">
      <c r="A69" s="166"/>
      <c r="B69" s="166"/>
      <c r="E69" s="166"/>
      <c r="G69" s="166"/>
      <c r="J69" s="166"/>
      <c r="K69" s="166"/>
      <c r="L69" s="166"/>
      <c r="M69" s="166"/>
      <c r="O69" s="169"/>
    </row>
  </sheetData>
  <sheetProtection formatCells="0" formatColumns="0" formatRows="0"/>
  <protectedRanges>
    <protectedRange sqref="E5:N5 B2:N4 B17:N18 L6:N16 B7:K16 A2:A18" name="Range1"/>
  </protectedRanges>
  <mergeCells count="96">
    <mergeCell ref="T17:W17"/>
    <mergeCell ref="J19:J26"/>
    <mergeCell ref="A65:C65"/>
    <mergeCell ref="R64:T64"/>
    <mergeCell ref="R65:T65"/>
    <mergeCell ref="M19:N19"/>
    <mergeCell ref="D53:E53"/>
    <mergeCell ref="K35:N35"/>
    <mergeCell ref="K27:N27"/>
    <mergeCell ref="K26:L26"/>
    <mergeCell ref="K31:N31"/>
    <mergeCell ref="A64:C64"/>
    <mergeCell ref="D58:E58"/>
    <mergeCell ref="D56:E56"/>
    <mergeCell ref="K50:N50"/>
    <mergeCell ref="K34:N34"/>
    <mergeCell ref="A66:C66"/>
    <mergeCell ref="I66:K66"/>
    <mergeCell ref="F19:F26"/>
    <mergeCell ref="E64:H64"/>
    <mergeCell ref="K45:N45"/>
    <mergeCell ref="I62:K62"/>
    <mergeCell ref="I65:K65"/>
    <mergeCell ref="D57:E57"/>
    <mergeCell ref="D55:E55"/>
    <mergeCell ref="I58:K58"/>
    <mergeCell ref="E19:E26"/>
    <mergeCell ref="K33:N33"/>
    <mergeCell ref="K36:N36"/>
    <mergeCell ref="K40:N40"/>
    <mergeCell ref="K37:N37"/>
    <mergeCell ref="K42:N42"/>
    <mergeCell ref="M15:N15"/>
    <mergeCell ref="K15:L15"/>
    <mergeCell ref="K41:N41"/>
    <mergeCell ref="K43:N43"/>
    <mergeCell ref="E67:M67"/>
    <mergeCell ref="I64:K64"/>
    <mergeCell ref="G19:G26"/>
    <mergeCell ref="D54:E54"/>
    <mergeCell ref="E66:H66"/>
    <mergeCell ref="K39:N39"/>
    <mergeCell ref="K47:N47"/>
    <mergeCell ref="K51:N51"/>
    <mergeCell ref="H55:M55"/>
    <mergeCell ref="K44:N44"/>
    <mergeCell ref="K46:N46"/>
    <mergeCell ref="K48:N48"/>
    <mergeCell ref="E5:N5"/>
    <mergeCell ref="K28:N28"/>
    <mergeCell ref="B14:C14"/>
    <mergeCell ref="M13:N13"/>
    <mergeCell ref="M11:N11"/>
    <mergeCell ref="K14:L14"/>
    <mergeCell ref="M23:N23"/>
    <mergeCell ref="M21:N21"/>
    <mergeCell ref="K20:L20"/>
    <mergeCell ref="B10:G10"/>
    <mergeCell ref="K10:L10"/>
    <mergeCell ref="M10:N10"/>
    <mergeCell ref="K21:L21"/>
    <mergeCell ref="H19:H26"/>
    <mergeCell ref="B11:G11"/>
    <mergeCell ref="C19:C26"/>
    <mergeCell ref="A67:C67"/>
    <mergeCell ref="A19:A27"/>
    <mergeCell ref="K11:L11"/>
    <mergeCell ref="M24:N24"/>
    <mergeCell ref="M12:N12"/>
    <mergeCell ref="K19:L19"/>
    <mergeCell ref="B13:G13"/>
    <mergeCell ref="M20:N20"/>
    <mergeCell ref="K13:L13"/>
    <mergeCell ref="B19:B26"/>
    <mergeCell ref="M14:N14"/>
    <mergeCell ref="B12:G12"/>
    <mergeCell ref="D19:D26"/>
    <mergeCell ref="K38:N38"/>
    <mergeCell ref="K12:L12"/>
    <mergeCell ref="K32:N32"/>
    <mergeCell ref="I61:K61"/>
    <mergeCell ref="I60:K60"/>
    <mergeCell ref="R66:T66"/>
    <mergeCell ref="R67:T67"/>
    <mergeCell ref="H54:M54"/>
    <mergeCell ref="H56:M56"/>
    <mergeCell ref="I63:K63"/>
    <mergeCell ref="H53:M53"/>
    <mergeCell ref="I59:K59"/>
    <mergeCell ref="I19:I26"/>
    <mergeCell ref="M26:N26"/>
    <mergeCell ref="M22:N22"/>
    <mergeCell ref="M25:N25"/>
    <mergeCell ref="K49:N49"/>
    <mergeCell ref="K29:N29"/>
    <mergeCell ref="K30:N30"/>
  </mergeCells>
  <conditionalFormatting sqref="M13:N13">
    <cfRule type="cellIs" dxfId="8" priority="1" operator="equal">
      <formula>M13&lt;&gt;"Fail"</formula>
    </cfRule>
    <cfRule type="cellIs" dxfId="7" priority="2" stopIfTrue="1" operator="equal">
      <formula>"Failed"</formula>
    </cfRule>
  </conditionalFormatting>
  <conditionalFormatting sqref="M21:N21">
    <cfRule type="cellIs" dxfId="6" priority="3" operator="lessThan">
      <formula>40</formula>
    </cfRule>
  </conditionalFormatting>
  <conditionalFormatting sqref="K28:N51">
    <cfRule type="cellIs" dxfId="5" priority="5" operator="equal">
      <formula>"Fail"</formula>
    </cfRule>
    <cfRule type="cellIs" dxfId="4" priority="6" operator="notEqual">
      <formula>"Fail"</formula>
    </cfRule>
  </conditionalFormatting>
  <conditionalFormatting sqref="H28:H51">
    <cfRule type="cellIs" dxfId="3" priority="4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Scoresheet!$A$4:$A$55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2023-12-29T16:21:00Z</dcterms:created>
  <dcterms:modified xsi:type="dcterms:W3CDTF">2026-01-18T12:15:53Z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