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0" yWindow="0" windowWidth="20490" windowHeight="7620" tabRatio="771"/>
  </bookViews>
  <sheets>
    <sheet name="Data" sheetId="1" r:id="rId1"/>
    <sheet name="Comments" sheetId="3" r:id="rId2"/>
    <sheet name="Behaviour" sheetId="4" r:id="rId3"/>
    <sheet name="Skills" sheetId="5" r:id="rId4"/>
    <sheet name="Scoresheet" sheetId="6" r:id="rId5"/>
    <sheet name="BSheet" sheetId="7" r:id="rId6"/>
    <sheet name="T  Score" sheetId="2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BP55" i="6" l="1"/>
  <c r="BR55" i="6" s="1"/>
  <c r="BP54" i="6"/>
  <c r="BR54" i="6" s="1"/>
  <c r="BP53" i="6"/>
  <c r="BR53" i="6" s="1"/>
  <c r="BP52" i="6"/>
  <c r="BR52" i="6" s="1"/>
  <c r="BP51" i="6"/>
  <c r="BR51" i="6" s="1"/>
  <c r="BP50" i="6"/>
  <c r="BR50" i="6" s="1"/>
  <c r="BP49" i="6"/>
  <c r="BR49" i="6" s="1"/>
  <c r="BP48" i="6"/>
  <c r="BR48" i="6" s="1"/>
  <c r="BP47" i="6"/>
  <c r="BR47" i="6" s="1"/>
  <c r="BP46" i="6"/>
  <c r="BR46" i="6" s="1"/>
  <c r="BP45" i="6"/>
  <c r="BR45" i="6" s="1"/>
  <c r="BP44" i="6"/>
  <c r="BR44" i="6" s="1"/>
  <c r="BP43" i="6"/>
  <c r="BR43" i="6" s="1"/>
  <c r="BP42" i="6"/>
  <c r="BR42" i="6" s="1"/>
  <c r="BP41" i="6"/>
  <c r="BR41" i="6" s="1"/>
  <c r="BP40" i="6"/>
  <c r="BR40" i="6" s="1"/>
  <c r="BP39" i="6"/>
  <c r="BR39" i="6" s="1"/>
  <c r="BP38" i="6"/>
  <c r="BR38" i="6" s="1"/>
  <c r="BP37" i="6"/>
  <c r="BR37" i="6" s="1"/>
  <c r="BP36" i="6"/>
  <c r="BR36" i="6" s="1"/>
  <c r="BP35" i="6"/>
  <c r="BR35" i="6" s="1"/>
  <c r="BP34" i="6"/>
  <c r="BR34" i="6" s="1"/>
  <c r="BP33" i="6"/>
  <c r="BR33" i="6" s="1"/>
  <c r="BP32" i="6"/>
  <c r="BR32" i="6" s="1"/>
  <c r="BP31" i="6"/>
  <c r="BR31" i="6" s="1"/>
  <c r="BP30" i="6"/>
  <c r="BR30" i="6" s="1"/>
  <c r="BP29" i="6"/>
  <c r="BR29" i="6" s="1"/>
  <c r="BP28" i="6"/>
  <c r="BR28" i="6" s="1"/>
  <c r="BP27" i="6"/>
  <c r="BR27" i="6" s="1"/>
  <c r="BP26" i="6"/>
  <c r="BR26" i="6" s="1"/>
  <c r="BP25" i="6"/>
  <c r="BR25" i="6" s="1"/>
  <c r="BP24" i="6"/>
  <c r="BR24" i="6" s="1"/>
  <c r="BP23" i="6"/>
  <c r="BR23" i="6" s="1"/>
  <c r="BP22" i="6"/>
  <c r="BR22" i="6" s="1"/>
  <c r="BP21" i="6"/>
  <c r="BR21" i="6" s="1"/>
  <c r="BP20" i="6"/>
  <c r="BR20" i="6" s="1"/>
  <c r="BP19" i="6"/>
  <c r="BR19" i="6" s="1"/>
  <c r="BP18" i="6"/>
  <c r="BR18" i="6" s="1"/>
  <c r="BP17" i="6"/>
  <c r="BR17" i="6" s="1"/>
  <c r="BP16" i="6"/>
  <c r="BR16" i="6" s="1"/>
  <c r="BP15" i="6"/>
  <c r="BR15" i="6" s="1"/>
  <c r="BP14" i="6"/>
  <c r="BR14" i="6" s="1"/>
  <c r="BP13" i="6"/>
  <c r="BR13" i="6" s="1"/>
  <c r="BP12" i="6"/>
  <c r="BR12" i="6" s="1"/>
  <c r="BP11" i="6"/>
  <c r="BR11" i="6" s="1"/>
  <c r="BP10" i="6"/>
  <c r="BR10" i="6" s="1"/>
  <c r="BP9" i="6"/>
  <c r="BR9" i="6" s="1"/>
  <c r="BP8" i="6"/>
  <c r="BR8" i="6" s="1"/>
  <c r="BP7" i="6"/>
  <c r="BR7" i="6" s="1"/>
  <c r="BP6" i="6"/>
  <c r="BR6" i="6" s="1"/>
  <c r="BP5" i="6"/>
  <c r="BR5" i="6" s="1"/>
  <c r="BP4" i="6"/>
  <c r="BR4" i="6" s="1"/>
  <c r="BP3" i="6"/>
  <c r="BR3" i="6" s="1"/>
  <c r="BD55" i="6"/>
  <c r="BF55" i="6" s="1"/>
  <c r="BD54" i="6"/>
  <c r="BF54" i="6" s="1"/>
  <c r="BD53" i="6"/>
  <c r="BF53" i="6" s="1"/>
  <c r="BD52" i="6"/>
  <c r="BF52" i="6" s="1"/>
  <c r="BD51" i="6"/>
  <c r="BF51" i="6" s="1"/>
  <c r="BD50" i="6"/>
  <c r="BF50" i="6" s="1"/>
  <c r="BD49" i="6"/>
  <c r="BF49" i="6" s="1"/>
  <c r="BD48" i="6"/>
  <c r="BF48" i="6" s="1"/>
  <c r="BD47" i="6"/>
  <c r="BF47" i="6" s="1"/>
  <c r="BD46" i="6"/>
  <c r="BF46" i="6" s="1"/>
  <c r="BD45" i="6"/>
  <c r="BF45" i="6" s="1"/>
  <c r="BD44" i="6"/>
  <c r="BF44" i="6" s="1"/>
  <c r="BD43" i="6"/>
  <c r="BF43" i="6" s="1"/>
  <c r="BD42" i="6"/>
  <c r="BF42" i="6" s="1"/>
  <c r="BD41" i="6"/>
  <c r="BF41" i="6" s="1"/>
  <c r="BD40" i="6"/>
  <c r="BF40" i="6" s="1"/>
  <c r="BD39" i="6"/>
  <c r="BF39" i="6" s="1"/>
  <c r="BD38" i="6"/>
  <c r="BF38" i="6" s="1"/>
  <c r="BD37" i="6"/>
  <c r="BF37" i="6" s="1"/>
  <c r="BD36" i="6"/>
  <c r="BF36" i="6" s="1"/>
  <c r="BD35" i="6"/>
  <c r="BF35" i="6" s="1"/>
  <c r="BD34" i="6"/>
  <c r="BF34" i="6" s="1"/>
  <c r="BD33" i="6"/>
  <c r="BF33" i="6" s="1"/>
  <c r="BD32" i="6"/>
  <c r="BF32" i="6" s="1"/>
  <c r="BD31" i="6"/>
  <c r="BF31" i="6" s="1"/>
  <c r="BD30" i="6"/>
  <c r="BF30" i="6" s="1"/>
  <c r="BD29" i="6"/>
  <c r="BF29" i="6" s="1"/>
  <c r="BD28" i="6"/>
  <c r="BF28" i="6" s="1"/>
  <c r="BD27" i="6"/>
  <c r="BF27" i="6" s="1"/>
  <c r="BD26" i="6"/>
  <c r="BF26" i="6" s="1"/>
  <c r="BD25" i="6"/>
  <c r="BF25" i="6" s="1"/>
  <c r="BD24" i="6"/>
  <c r="BF24" i="6" s="1"/>
  <c r="BD23" i="6"/>
  <c r="BF23" i="6" s="1"/>
  <c r="BD22" i="6"/>
  <c r="BF22" i="6" s="1"/>
  <c r="BD21" i="6"/>
  <c r="BF21" i="6" s="1"/>
  <c r="BD20" i="6"/>
  <c r="BF20" i="6" s="1"/>
  <c r="BD19" i="6"/>
  <c r="BF19" i="6" s="1"/>
  <c r="BD18" i="6"/>
  <c r="BF18" i="6" s="1"/>
  <c r="BD17" i="6"/>
  <c r="BF17" i="6" s="1"/>
  <c r="BD16" i="6"/>
  <c r="BF16" i="6" s="1"/>
  <c r="BD15" i="6"/>
  <c r="BF15" i="6" s="1"/>
  <c r="BD14" i="6"/>
  <c r="BF14" i="6" s="1"/>
  <c r="BD13" i="6"/>
  <c r="BF13" i="6" s="1"/>
  <c r="BD12" i="6"/>
  <c r="BF12" i="6" s="1"/>
  <c r="BD11" i="6"/>
  <c r="BF11" i="6" s="1"/>
  <c r="BD10" i="6"/>
  <c r="BF10" i="6" s="1"/>
  <c r="BD9" i="6"/>
  <c r="BF9" i="6" s="1"/>
  <c r="BD8" i="6"/>
  <c r="BF8" i="6" s="1"/>
  <c r="BD7" i="6"/>
  <c r="BF7" i="6" s="1"/>
  <c r="BD6" i="6"/>
  <c r="BF6" i="6" s="1"/>
  <c r="BD5" i="6"/>
  <c r="BF5" i="6" s="1"/>
  <c r="BD4" i="6"/>
  <c r="BF4" i="6" s="1"/>
  <c r="BD3" i="6"/>
  <c r="BF3" i="6" s="1"/>
  <c r="AR55" i="6"/>
  <c r="AT55" i="6" s="1"/>
  <c r="AR54" i="6"/>
  <c r="AT54" i="6" s="1"/>
  <c r="AR53" i="6"/>
  <c r="AT53" i="6" s="1"/>
  <c r="AR52" i="6"/>
  <c r="AT52" i="6" s="1"/>
  <c r="AR51" i="6"/>
  <c r="AT51" i="6" s="1"/>
  <c r="AR50" i="6"/>
  <c r="AT50" i="6" s="1"/>
  <c r="AR49" i="6"/>
  <c r="AT49" i="6" s="1"/>
  <c r="AR48" i="6"/>
  <c r="AT48" i="6" s="1"/>
  <c r="AR47" i="6"/>
  <c r="AT47" i="6" s="1"/>
  <c r="AR46" i="6"/>
  <c r="AT46" i="6" s="1"/>
  <c r="AR45" i="6"/>
  <c r="AT45" i="6" s="1"/>
  <c r="AR44" i="6"/>
  <c r="AT44" i="6" s="1"/>
  <c r="AR43" i="6"/>
  <c r="AT43" i="6" s="1"/>
  <c r="AR42" i="6"/>
  <c r="AT42" i="6" s="1"/>
  <c r="AR41" i="6"/>
  <c r="AT41" i="6" s="1"/>
  <c r="AR40" i="6"/>
  <c r="AT40" i="6" s="1"/>
  <c r="AR39" i="6"/>
  <c r="AT39" i="6" s="1"/>
  <c r="AR38" i="6"/>
  <c r="AT38" i="6" s="1"/>
  <c r="AR37" i="6"/>
  <c r="AT37" i="6" s="1"/>
  <c r="AR36" i="6"/>
  <c r="AT36" i="6" s="1"/>
  <c r="AR35" i="6"/>
  <c r="AT35" i="6" s="1"/>
  <c r="AR34" i="6"/>
  <c r="AT34" i="6" s="1"/>
  <c r="AR33" i="6"/>
  <c r="AT33" i="6" s="1"/>
  <c r="AR32" i="6"/>
  <c r="AT32" i="6" s="1"/>
  <c r="AR31" i="6"/>
  <c r="AT31" i="6" s="1"/>
  <c r="AR30" i="6"/>
  <c r="AT30" i="6" s="1"/>
  <c r="AR29" i="6"/>
  <c r="AT29" i="6" s="1"/>
  <c r="AR28" i="6"/>
  <c r="AT28" i="6" s="1"/>
  <c r="AR27" i="6"/>
  <c r="AT27" i="6" s="1"/>
  <c r="AR26" i="6"/>
  <c r="AT26" i="6" s="1"/>
  <c r="AR25" i="6"/>
  <c r="AT25" i="6" s="1"/>
  <c r="AR24" i="6"/>
  <c r="AT24" i="6" s="1"/>
  <c r="AR23" i="6"/>
  <c r="AT23" i="6" s="1"/>
  <c r="AR22" i="6"/>
  <c r="AT22" i="6" s="1"/>
  <c r="AR21" i="6"/>
  <c r="AT21" i="6" s="1"/>
  <c r="AR20" i="6"/>
  <c r="AT20" i="6" s="1"/>
  <c r="AR19" i="6"/>
  <c r="AT19" i="6" s="1"/>
  <c r="AR18" i="6"/>
  <c r="AT18" i="6" s="1"/>
  <c r="AR17" i="6"/>
  <c r="AT17" i="6" s="1"/>
  <c r="AR16" i="6"/>
  <c r="AT16" i="6" s="1"/>
  <c r="AR15" i="6"/>
  <c r="AT15" i="6" s="1"/>
  <c r="AR14" i="6"/>
  <c r="AT14" i="6" s="1"/>
  <c r="AR13" i="6"/>
  <c r="AT13" i="6" s="1"/>
  <c r="AR12" i="6"/>
  <c r="AT12" i="6" s="1"/>
  <c r="AR11" i="6"/>
  <c r="AT11" i="6" s="1"/>
  <c r="AR10" i="6"/>
  <c r="AT10" i="6" s="1"/>
  <c r="AR9" i="6"/>
  <c r="AT9" i="6" s="1"/>
  <c r="AR8" i="6"/>
  <c r="AT8" i="6" s="1"/>
  <c r="AR7" i="6"/>
  <c r="AT7" i="6" s="1"/>
  <c r="AR6" i="6"/>
  <c r="AT6" i="6" s="1"/>
  <c r="AR5" i="6"/>
  <c r="AT5" i="6" s="1"/>
  <c r="AR4" i="6"/>
  <c r="AT4" i="6" s="1"/>
  <c r="AR3" i="6"/>
  <c r="AT3" i="6" s="1"/>
  <c r="AF55" i="6"/>
  <c r="AH55" i="6" s="1"/>
  <c r="AF54" i="6"/>
  <c r="AH54" i="6" s="1"/>
  <c r="AF53" i="6"/>
  <c r="AH53" i="6" s="1"/>
  <c r="AF52" i="6"/>
  <c r="AH52" i="6" s="1"/>
  <c r="AF51" i="6"/>
  <c r="AH51" i="6" s="1"/>
  <c r="AF50" i="6"/>
  <c r="AH50" i="6" s="1"/>
  <c r="AF49" i="6"/>
  <c r="AH49" i="6" s="1"/>
  <c r="AF48" i="6"/>
  <c r="AH48" i="6" s="1"/>
  <c r="AF47" i="6"/>
  <c r="AH47" i="6" s="1"/>
  <c r="AF46" i="6"/>
  <c r="AH46" i="6" s="1"/>
  <c r="AF45" i="6"/>
  <c r="AH45" i="6" s="1"/>
  <c r="AF44" i="6"/>
  <c r="AH44" i="6" s="1"/>
  <c r="AF43" i="6"/>
  <c r="AH43" i="6" s="1"/>
  <c r="AF42" i="6"/>
  <c r="AH42" i="6" s="1"/>
  <c r="AF41" i="6"/>
  <c r="AH41" i="6" s="1"/>
  <c r="AF40" i="6"/>
  <c r="AH40" i="6" s="1"/>
  <c r="AF39" i="6"/>
  <c r="AH39" i="6" s="1"/>
  <c r="AF38" i="6"/>
  <c r="AH38" i="6" s="1"/>
  <c r="AF37" i="6"/>
  <c r="AH37" i="6" s="1"/>
  <c r="AF36" i="6"/>
  <c r="AH36" i="6" s="1"/>
  <c r="AF35" i="6"/>
  <c r="AH35" i="6" s="1"/>
  <c r="AF34" i="6"/>
  <c r="AH34" i="6" s="1"/>
  <c r="AF33" i="6"/>
  <c r="AH33" i="6" s="1"/>
  <c r="AF32" i="6"/>
  <c r="AH32" i="6" s="1"/>
  <c r="AF31" i="6"/>
  <c r="AH31" i="6" s="1"/>
  <c r="AF30" i="6"/>
  <c r="AH30" i="6" s="1"/>
  <c r="AF29" i="6"/>
  <c r="AH29" i="6" s="1"/>
  <c r="AF28" i="6"/>
  <c r="AH28" i="6" s="1"/>
  <c r="AF27" i="6"/>
  <c r="AH27" i="6" s="1"/>
  <c r="AF26" i="6"/>
  <c r="AH26" i="6" s="1"/>
  <c r="AF25" i="6"/>
  <c r="AH25" i="6" s="1"/>
  <c r="AF24" i="6"/>
  <c r="AH24" i="6" s="1"/>
  <c r="AF23" i="6"/>
  <c r="AH23" i="6" s="1"/>
  <c r="AF22" i="6"/>
  <c r="AH22" i="6" s="1"/>
  <c r="AF21" i="6"/>
  <c r="AH21" i="6" s="1"/>
  <c r="AF20" i="6"/>
  <c r="AH20" i="6" s="1"/>
  <c r="AF19" i="6"/>
  <c r="AH19" i="6" s="1"/>
  <c r="AF18" i="6"/>
  <c r="AH18" i="6" s="1"/>
  <c r="AF17" i="6"/>
  <c r="AH17" i="6" s="1"/>
  <c r="AF16" i="6"/>
  <c r="AH16" i="6" s="1"/>
  <c r="AF15" i="6"/>
  <c r="AH15" i="6" s="1"/>
  <c r="AF14" i="6"/>
  <c r="AH14" i="6" s="1"/>
  <c r="AF13" i="6"/>
  <c r="AH13" i="6" s="1"/>
  <c r="AF12" i="6"/>
  <c r="AH12" i="6" s="1"/>
  <c r="AF11" i="6"/>
  <c r="AH11" i="6" s="1"/>
  <c r="AF10" i="6"/>
  <c r="AH10" i="6" s="1"/>
  <c r="AF9" i="6"/>
  <c r="AH9" i="6" s="1"/>
  <c r="AF8" i="6"/>
  <c r="AH8" i="6" s="1"/>
  <c r="AF7" i="6"/>
  <c r="AH7" i="6" s="1"/>
  <c r="AF6" i="6"/>
  <c r="AH6" i="6" s="1"/>
  <c r="AF5" i="6"/>
  <c r="AH5" i="6" s="1"/>
  <c r="AF4" i="6"/>
  <c r="AH4" i="6" s="1"/>
  <c r="AF3" i="6"/>
  <c r="AH3" i="6" s="1"/>
  <c r="H55" i="6"/>
  <c r="J55" i="6" s="1"/>
  <c r="H54" i="6"/>
  <c r="J54" i="6" s="1"/>
  <c r="H53" i="6"/>
  <c r="J53" i="6" s="1"/>
  <c r="H52" i="6"/>
  <c r="J52" i="6" s="1"/>
  <c r="H51" i="6"/>
  <c r="J51" i="6" s="1"/>
  <c r="H50" i="6"/>
  <c r="J50" i="6" s="1"/>
  <c r="H49" i="6"/>
  <c r="J49" i="6" s="1"/>
  <c r="H48" i="6"/>
  <c r="J48" i="6" s="1"/>
  <c r="H47" i="6"/>
  <c r="J47" i="6" s="1"/>
  <c r="H46" i="6"/>
  <c r="J46" i="6" s="1"/>
  <c r="H45" i="6"/>
  <c r="J45" i="6" s="1"/>
  <c r="H44" i="6"/>
  <c r="J44" i="6" s="1"/>
  <c r="H43" i="6"/>
  <c r="J43" i="6" s="1"/>
  <c r="H42" i="6"/>
  <c r="J42" i="6" s="1"/>
  <c r="H41" i="6"/>
  <c r="J41" i="6" s="1"/>
  <c r="H40" i="6"/>
  <c r="J40" i="6" s="1"/>
  <c r="H39" i="6"/>
  <c r="J39" i="6" s="1"/>
  <c r="H38" i="6"/>
  <c r="J38" i="6" s="1"/>
  <c r="H37" i="6"/>
  <c r="J37" i="6" s="1"/>
  <c r="H36" i="6"/>
  <c r="J36" i="6" s="1"/>
  <c r="H35" i="6"/>
  <c r="J35" i="6" s="1"/>
  <c r="H34" i="6"/>
  <c r="J34" i="6" s="1"/>
  <c r="H33" i="6"/>
  <c r="J33" i="6" s="1"/>
  <c r="H32" i="6"/>
  <c r="J32" i="6" s="1"/>
  <c r="H31" i="6"/>
  <c r="J31" i="6" s="1"/>
  <c r="H30" i="6"/>
  <c r="J30" i="6" s="1"/>
  <c r="H29" i="6"/>
  <c r="J29" i="6" s="1"/>
  <c r="H28" i="6"/>
  <c r="J28" i="6" s="1"/>
  <c r="H27" i="6"/>
  <c r="J27" i="6" s="1"/>
  <c r="H26" i="6"/>
  <c r="J26" i="6" s="1"/>
  <c r="H25" i="6"/>
  <c r="J25" i="6" s="1"/>
  <c r="H24" i="6"/>
  <c r="J24" i="6" s="1"/>
  <c r="H23" i="6"/>
  <c r="J23" i="6" s="1"/>
  <c r="H22" i="6"/>
  <c r="J22" i="6" s="1"/>
  <c r="H21" i="6"/>
  <c r="J21" i="6" s="1"/>
  <c r="H20" i="6"/>
  <c r="J20" i="6" s="1"/>
  <c r="H19" i="6"/>
  <c r="J19" i="6" s="1"/>
  <c r="H18" i="6"/>
  <c r="J18" i="6" s="1"/>
  <c r="H17" i="6"/>
  <c r="J17" i="6" s="1"/>
  <c r="H16" i="6"/>
  <c r="J16" i="6" s="1"/>
  <c r="H15" i="6"/>
  <c r="J15" i="6" s="1"/>
  <c r="H14" i="6"/>
  <c r="J14" i="6" s="1"/>
  <c r="H13" i="6"/>
  <c r="J13" i="6" s="1"/>
  <c r="H12" i="6"/>
  <c r="J12" i="6" s="1"/>
  <c r="H11" i="6"/>
  <c r="J11" i="6" s="1"/>
  <c r="H10" i="6"/>
  <c r="J10" i="6" s="1"/>
  <c r="H9" i="6"/>
  <c r="J9" i="6" s="1"/>
  <c r="H8" i="6"/>
  <c r="J8" i="6" s="1"/>
  <c r="H7" i="6"/>
  <c r="J7" i="6" s="1"/>
  <c r="H6" i="6"/>
  <c r="J6" i="6" s="1"/>
  <c r="H5" i="6"/>
  <c r="J5" i="6" s="1"/>
  <c r="H4" i="6"/>
  <c r="J4" i="6" s="1"/>
  <c r="H3" i="6"/>
  <c r="J3" i="6" s="1"/>
  <c r="T3" i="6"/>
  <c r="V3" i="6"/>
  <c r="T4" i="6"/>
  <c r="V4" i="6"/>
  <c r="T5" i="6"/>
  <c r="V5" i="6"/>
  <c r="T6" i="6"/>
  <c r="V6" i="6"/>
  <c r="T7" i="6"/>
  <c r="V7" i="6"/>
  <c r="T8" i="6"/>
  <c r="V8" i="6"/>
  <c r="T9" i="6"/>
  <c r="V9" i="6"/>
  <c r="T10" i="6"/>
  <c r="V10" i="6"/>
  <c r="V11" i="6"/>
  <c r="T12" i="6"/>
  <c r="V12" i="6"/>
  <c r="T13" i="6"/>
  <c r="V13" i="6" s="1"/>
  <c r="T14" i="6"/>
  <c r="V14" i="6"/>
  <c r="T15" i="6"/>
  <c r="V15" i="6" s="1"/>
  <c r="T16" i="6"/>
  <c r="V16" i="6"/>
  <c r="T17" i="6"/>
  <c r="V17" i="6" s="1"/>
  <c r="T18" i="6"/>
  <c r="V18" i="6"/>
  <c r="T19" i="6"/>
  <c r="V19" i="6" s="1"/>
  <c r="T20" i="6"/>
  <c r="V20" i="6"/>
  <c r="T21" i="6"/>
  <c r="V21" i="6" s="1"/>
  <c r="T22" i="6"/>
  <c r="V22" i="6"/>
  <c r="T23" i="6"/>
  <c r="V23" i="6" s="1"/>
  <c r="T24" i="6"/>
  <c r="V24" i="6"/>
  <c r="T25" i="6"/>
  <c r="V25" i="6" s="1"/>
  <c r="T26" i="6"/>
  <c r="V26" i="6"/>
  <c r="T27" i="6"/>
  <c r="V27" i="6" s="1"/>
  <c r="T28" i="6"/>
  <c r="V28" i="6"/>
  <c r="T29" i="6"/>
  <c r="V29" i="6" s="1"/>
  <c r="T30" i="6"/>
  <c r="V30" i="6"/>
  <c r="T31" i="6"/>
  <c r="V31" i="6" s="1"/>
  <c r="T32" i="6"/>
  <c r="V32" i="6"/>
  <c r="T33" i="6"/>
  <c r="V33" i="6" s="1"/>
  <c r="T34" i="6"/>
  <c r="V34" i="6"/>
  <c r="T35" i="6"/>
  <c r="V35" i="6" s="1"/>
  <c r="T36" i="6"/>
  <c r="V36" i="6"/>
  <c r="T37" i="6"/>
  <c r="V37" i="6" s="1"/>
  <c r="T38" i="6"/>
  <c r="V38" i="6"/>
  <c r="T39" i="6"/>
  <c r="V39" i="6" s="1"/>
  <c r="T40" i="6"/>
  <c r="V40" i="6"/>
  <c r="T41" i="6"/>
  <c r="V41" i="6" s="1"/>
  <c r="T42" i="6"/>
  <c r="V42" i="6"/>
  <c r="T43" i="6"/>
  <c r="V43" i="6" s="1"/>
  <c r="T44" i="6"/>
  <c r="V44" i="6"/>
  <c r="T45" i="6"/>
  <c r="V45" i="6" s="1"/>
  <c r="T46" i="6"/>
  <c r="V46" i="6"/>
  <c r="T47" i="6"/>
  <c r="V47" i="6" s="1"/>
  <c r="T48" i="6"/>
  <c r="V48" i="6"/>
  <c r="T49" i="6"/>
  <c r="V49" i="6" s="1"/>
  <c r="T50" i="6"/>
  <c r="V50" i="6"/>
  <c r="T51" i="6"/>
  <c r="V51" i="6" s="1"/>
  <c r="T52" i="6"/>
  <c r="V52" i="6"/>
  <c r="T53" i="6"/>
  <c r="V53" i="6" s="1"/>
  <c r="T54" i="6"/>
  <c r="V54" i="6"/>
  <c r="T55" i="6"/>
  <c r="V55" i="6" s="1"/>
  <c r="E66" i="9" l="1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E28" i="9"/>
  <c r="D28" i="9"/>
  <c r="C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CB61" i="6"/>
  <c r="CN60" i="6"/>
  <c r="CP60" i="6" s="1"/>
  <c r="CI60" i="6"/>
  <c r="CB60" i="6"/>
  <c r="CD60" i="6" s="1"/>
  <c r="BW60" i="6"/>
  <c r="BP60" i="6"/>
  <c r="BR60" i="6" s="1"/>
  <c r="BK60" i="6"/>
  <c r="BD60" i="6"/>
  <c r="BF60" i="6" s="1"/>
  <c r="BH60" i="6" s="1"/>
  <c r="AY60" i="6"/>
  <c r="AV60" i="6"/>
  <c r="AM60" i="6"/>
  <c r="CN59" i="6"/>
  <c r="CP59" i="6" s="1"/>
  <c r="CR59" i="6" s="1"/>
  <c r="CI59" i="6"/>
  <c r="CB59" i="6"/>
  <c r="CD59" i="6" s="1"/>
  <c r="BW59" i="6"/>
  <c r="BP59" i="6"/>
  <c r="BR59" i="6" s="1"/>
  <c r="BT59" i="6" s="1"/>
  <c r="BK59" i="6"/>
  <c r="BD59" i="6"/>
  <c r="BF59" i="6" s="1"/>
  <c r="AY59" i="6"/>
  <c r="AR59" i="6"/>
  <c r="AT59" i="6" s="1"/>
  <c r="AM59" i="6"/>
  <c r="AF59" i="6"/>
  <c r="AH59" i="6" s="1"/>
  <c r="AI59" i="6" s="1"/>
  <c r="AA59" i="6"/>
  <c r="L59" i="6"/>
  <c r="CN58" i="6"/>
  <c r="CP58" i="6" s="1"/>
  <c r="CS58" i="6" s="1"/>
  <c r="CI58" i="6"/>
  <c r="CD58" i="6"/>
  <c r="CB58" i="6"/>
  <c r="BW58" i="6"/>
  <c r="BP58" i="6"/>
  <c r="BR58" i="6" s="1"/>
  <c r="BK58" i="6"/>
  <c r="BD58" i="6"/>
  <c r="BF58" i="6" s="1"/>
  <c r="BG58" i="6" s="1"/>
  <c r="AY58" i="6"/>
  <c r="AR58" i="6"/>
  <c r="AT58" i="6" s="1"/>
  <c r="AM58" i="6"/>
  <c r="AF58" i="6"/>
  <c r="AH58" i="6" s="1"/>
  <c r="AI58" i="6" s="1"/>
  <c r="AA58" i="6"/>
  <c r="Y58" i="6"/>
  <c r="X58" i="6"/>
  <c r="W58" i="6"/>
  <c r="T58" i="6"/>
  <c r="O58" i="6"/>
  <c r="H58" i="6"/>
  <c r="J58" i="6" s="1"/>
  <c r="CP57" i="6"/>
  <c r="CN57" i="6"/>
  <c r="CI57" i="6"/>
  <c r="CB57" i="6"/>
  <c r="CD57" i="6" s="1"/>
  <c r="BW57" i="6"/>
  <c r="BP57" i="6"/>
  <c r="BR57" i="6" s="1"/>
  <c r="BK57" i="6"/>
  <c r="BD57" i="6"/>
  <c r="BF57" i="6" s="1"/>
  <c r="BG57" i="6" s="1"/>
  <c r="AY57" i="6"/>
  <c r="AR57" i="6"/>
  <c r="AT57" i="6" s="1"/>
  <c r="AM57" i="6"/>
  <c r="AF57" i="6"/>
  <c r="AH57" i="6" s="1"/>
  <c r="AI57" i="6" s="1"/>
  <c r="AA57" i="6"/>
  <c r="T57" i="6"/>
  <c r="V57" i="6" s="1"/>
  <c r="O57" i="6"/>
  <c r="K57" i="6"/>
  <c r="H57" i="6"/>
  <c r="J57" i="6" s="1"/>
  <c r="C57" i="6"/>
  <c r="CN56" i="6"/>
  <c r="CP56" i="6" s="1"/>
  <c r="CI56" i="6"/>
  <c r="CB56" i="6"/>
  <c r="CD56" i="6" s="1"/>
  <c r="BW56" i="6"/>
  <c r="BP56" i="6"/>
  <c r="BR56" i="6" s="1"/>
  <c r="BS56" i="6" s="1"/>
  <c r="BK56" i="6"/>
  <c r="BD56" i="6"/>
  <c r="BF56" i="6" s="1"/>
  <c r="AY56" i="6"/>
  <c r="AT56" i="6"/>
  <c r="AR56" i="6"/>
  <c r="AM56" i="6"/>
  <c r="AF56" i="6"/>
  <c r="AH56" i="6" s="1"/>
  <c r="AA56" i="6"/>
  <c r="T56" i="6"/>
  <c r="V56" i="6" s="1"/>
  <c r="W56" i="6" s="1"/>
  <c r="O56" i="6"/>
  <c r="H56" i="6"/>
  <c r="J56" i="6" s="1"/>
  <c r="C56" i="6"/>
  <c r="CP55" i="6"/>
  <c r="CN55" i="6"/>
  <c r="CI55" i="6"/>
  <c r="CB55" i="6"/>
  <c r="CD55" i="6" s="1"/>
  <c r="CF55" i="6" s="1"/>
  <c r="BW55" i="6"/>
  <c r="BK55" i="6"/>
  <c r="BI55" i="6"/>
  <c r="AY55" i="6"/>
  <c r="AM55" i="6"/>
  <c r="AK55" i="6"/>
  <c r="AA55" i="6"/>
  <c r="O55" i="6"/>
  <c r="M55" i="6"/>
  <c r="C55" i="6"/>
  <c r="CN54" i="6"/>
  <c r="CP54" i="6" s="1"/>
  <c r="CI54" i="6"/>
  <c r="CB54" i="6"/>
  <c r="CD54" i="6" s="1"/>
  <c r="BW54" i="6"/>
  <c r="BK54" i="6"/>
  <c r="AY54" i="6"/>
  <c r="AM54" i="6"/>
  <c r="AA54" i="6"/>
  <c r="O54" i="6"/>
  <c r="C54" i="6"/>
  <c r="HP53" i="6"/>
  <c r="HR53" i="6" s="1"/>
  <c r="CN53" i="6"/>
  <c r="CP53" i="6" s="1"/>
  <c r="CR53" i="6" s="1"/>
  <c r="CI53" i="6"/>
  <c r="CB53" i="6"/>
  <c r="CD53" i="6" s="1"/>
  <c r="BW53" i="6"/>
  <c r="BK53" i="6"/>
  <c r="BH53" i="6"/>
  <c r="AY53" i="6"/>
  <c r="AV53" i="6"/>
  <c r="AM53" i="6"/>
  <c r="AJ53" i="6"/>
  <c r="AA53" i="6"/>
  <c r="X53" i="6"/>
  <c r="O53" i="6"/>
  <c r="L53" i="6"/>
  <c r="C53" i="6"/>
  <c r="JX52" i="6"/>
  <c r="JZ52" i="6" s="1"/>
  <c r="KB52" i="6" s="1"/>
  <c r="JL52" i="6"/>
  <c r="JN52" i="6" s="1"/>
  <c r="JP52" i="6" s="1"/>
  <c r="IZ52" i="6"/>
  <c r="JB52" i="6" s="1"/>
  <c r="JD52" i="6" s="1"/>
  <c r="IN52" i="6"/>
  <c r="IP52" i="6" s="1"/>
  <c r="IR52" i="6" s="1"/>
  <c r="II52" i="6"/>
  <c r="IU52" i="6" s="1"/>
  <c r="JG52" i="6" s="1"/>
  <c r="JS52" i="6" s="1"/>
  <c r="IB52" i="6"/>
  <c r="ID52" i="6" s="1"/>
  <c r="IF52" i="6" s="1"/>
  <c r="HW52" i="6"/>
  <c r="HP52" i="6"/>
  <c r="HR52" i="6" s="1"/>
  <c r="HT52" i="6" s="1"/>
  <c r="HK52" i="6"/>
  <c r="HD52" i="6"/>
  <c r="HF52" i="6" s="1"/>
  <c r="HH52" i="6" s="1"/>
  <c r="GY52" i="6"/>
  <c r="GR52" i="6"/>
  <c r="GT52" i="6" s="1"/>
  <c r="GV52" i="6" s="1"/>
  <c r="GM52" i="6"/>
  <c r="GF52" i="6"/>
  <c r="GH52" i="6" s="1"/>
  <c r="GJ52" i="6" s="1"/>
  <c r="GA52" i="6"/>
  <c r="FT52" i="6"/>
  <c r="FV52" i="6" s="1"/>
  <c r="FX52" i="6" s="1"/>
  <c r="FO52" i="6"/>
  <c r="FL52" i="6"/>
  <c r="FH52" i="6"/>
  <c r="FJ52" i="6" s="1"/>
  <c r="FC52" i="6"/>
  <c r="EV52" i="6"/>
  <c r="EX52" i="6" s="1"/>
  <c r="EZ52" i="6" s="1"/>
  <c r="EQ52" i="6"/>
  <c r="EJ52" i="6"/>
  <c r="EL52" i="6" s="1"/>
  <c r="EN52" i="6" s="1"/>
  <c r="EE52" i="6"/>
  <c r="DX52" i="6"/>
  <c r="DZ52" i="6" s="1"/>
  <c r="EB52" i="6" s="1"/>
  <c r="DS52" i="6"/>
  <c r="DP52" i="6"/>
  <c r="DL52" i="6"/>
  <c r="DN52" i="6" s="1"/>
  <c r="DG52" i="6"/>
  <c r="CZ52" i="6"/>
  <c r="DB52" i="6" s="1"/>
  <c r="DD52" i="6" s="1"/>
  <c r="CU52" i="6"/>
  <c r="CN52" i="6"/>
  <c r="CP52" i="6" s="1"/>
  <c r="CR52" i="6" s="1"/>
  <c r="CI52" i="6"/>
  <c r="CB52" i="6"/>
  <c r="CD52" i="6" s="1"/>
  <c r="H51" i="7" s="1"/>
  <c r="BW52" i="6"/>
  <c r="BT52" i="6"/>
  <c r="BK52" i="6"/>
  <c r="BH52" i="6"/>
  <c r="AY52" i="6"/>
  <c r="AV52" i="6"/>
  <c r="AM52" i="6"/>
  <c r="AJ52" i="6"/>
  <c r="AA52" i="6"/>
  <c r="X52" i="6"/>
  <c r="O52" i="6"/>
  <c r="L52" i="6"/>
  <c r="C52" i="6"/>
  <c r="JX51" i="6"/>
  <c r="JZ51" i="6" s="1"/>
  <c r="KB51" i="6" s="1"/>
  <c r="JN51" i="6"/>
  <c r="JP51" i="6" s="1"/>
  <c r="JL51" i="6"/>
  <c r="JB51" i="6"/>
  <c r="JD51" i="6" s="1"/>
  <c r="IZ51" i="6"/>
  <c r="IP51" i="6"/>
  <c r="IR51" i="6" s="1"/>
  <c r="IN51" i="6"/>
  <c r="II51" i="6"/>
  <c r="IU51" i="6" s="1"/>
  <c r="JG51" i="6" s="1"/>
  <c r="JS51" i="6" s="1"/>
  <c r="IB51" i="6"/>
  <c r="ID51" i="6" s="1"/>
  <c r="IF51" i="6" s="1"/>
  <c r="HW51" i="6"/>
  <c r="HP51" i="6"/>
  <c r="HR51" i="6" s="1"/>
  <c r="HT51" i="6" s="1"/>
  <c r="HK51" i="6"/>
  <c r="HD51" i="6"/>
  <c r="HF51" i="6" s="1"/>
  <c r="HH51" i="6" s="1"/>
  <c r="GY51" i="6"/>
  <c r="GT51" i="6"/>
  <c r="GV51" i="6" s="1"/>
  <c r="GR51" i="6"/>
  <c r="GM51" i="6"/>
  <c r="GF51" i="6"/>
  <c r="GH51" i="6" s="1"/>
  <c r="GJ51" i="6" s="1"/>
  <c r="GA51" i="6"/>
  <c r="FT51" i="6"/>
  <c r="FV51" i="6" s="1"/>
  <c r="FX51" i="6" s="1"/>
  <c r="FO51" i="6"/>
  <c r="FH51" i="6"/>
  <c r="FJ51" i="6" s="1"/>
  <c r="FL51" i="6" s="1"/>
  <c r="FC51" i="6"/>
  <c r="EX51" i="6"/>
  <c r="EZ51" i="6" s="1"/>
  <c r="EV51" i="6"/>
  <c r="EQ51" i="6"/>
  <c r="EJ51" i="6"/>
  <c r="EL51" i="6" s="1"/>
  <c r="EN51" i="6" s="1"/>
  <c r="EE51" i="6"/>
  <c r="DX51" i="6"/>
  <c r="DZ51" i="6" s="1"/>
  <c r="EB51" i="6" s="1"/>
  <c r="DS51" i="6"/>
  <c r="DL51" i="6"/>
  <c r="DN51" i="6" s="1"/>
  <c r="DP51" i="6" s="1"/>
  <c r="DG51" i="6"/>
  <c r="DB51" i="6"/>
  <c r="DD51" i="6" s="1"/>
  <c r="CZ51" i="6"/>
  <c r="CU51" i="6"/>
  <c r="CN51" i="6"/>
  <c r="CP51" i="6" s="1"/>
  <c r="CR51" i="6" s="1"/>
  <c r="CI51" i="6"/>
  <c r="CB51" i="6"/>
  <c r="CD51" i="6" s="1"/>
  <c r="BW51" i="6"/>
  <c r="BT51" i="6"/>
  <c r="BK51" i="6"/>
  <c r="BH51" i="6"/>
  <c r="AY51" i="6"/>
  <c r="AV51" i="6"/>
  <c r="AM51" i="6"/>
  <c r="AJ51" i="6"/>
  <c r="AA51" i="6"/>
  <c r="X51" i="6"/>
  <c r="O51" i="6"/>
  <c r="L51" i="6"/>
  <c r="C51" i="6"/>
  <c r="JZ50" i="6"/>
  <c r="KB50" i="6" s="1"/>
  <c r="JX50" i="6"/>
  <c r="JN50" i="6"/>
  <c r="JP50" i="6" s="1"/>
  <c r="JL50" i="6"/>
  <c r="JB50" i="6"/>
  <c r="JD50" i="6" s="1"/>
  <c r="IZ50" i="6"/>
  <c r="IR50" i="6"/>
  <c r="IN50" i="6"/>
  <c r="IP50" i="6" s="1"/>
  <c r="II50" i="6"/>
  <c r="IU50" i="6" s="1"/>
  <c r="JG50" i="6" s="1"/>
  <c r="JS50" i="6" s="1"/>
  <c r="IB50" i="6"/>
  <c r="ID50" i="6" s="1"/>
  <c r="IF50" i="6" s="1"/>
  <c r="HW50" i="6"/>
  <c r="HP50" i="6"/>
  <c r="HR50" i="6" s="1"/>
  <c r="HT50" i="6" s="1"/>
  <c r="HK50" i="6"/>
  <c r="HD50" i="6"/>
  <c r="HF50" i="6" s="1"/>
  <c r="HH50" i="6" s="1"/>
  <c r="GY50" i="6"/>
  <c r="GV50" i="6"/>
  <c r="GR50" i="6"/>
  <c r="GT50" i="6" s="1"/>
  <c r="GM50" i="6"/>
  <c r="GF50" i="6"/>
  <c r="GH50" i="6" s="1"/>
  <c r="GJ50" i="6" s="1"/>
  <c r="GA50" i="6"/>
  <c r="FT50" i="6"/>
  <c r="FV50" i="6" s="1"/>
  <c r="FX50" i="6" s="1"/>
  <c r="FO50" i="6"/>
  <c r="FH50" i="6"/>
  <c r="FJ50" i="6" s="1"/>
  <c r="FL50" i="6" s="1"/>
  <c r="FC50" i="6"/>
  <c r="EZ50" i="6"/>
  <c r="EV50" i="6"/>
  <c r="EX50" i="6" s="1"/>
  <c r="EQ50" i="6"/>
  <c r="EJ50" i="6"/>
  <c r="EL50" i="6" s="1"/>
  <c r="EN50" i="6" s="1"/>
  <c r="EE50" i="6"/>
  <c r="DX50" i="6"/>
  <c r="DZ50" i="6" s="1"/>
  <c r="EB50" i="6" s="1"/>
  <c r="DS50" i="6"/>
  <c r="DL50" i="6"/>
  <c r="DN50" i="6" s="1"/>
  <c r="DP50" i="6" s="1"/>
  <c r="DG50" i="6"/>
  <c r="DD50" i="6"/>
  <c r="CZ50" i="6"/>
  <c r="DB50" i="6" s="1"/>
  <c r="CU50" i="6"/>
  <c r="CN50" i="6"/>
  <c r="CP50" i="6" s="1"/>
  <c r="CR50" i="6" s="1"/>
  <c r="CI50" i="6"/>
  <c r="CB50" i="6"/>
  <c r="CD50" i="6" s="1"/>
  <c r="H49" i="7" s="1"/>
  <c r="BW50" i="6"/>
  <c r="BT50" i="6"/>
  <c r="BK50" i="6"/>
  <c r="BH50" i="6"/>
  <c r="AY50" i="6"/>
  <c r="AV50" i="6"/>
  <c r="AM50" i="6"/>
  <c r="AJ50" i="6"/>
  <c r="AA50" i="6"/>
  <c r="X50" i="6"/>
  <c r="O50" i="6"/>
  <c r="L50" i="6"/>
  <c r="C50" i="6"/>
  <c r="JX49" i="6"/>
  <c r="JZ49" i="6" s="1"/>
  <c r="KB49" i="6" s="1"/>
  <c r="JL49" i="6"/>
  <c r="JN49" i="6" s="1"/>
  <c r="JP49" i="6" s="1"/>
  <c r="IZ49" i="6"/>
  <c r="JB49" i="6" s="1"/>
  <c r="JD49" i="6" s="1"/>
  <c r="IN49" i="6"/>
  <c r="IP49" i="6" s="1"/>
  <c r="IR49" i="6" s="1"/>
  <c r="II49" i="6"/>
  <c r="IU49" i="6" s="1"/>
  <c r="JG49" i="6" s="1"/>
  <c r="JS49" i="6" s="1"/>
  <c r="ID49" i="6"/>
  <c r="IF49" i="6" s="1"/>
  <c r="IB49" i="6"/>
  <c r="HW49" i="6"/>
  <c r="HP49" i="6"/>
  <c r="HR49" i="6" s="1"/>
  <c r="HK49" i="6"/>
  <c r="HD49" i="6"/>
  <c r="HF49" i="6" s="1"/>
  <c r="HH49" i="6" s="1"/>
  <c r="GY49" i="6"/>
  <c r="GR49" i="6"/>
  <c r="GT49" i="6" s="1"/>
  <c r="GM49" i="6"/>
  <c r="GF49" i="6"/>
  <c r="GH49" i="6" s="1"/>
  <c r="GA49" i="6"/>
  <c r="FT49" i="6"/>
  <c r="FV49" i="6" s="1"/>
  <c r="FO49" i="6"/>
  <c r="FH49" i="6"/>
  <c r="FJ49" i="6" s="1"/>
  <c r="FL49" i="6" s="1"/>
  <c r="FC49" i="6"/>
  <c r="EV49" i="6"/>
  <c r="EX49" i="6" s="1"/>
  <c r="EQ49" i="6"/>
  <c r="EL49" i="6"/>
  <c r="EJ49" i="6"/>
  <c r="EE49" i="6"/>
  <c r="DX49" i="6"/>
  <c r="DZ49" i="6" s="1"/>
  <c r="DS49" i="6"/>
  <c r="DL49" i="6"/>
  <c r="DN49" i="6" s="1"/>
  <c r="DP49" i="6" s="1"/>
  <c r="DG49" i="6"/>
  <c r="CZ49" i="6"/>
  <c r="DB49" i="6" s="1"/>
  <c r="CU49" i="6"/>
  <c r="CN49" i="6"/>
  <c r="CP49" i="6" s="1"/>
  <c r="CI49" i="6"/>
  <c r="CB49" i="6"/>
  <c r="CD49" i="6" s="1"/>
  <c r="CF49" i="6" s="1"/>
  <c r="BW49" i="6"/>
  <c r="BS49" i="6"/>
  <c r="BK49" i="6"/>
  <c r="AY49" i="6"/>
  <c r="AM49" i="6"/>
  <c r="AK49" i="6"/>
  <c r="AA49" i="6"/>
  <c r="W49" i="6"/>
  <c r="O49" i="6"/>
  <c r="C49" i="6"/>
  <c r="JZ48" i="6"/>
  <c r="KB48" i="6" s="1"/>
  <c r="JX48" i="6"/>
  <c r="JN48" i="6"/>
  <c r="JQ48" i="6" s="1"/>
  <c r="JL48" i="6"/>
  <c r="JC48" i="6"/>
  <c r="IZ48" i="6"/>
  <c r="JB48" i="6" s="1"/>
  <c r="IP48" i="6"/>
  <c r="IN48" i="6"/>
  <c r="II48" i="6"/>
  <c r="IU48" i="6" s="1"/>
  <c r="JG48" i="6" s="1"/>
  <c r="JS48" i="6" s="1"/>
  <c r="IB48" i="6"/>
  <c r="ID48" i="6" s="1"/>
  <c r="HW48" i="6"/>
  <c r="HP48" i="6"/>
  <c r="HR48" i="6" s="1"/>
  <c r="HK48" i="6"/>
  <c r="HF48" i="6"/>
  <c r="HD48" i="6"/>
  <c r="GY48" i="6"/>
  <c r="GR48" i="6"/>
  <c r="GT48" i="6" s="1"/>
  <c r="GM48" i="6"/>
  <c r="GF48" i="6"/>
  <c r="GH48" i="6" s="1"/>
  <c r="GA48" i="6"/>
  <c r="FT48" i="6"/>
  <c r="FV48" i="6" s="1"/>
  <c r="FO48" i="6"/>
  <c r="FJ48" i="6"/>
  <c r="O47" i="7" s="1"/>
  <c r="FH48" i="6"/>
  <c r="FC48" i="6"/>
  <c r="EV48" i="6"/>
  <c r="EX48" i="6" s="1"/>
  <c r="EQ48" i="6"/>
  <c r="EJ48" i="6"/>
  <c r="EL48" i="6" s="1"/>
  <c r="EE48" i="6"/>
  <c r="DX48" i="6"/>
  <c r="DZ48" i="6" s="1"/>
  <c r="DS48" i="6"/>
  <c r="DL48" i="6"/>
  <c r="DN48" i="6" s="1"/>
  <c r="DG48" i="6"/>
  <c r="CZ48" i="6"/>
  <c r="DB48" i="6" s="1"/>
  <c r="CU48" i="6"/>
  <c r="CR48" i="6"/>
  <c r="CN48" i="6"/>
  <c r="CP48" i="6" s="1"/>
  <c r="I47" i="7" s="1"/>
  <c r="CI48" i="6"/>
  <c r="CB48" i="6"/>
  <c r="CD48" i="6" s="1"/>
  <c r="H47" i="7" s="1"/>
  <c r="BW48" i="6"/>
  <c r="G47" i="7"/>
  <c r="BK48" i="6"/>
  <c r="AY48" i="6"/>
  <c r="AM48" i="6"/>
  <c r="AA48" i="6"/>
  <c r="C47" i="7"/>
  <c r="O48" i="6"/>
  <c r="C48" i="6"/>
  <c r="JZ47" i="6"/>
  <c r="JX47" i="6"/>
  <c r="JN47" i="6"/>
  <c r="JL47" i="6"/>
  <c r="IZ47" i="6"/>
  <c r="JB47" i="6" s="1"/>
  <c r="IP47" i="6"/>
  <c r="IN47" i="6"/>
  <c r="II47" i="6"/>
  <c r="IU47" i="6" s="1"/>
  <c r="JG47" i="6" s="1"/>
  <c r="JS47" i="6" s="1"/>
  <c r="IB47" i="6"/>
  <c r="ID47" i="6" s="1"/>
  <c r="HW47" i="6"/>
  <c r="HP47" i="6"/>
  <c r="HR47" i="6" s="1"/>
  <c r="HK47" i="6"/>
  <c r="HD47" i="6"/>
  <c r="HF47" i="6" s="1"/>
  <c r="GY47" i="6"/>
  <c r="GT47" i="6"/>
  <c r="GR47" i="6"/>
  <c r="GM47" i="6"/>
  <c r="GF47" i="6"/>
  <c r="GH47" i="6" s="1"/>
  <c r="GA47" i="6"/>
  <c r="FT47" i="6"/>
  <c r="FV47" i="6" s="1"/>
  <c r="FO47" i="6"/>
  <c r="FH47" i="6"/>
  <c r="FJ47" i="6" s="1"/>
  <c r="FC47" i="6"/>
  <c r="EX47" i="6"/>
  <c r="EV47" i="6"/>
  <c r="EQ47" i="6"/>
  <c r="EJ47" i="6"/>
  <c r="EL47" i="6" s="1"/>
  <c r="EE47" i="6"/>
  <c r="DX47" i="6"/>
  <c r="DZ47" i="6" s="1"/>
  <c r="DS47" i="6"/>
  <c r="DL47" i="6"/>
  <c r="DN47" i="6" s="1"/>
  <c r="DG47" i="6"/>
  <c r="DB47" i="6"/>
  <c r="CZ47" i="6"/>
  <c r="CU47" i="6"/>
  <c r="CN47" i="6"/>
  <c r="CP47" i="6" s="1"/>
  <c r="CI47" i="6"/>
  <c r="CB47" i="6"/>
  <c r="CD47" i="6" s="1"/>
  <c r="BW47" i="6"/>
  <c r="BK47" i="6"/>
  <c r="AY47" i="6"/>
  <c r="AM47" i="6"/>
  <c r="AA47" i="6"/>
  <c r="O47" i="6"/>
  <c r="C47" i="6"/>
  <c r="JX46" i="6"/>
  <c r="JZ46" i="6" s="1"/>
  <c r="JN46" i="6"/>
  <c r="JL46" i="6"/>
  <c r="IZ46" i="6"/>
  <c r="JB46" i="6" s="1"/>
  <c r="IN46" i="6"/>
  <c r="IP46" i="6" s="1"/>
  <c r="II46" i="6"/>
  <c r="IU46" i="6" s="1"/>
  <c r="JG46" i="6" s="1"/>
  <c r="JS46" i="6" s="1"/>
  <c r="ID46" i="6"/>
  <c r="IB46" i="6"/>
  <c r="HW46" i="6"/>
  <c r="HP46" i="6"/>
  <c r="HR46" i="6" s="1"/>
  <c r="HK46" i="6"/>
  <c r="HD46" i="6"/>
  <c r="HF46" i="6" s="1"/>
  <c r="GY46" i="6"/>
  <c r="GR46" i="6"/>
  <c r="GT46" i="6" s="1"/>
  <c r="GM46" i="6"/>
  <c r="GF46" i="6"/>
  <c r="GH46" i="6" s="1"/>
  <c r="GA46" i="6"/>
  <c r="FV46" i="6"/>
  <c r="FT46" i="6"/>
  <c r="FO46" i="6"/>
  <c r="FH46" i="6"/>
  <c r="FJ46" i="6" s="1"/>
  <c r="FC46" i="6"/>
  <c r="EV46" i="6"/>
  <c r="EX46" i="6" s="1"/>
  <c r="EQ46" i="6"/>
  <c r="EL46" i="6"/>
  <c r="EJ46" i="6"/>
  <c r="EE46" i="6"/>
  <c r="DX46" i="6"/>
  <c r="DZ46" i="6" s="1"/>
  <c r="DS46" i="6"/>
  <c r="DL46" i="6"/>
  <c r="DN46" i="6" s="1"/>
  <c r="DG46" i="6"/>
  <c r="CZ46" i="6"/>
  <c r="DB46" i="6" s="1"/>
  <c r="CU46" i="6"/>
  <c r="CN46" i="6"/>
  <c r="CP46" i="6" s="1"/>
  <c r="CI46" i="6"/>
  <c r="CB46" i="6"/>
  <c r="CD46" i="6" s="1"/>
  <c r="H45" i="7" s="1"/>
  <c r="BW46" i="6"/>
  <c r="BK46" i="6"/>
  <c r="AY46" i="6"/>
  <c r="AM46" i="6"/>
  <c r="AA46" i="6"/>
  <c r="O46" i="6"/>
  <c r="C46" i="6"/>
  <c r="JX45" i="6"/>
  <c r="JZ45" i="6" s="1"/>
  <c r="JL45" i="6"/>
  <c r="JN45" i="6" s="1"/>
  <c r="IZ45" i="6"/>
  <c r="JB45" i="6" s="1"/>
  <c r="IP45" i="6"/>
  <c r="IN45" i="6"/>
  <c r="II45" i="6"/>
  <c r="IU45" i="6" s="1"/>
  <c r="JG45" i="6" s="1"/>
  <c r="JS45" i="6" s="1"/>
  <c r="IB45" i="6"/>
  <c r="ID45" i="6" s="1"/>
  <c r="HW45" i="6"/>
  <c r="HP45" i="6"/>
  <c r="HR45" i="6" s="1"/>
  <c r="HK45" i="6"/>
  <c r="HD45" i="6"/>
  <c r="HF45" i="6" s="1"/>
  <c r="GY45" i="6"/>
  <c r="GT45" i="6"/>
  <c r="GR45" i="6"/>
  <c r="GM45" i="6"/>
  <c r="GF45" i="6"/>
  <c r="GH45" i="6" s="1"/>
  <c r="GA45" i="6"/>
  <c r="FT45" i="6"/>
  <c r="FV45" i="6" s="1"/>
  <c r="FO45" i="6"/>
  <c r="FH45" i="6"/>
  <c r="FJ45" i="6" s="1"/>
  <c r="FC45" i="6"/>
  <c r="EX45" i="6"/>
  <c r="EV45" i="6"/>
  <c r="EQ45" i="6"/>
  <c r="EJ45" i="6"/>
  <c r="EL45" i="6" s="1"/>
  <c r="EE45" i="6"/>
  <c r="DX45" i="6"/>
  <c r="DZ45" i="6" s="1"/>
  <c r="DS45" i="6"/>
  <c r="DL45" i="6"/>
  <c r="DN45" i="6" s="1"/>
  <c r="DG45" i="6"/>
  <c r="DB45" i="6"/>
  <c r="CZ45" i="6"/>
  <c r="CU45" i="6"/>
  <c r="CN45" i="6"/>
  <c r="CP45" i="6" s="1"/>
  <c r="CI45" i="6"/>
  <c r="CB45" i="6"/>
  <c r="CD45" i="6" s="1"/>
  <c r="BW45" i="6"/>
  <c r="BK45" i="6"/>
  <c r="AY45" i="6"/>
  <c r="AM45" i="6"/>
  <c r="AA45" i="6"/>
  <c r="O45" i="6"/>
  <c r="C45" i="6"/>
  <c r="JX44" i="6"/>
  <c r="JZ44" i="6" s="1"/>
  <c r="JL44" i="6"/>
  <c r="JN44" i="6" s="1"/>
  <c r="IZ44" i="6"/>
  <c r="JB44" i="6" s="1"/>
  <c r="IN44" i="6"/>
  <c r="IP44" i="6" s="1"/>
  <c r="II44" i="6"/>
  <c r="IU44" i="6" s="1"/>
  <c r="JG44" i="6" s="1"/>
  <c r="JS44" i="6" s="1"/>
  <c r="IB44" i="6"/>
  <c r="ID44" i="6" s="1"/>
  <c r="HW44" i="6"/>
  <c r="HP44" i="6"/>
  <c r="HR44" i="6" s="1"/>
  <c r="HK44" i="6"/>
  <c r="HF44" i="6"/>
  <c r="HD44" i="6"/>
  <c r="GY44" i="6"/>
  <c r="GR44" i="6"/>
  <c r="GT44" i="6" s="1"/>
  <c r="GM44" i="6"/>
  <c r="GF44" i="6"/>
  <c r="GH44" i="6" s="1"/>
  <c r="GA44" i="6"/>
  <c r="FT44" i="6"/>
  <c r="FV44" i="6" s="1"/>
  <c r="FO44" i="6"/>
  <c r="FJ44" i="6"/>
  <c r="FH44" i="6"/>
  <c r="FC44" i="6"/>
  <c r="EV44" i="6"/>
  <c r="EX44" i="6" s="1"/>
  <c r="EQ44" i="6"/>
  <c r="EJ44" i="6"/>
  <c r="EL44" i="6" s="1"/>
  <c r="EE44" i="6"/>
  <c r="DX44" i="6"/>
  <c r="DZ44" i="6" s="1"/>
  <c r="DS44" i="6"/>
  <c r="DN44" i="6"/>
  <c r="DL44" i="6"/>
  <c r="DG44" i="6"/>
  <c r="CZ44" i="6"/>
  <c r="DB44" i="6" s="1"/>
  <c r="CU44" i="6"/>
  <c r="CN44" i="6"/>
  <c r="CP44" i="6" s="1"/>
  <c r="CI44" i="6"/>
  <c r="CB44" i="6"/>
  <c r="CD44" i="6" s="1"/>
  <c r="H43" i="7" s="1"/>
  <c r="BW44" i="6"/>
  <c r="BK44" i="6"/>
  <c r="AY44" i="6"/>
  <c r="AM44" i="6"/>
  <c r="AA44" i="6"/>
  <c r="O44" i="6"/>
  <c r="C44" i="6"/>
  <c r="JX43" i="6"/>
  <c r="JZ43" i="6" s="1"/>
  <c r="JL43" i="6"/>
  <c r="JN43" i="6" s="1"/>
  <c r="IZ43" i="6"/>
  <c r="JB43" i="6" s="1"/>
  <c r="IN43" i="6"/>
  <c r="IP43" i="6" s="1"/>
  <c r="II43" i="6"/>
  <c r="IU43" i="6" s="1"/>
  <c r="JG43" i="6" s="1"/>
  <c r="JS43" i="6" s="1"/>
  <c r="ID43" i="6"/>
  <c r="IB43" i="6"/>
  <c r="HW43" i="6"/>
  <c r="HP43" i="6"/>
  <c r="HR43" i="6" s="1"/>
  <c r="HK43" i="6"/>
  <c r="HD43" i="6"/>
  <c r="HF43" i="6" s="1"/>
  <c r="GY43" i="6"/>
  <c r="GR43" i="6"/>
  <c r="GT43" i="6" s="1"/>
  <c r="GM43" i="6"/>
  <c r="GH43" i="6"/>
  <c r="GF43" i="6"/>
  <c r="GA43" i="6"/>
  <c r="FT43" i="6"/>
  <c r="FV43" i="6" s="1"/>
  <c r="FO43" i="6"/>
  <c r="FH43" i="6"/>
  <c r="FJ43" i="6" s="1"/>
  <c r="FC43" i="6"/>
  <c r="EV43" i="6"/>
  <c r="EX43" i="6" s="1"/>
  <c r="EQ43" i="6"/>
  <c r="EL43" i="6"/>
  <c r="EJ43" i="6"/>
  <c r="EE43" i="6"/>
  <c r="DX43" i="6"/>
  <c r="DZ43" i="6" s="1"/>
  <c r="DS43" i="6"/>
  <c r="DL43" i="6"/>
  <c r="DN43" i="6" s="1"/>
  <c r="DG43" i="6"/>
  <c r="CZ43" i="6"/>
  <c r="DB43" i="6" s="1"/>
  <c r="CU43" i="6"/>
  <c r="CP43" i="6"/>
  <c r="CN43" i="6"/>
  <c r="CI43" i="6"/>
  <c r="CB43" i="6"/>
  <c r="CD43" i="6" s="1"/>
  <c r="BW43" i="6"/>
  <c r="BK43" i="6"/>
  <c r="AY43" i="6"/>
  <c r="AM43" i="6"/>
  <c r="AA43" i="6"/>
  <c r="O43" i="6"/>
  <c r="C43" i="6"/>
  <c r="JX42" i="6"/>
  <c r="JZ42" i="6" s="1"/>
  <c r="JL42" i="6"/>
  <c r="JN42" i="6" s="1"/>
  <c r="IZ42" i="6"/>
  <c r="JB42" i="6" s="1"/>
  <c r="IN42" i="6"/>
  <c r="IP42" i="6" s="1"/>
  <c r="II42" i="6"/>
  <c r="IU42" i="6" s="1"/>
  <c r="JG42" i="6" s="1"/>
  <c r="JS42" i="6" s="1"/>
  <c r="IB42" i="6"/>
  <c r="ID42" i="6" s="1"/>
  <c r="HW42" i="6"/>
  <c r="HP42" i="6"/>
  <c r="HR42" i="6" s="1"/>
  <c r="HK42" i="6"/>
  <c r="HF42" i="6"/>
  <c r="HD42" i="6"/>
  <c r="GY42" i="6"/>
  <c r="GR42" i="6"/>
  <c r="GT42" i="6" s="1"/>
  <c r="GM42" i="6"/>
  <c r="GF42" i="6"/>
  <c r="GH42" i="6" s="1"/>
  <c r="GA42" i="6"/>
  <c r="FT42" i="6"/>
  <c r="FV42" i="6" s="1"/>
  <c r="FO42" i="6"/>
  <c r="FJ42" i="6"/>
  <c r="FH42" i="6"/>
  <c r="FC42" i="6"/>
  <c r="EV42" i="6"/>
  <c r="EX42" i="6" s="1"/>
  <c r="EQ42" i="6"/>
  <c r="EJ42" i="6"/>
  <c r="EL42" i="6" s="1"/>
  <c r="EE42" i="6"/>
  <c r="DX42" i="6"/>
  <c r="DZ42" i="6" s="1"/>
  <c r="DS42" i="6"/>
  <c r="DN42" i="6"/>
  <c r="DL42" i="6"/>
  <c r="DG42" i="6"/>
  <c r="CZ42" i="6"/>
  <c r="DB42" i="6" s="1"/>
  <c r="CU42" i="6"/>
  <c r="CN42" i="6"/>
  <c r="CP42" i="6" s="1"/>
  <c r="CI42" i="6"/>
  <c r="CB42" i="6"/>
  <c r="CD42" i="6" s="1"/>
  <c r="BW42" i="6"/>
  <c r="BK42" i="6"/>
  <c r="AY42" i="6"/>
  <c r="AM42" i="6"/>
  <c r="AA42" i="6"/>
  <c r="O42" i="6"/>
  <c r="C42" i="6"/>
  <c r="JX41" i="6"/>
  <c r="JZ41" i="6" s="1"/>
  <c r="JL41" i="6"/>
  <c r="JN41" i="6" s="1"/>
  <c r="IZ41" i="6"/>
  <c r="JB41" i="6" s="1"/>
  <c r="IP41" i="6"/>
  <c r="IN41" i="6"/>
  <c r="II41" i="6"/>
  <c r="IU41" i="6" s="1"/>
  <c r="JG41" i="6" s="1"/>
  <c r="JS41" i="6" s="1"/>
  <c r="IB41" i="6"/>
  <c r="ID41" i="6" s="1"/>
  <c r="HW41" i="6"/>
  <c r="HP41" i="6"/>
  <c r="HR41" i="6" s="1"/>
  <c r="HK41" i="6"/>
  <c r="HD41" i="6"/>
  <c r="HF41" i="6" s="1"/>
  <c r="GY41" i="6"/>
  <c r="GT41" i="6"/>
  <c r="GR41" i="6"/>
  <c r="GM41" i="6"/>
  <c r="GF41" i="6"/>
  <c r="GH41" i="6" s="1"/>
  <c r="GA41" i="6"/>
  <c r="FT41" i="6"/>
  <c r="FV41" i="6" s="1"/>
  <c r="FO41" i="6"/>
  <c r="FH41" i="6"/>
  <c r="FJ41" i="6" s="1"/>
  <c r="FC41" i="6"/>
  <c r="EX41" i="6"/>
  <c r="EV41" i="6"/>
  <c r="EQ41" i="6"/>
  <c r="EJ41" i="6"/>
  <c r="EL41" i="6" s="1"/>
  <c r="EE41" i="6"/>
  <c r="DX41" i="6"/>
  <c r="DZ41" i="6" s="1"/>
  <c r="DS41" i="6"/>
  <c r="DL41" i="6"/>
  <c r="DN41" i="6" s="1"/>
  <c r="DG41" i="6"/>
  <c r="DB41" i="6"/>
  <c r="CZ41" i="6"/>
  <c r="CU41" i="6"/>
  <c r="CN41" i="6"/>
  <c r="CP41" i="6" s="1"/>
  <c r="CI41" i="6"/>
  <c r="CB41" i="6"/>
  <c r="CD41" i="6" s="1"/>
  <c r="BW41" i="6"/>
  <c r="BK41" i="6"/>
  <c r="AY41" i="6"/>
  <c r="AM41" i="6"/>
  <c r="AA41" i="6"/>
  <c r="O41" i="6"/>
  <c r="C41" i="6"/>
  <c r="JZ40" i="6"/>
  <c r="JX40" i="6"/>
  <c r="JN40" i="6"/>
  <c r="JL40" i="6"/>
  <c r="JB40" i="6"/>
  <c r="IZ40" i="6"/>
  <c r="IP40" i="6"/>
  <c r="IN40" i="6"/>
  <c r="II40" i="6"/>
  <c r="IU40" i="6" s="1"/>
  <c r="JG40" i="6" s="1"/>
  <c r="JS40" i="6" s="1"/>
  <c r="IB40" i="6"/>
  <c r="ID40" i="6" s="1"/>
  <c r="HW40" i="6"/>
  <c r="HP40" i="6"/>
  <c r="HR40" i="6" s="1"/>
  <c r="HK40" i="6"/>
  <c r="HD40" i="6"/>
  <c r="HF40" i="6" s="1"/>
  <c r="GY40" i="6"/>
  <c r="GT40" i="6"/>
  <c r="GR40" i="6"/>
  <c r="GM40" i="6"/>
  <c r="GF40" i="6"/>
  <c r="GH40" i="6" s="1"/>
  <c r="GA40" i="6"/>
  <c r="FT40" i="6"/>
  <c r="FV40" i="6" s="1"/>
  <c r="FO40" i="6"/>
  <c r="FH40" i="6"/>
  <c r="FJ40" i="6" s="1"/>
  <c r="FC40" i="6"/>
  <c r="EX40" i="6"/>
  <c r="EV40" i="6"/>
  <c r="EQ40" i="6"/>
  <c r="EJ40" i="6"/>
  <c r="EL40" i="6" s="1"/>
  <c r="EE40" i="6"/>
  <c r="DX40" i="6"/>
  <c r="DZ40" i="6" s="1"/>
  <c r="DS40" i="6"/>
  <c r="DL40" i="6"/>
  <c r="DN40" i="6" s="1"/>
  <c r="DG40" i="6"/>
  <c r="DB40" i="6"/>
  <c r="CZ40" i="6"/>
  <c r="CU40" i="6"/>
  <c r="CN40" i="6"/>
  <c r="CP40" i="6" s="1"/>
  <c r="CI40" i="6"/>
  <c r="CB40" i="6"/>
  <c r="CD40" i="6" s="1"/>
  <c r="BW40" i="6"/>
  <c r="BK40" i="6"/>
  <c r="AY40" i="6"/>
  <c r="AM40" i="6"/>
  <c r="AA40" i="6"/>
  <c r="O40" i="6"/>
  <c r="C40" i="6"/>
  <c r="JZ39" i="6"/>
  <c r="JX39" i="6"/>
  <c r="JN39" i="6"/>
  <c r="JL39" i="6"/>
  <c r="JB39" i="6"/>
  <c r="IZ39" i="6"/>
  <c r="IP39" i="6"/>
  <c r="IN39" i="6"/>
  <c r="II39" i="6"/>
  <c r="IU39" i="6" s="1"/>
  <c r="JG39" i="6" s="1"/>
  <c r="JS39" i="6" s="1"/>
  <c r="IB39" i="6"/>
  <c r="ID39" i="6" s="1"/>
  <c r="HW39" i="6"/>
  <c r="HP39" i="6"/>
  <c r="HR39" i="6" s="1"/>
  <c r="HK39" i="6"/>
  <c r="HD39" i="6"/>
  <c r="HF39" i="6" s="1"/>
  <c r="GY39" i="6"/>
  <c r="GT39" i="6"/>
  <c r="GR39" i="6"/>
  <c r="GM39" i="6"/>
  <c r="GF39" i="6"/>
  <c r="GH39" i="6" s="1"/>
  <c r="GA39" i="6"/>
  <c r="FT39" i="6"/>
  <c r="FV39" i="6" s="1"/>
  <c r="FO39" i="6"/>
  <c r="FH39" i="6"/>
  <c r="FJ39" i="6" s="1"/>
  <c r="FC39" i="6"/>
  <c r="EX39" i="6"/>
  <c r="EV39" i="6"/>
  <c r="EQ39" i="6"/>
  <c r="EJ39" i="6"/>
  <c r="EL39" i="6" s="1"/>
  <c r="EE39" i="6"/>
  <c r="DX39" i="6"/>
  <c r="DZ39" i="6" s="1"/>
  <c r="DS39" i="6"/>
  <c r="DL39" i="6"/>
  <c r="DN39" i="6" s="1"/>
  <c r="DG39" i="6"/>
  <c r="DB39" i="6"/>
  <c r="CZ39" i="6"/>
  <c r="CU39" i="6"/>
  <c r="CN39" i="6"/>
  <c r="CP39" i="6" s="1"/>
  <c r="CI39" i="6"/>
  <c r="CB39" i="6"/>
  <c r="CD39" i="6" s="1"/>
  <c r="BW39" i="6"/>
  <c r="BK39" i="6"/>
  <c r="AY39" i="6"/>
  <c r="AM39" i="6"/>
  <c r="AA39" i="6"/>
  <c r="O39" i="6"/>
  <c r="C39" i="6"/>
  <c r="JX38" i="6"/>
  <c r="JZ38" i="6" s="1"/>
  <c r="JL38" i="6"/>
  <c r="JN38" i="6" s="1"/>
  <c r="IZ38" i="6"/>
  <c r="JB38" i="6" s="1"/>
  <c r="IN38" i="6"/>
  <c r="IP38" i="6" s="1"/>
  <c r="II38" i="6"/>
  <c r="IU38" i="6" s="1"/>
  <c r="JG38" i="6" s="1"/>
  <c r="JS38" i="6" s="1"/>
  <c r="ID38" i="6"/>
  <c r="IB38" i="6"/>
  <c r="HW38" i="6"/>
  <c r="HP38" i="6"/>
  <c r="HR38" i="6" s="1"/>
  <c r="HK38" i="6"/>
  <c r="HD38" i="6"/>
  <c r="HF38" i="6" s="1"/>
  <c r="GY38" i="6"/>
  <c r="GT38" i="6"/>
  <c r="GR38" i="6"/>
  <c r="GM38" i="6"/>
  <c r="GF38" i="6"/>
  <c r="GH38" i="6" s="1"/>
  <c r="GA38" i="6"/>
  <c r="FT38" i="6"/>
  <c r="FV38" i="6" s="1"/>
  <c r="FO38" i="6"/>
  <c r="FH38" i="6"/>
  <c r="FJ38" i="6" s="1"/>
  <c r="FC38" i="6"/>
  <c r="EX38" i="6"/>
  <c r="EV38" i="6"/>
  <c r="EQ38" i="6"/>
  <c r="EJ38" i="6"/>
  <c r="EL38" i="6" s="1"/>
  <c r="EE38" i="6"/>
  <c r="DX38" i="6"/>
  <c r="DZ38" i="6" s="1"/>
  <c r="DS38" i="6"/>
  <c r="DL38" i="6"/>
  <c r="DN38" i="6" s="1"/>
  <c r="DG38" i="6"/>
  <c r="CZ38" i="6"/>
  <c r="DB38" i="6" s="1"/>
  <c r="CU38" i="6"/>
  <c r="CN38" i="6"/>
  <c r="CP38" i="6" s="1"/>
  <c r="CI38" i="6"/>
  <c r="CB38" i="6"/>
  <c r="CD38" i="6" s="1"/>
  <c r="BW38" i="6"/>
  <c r="BK38" i="6"/>
  <c r="AY38" i="6"/>
  <c r="AM38" i="6"/>
  <c r="AA38" i="6"/>
  <c r="O38" i="6"/>
  <c r="C38" i="6"/>
  <c r="JZ37" i="6"/>
  <c r="JX37" i="6"/>
  <c r="JN37" i="6"/>
  <c r="JL37" i="6"/>
  <c r="JB37" i="6"/>
  <c r="IZ37" i="6"/>
  <c r="IP37" i="6"/>
  <c r="IN37" i="6"/>
  <c r="II37" i="6"/>
  <c r="IU37" i="6" s="1"/>
  <c r="JG37" i="6" s="1"/>
  <c r="JS37" i="6" s="1"/>
  <c r="IB37" i="6"/>
  <c r="ID37" i="6" s="1"/>
  <c r="HW37" i="6"/>
  <c r="HR37" i="6"/>
  <c r="HP37" i="6"/>
  <c r="HK37" i="6"/>
  <c r="HD37" i="6"/>
  <c r="HF37" i="6" s="1"/>
  <c r="GY37" i="6"/>
  <c r="GR37" i="6"/>
  <c r="GT37" i="6" s="1"/>
  <c r="GM37" i="6"/>
  <c r="GF37" i="6"/>
  <c r="GH37" i="6" s="1"/>
  <c r="GK37" i="6" s="1"/>
  <c r="GA37" i="6"/>
  <c r="FV37" i="6"/>
  <c r="FW37" i="6" s="1"/>
  <c r="FT37" i="6"/>
  <c r="FO37" i="6"/>
  <c r="FH37" i="6"/>
  <c r="FJ37" i="6" s="1"/>
  <c r="FM37" i="6" s="1"/>
  <c r="FC37" i="6"/>
  <c r="EV37" i="6"/>
  <c r="EX37" i="6" s="1"/>
  <c r="EQ37" i="6"/>
  <c r="EJ37" i="6"/>
  <c r="EL37" i="6" s="1"/>
  <c r="EO37" i="6" s="1"/>
  <c r="EE37" i="6"/>
  <c r="DX37" i="6"/>
  <c r="DZ37" i="6" s="1"/>
  <c r="EA37" i="6" s="1"/>
  <c r="DS37" i="6"/>
  <c r="DL37" i="6"/>
  <c r="DN37" i="6" s="1"/>
  <c r="DQ37" i="6" s="1"/>
  <c r="DG37" i="6"/>
  <c r="CZ37" i="6"/>
  <c r="DB37" i="6" s="1"/>
  <c r="CU37" i="6"/>
  <c r="CP37" i="6"/>
  <c r="CS37" i="6" s="1"/>
  <c r="CN37" i="6"/>
  <c r="CI37" i="6"/>
  <c r="CB37" i="6"/>
  <c r="CD37" i="6" s="1"/>
  <c r="BW37" i="6"/>
  <c r="BT37" i="6"/>
  <c r="BK37" i="6"/>
  <c r="AY37" i="6"/>
  <c r="AM37" i="6"/>
  <c r="AJ37" i="6"/>
  <c r="AA37" i="6"/>
  <c r="X37" i="6"/>
  <c r="O37" i="6"/>
  <c r="L37" i="6"/>
  <c r="C37" i="6"/>
  <c r="JX36" i="6"/>
  <c r="JZ36" i="6" s="1"/>
  <c r="KB36" i="6" s="1"/>
  <c r="JL36" i="6"/>
  <c r="JN36" i="6" s="1"/>
  <c r="IZ36" i="6"/>
  <c r="JB36" i="6" s="1"/>
  <c r="IN36" i="6"/>
  <c r="IP36" i="6" s="1"/>
  <c r="IR36" i="6" s="1"/>
  <c r="II36" i="6"/>
  <c r="IU36" i="6" s="1"/>
  <c r="JG36" i="6" s="1"/>
  <c r="JS36" i="6" s="1"/>
  <c r="IB36" i="6"/>
  <c r="ID36" i="6" s="1"/>
  <c r="IF36" i="6" s="1"/>
  <c r="HW36" i="6"/>
  <c r="HT36" i="6"/>
  <c r="HP36" i="6"/>
  <c r="HR36" i="6" s="1"/>
  <c r="HK36" i="6"/>
  <c r="HH36" i="6"/>
  <c r="HD36" i="6"/>
  <c r="HF36" i="6" s="1"/>
  <c r="GY36" i="6"/>
  <c r="GR36" i="6"/>
  <c r="GT36" i="6" s="1"/>
  <c r="GM36" i="6"/>
  <c r="GF36" i="6"/>
  <c r="GH36" i="6" s="1"/>
  <c r="GA36" i="6"/>
  <c r="FV36" i="6"/>
  <c r="FX36" i="6" s="1"/>
  <c r="FT36" i="6"/>
  <c r="FO36" i="6"/>
  <c r="FH36" i="6"/>
  <c r="FJ36" i="6" s="1"/>
  <c r="FL36" i="6" s="1"/>
  <c r="FC36" i="6"/>
  <c r="EV36" i="6"/>
  <c r="EX36" i="6" s="1"/>
  <c r="EZ36" i="6" s="1"/>
  <c r="EQ36" i="6"/>
  <c r="EJ36" i="6"/>
  <c r="EL36" i="6" s="1"/>
  <c r="EN36" i="6" s="1"/>
  <c r="EE36" i="6"/>
  <c r="DX36" i="6"/>
  <c r="DZ36" i="6" s="1"/>
  <c r="EB36" i="6" s="1"/>
  <c r="DS36" i="6"/>
  <c r="DL36" i="6"/>
  <c r="DN36" i="6" s="1"/>
  <c r="DP36" i="6" s="1"/>
  <c r="DG36" i="6"/>
  <c r="DB36" i="6"/>
  <c r="CZ36" i="6"/>
  <c r="CU36" i="6"/>
  <c r="CN36" i="6"/>
  <c r="CP36" i="6" s="1"/>
  <c r="CI36" i="6"/>
  <c r="CB36" i="6"/>
  <c r="CD36" i="6" s="1"/>
  <c r="BW36" i="6"/>
  <c r="BT36" i="6"/>
  <c r="BK36" i="6"/>
  <c r="BH36" i="6"/>
  <c r="AY36" i="6"/>
  <c r="AV36" i="6"/>
  <c r="AM36" i="6"/>
  <c r="AJ36" i="6"/>
  <c r="AA36" i="6"/>
  <c r="X36" i="6"/>
  <c r="O36" i="6"/>
  <c r="L36" i="6"/>
  <c r="C36" i="6"/>
  <c r="JX35" i="6"/>
  <c r="JZ35" i="6" s="1"/>
  <c r="KB35" i="6" s="1"/>
  <c r="JN35" i="6"/>
  <c r="JP35" i="6" s="1"/>
  <c r="JL35" i="6"/>
  <c r="IZ35" i="6"/>
  <c r="JB35" i="6" s="1"/>
  <c r="JD35" i="6" s="1"/>
  <c r="IN35" i="6"/>
  <c r="IP35" i="6" s="1"/>
  <c r="IR35" i="6" s="1"/>
  <c r="II35" i="6"/>
  <c r="IU35" i="6" s="1"/>
  <c r="JG35" i="6" s="1"/>
  <c r="JS35" i="6" s="1"/>
  <c r="IB35" i="6"/>
  <c r="ID35" i="6" s="1"/>
  <c r="IF35" i="6" s="1"/>
  <c r="HW35" i="6"/>
  <c r="HP35" i="6"/>
  <c r="HR35" i="6" s="1"/>
  <c r="HT35" i="6" s="1"/>
  <c r="HK35" i="6"/>
  <c r="HD35" i="6"/>
  <c r="HF35" i="6" s="1"/>
  <c r="HH35" i="6" s="1"/>
  <c r="GY35" i="6"/>
  <c r="GR35" i="6"/>
  <c r="GT35" i="6" s="1"/>
  <c r="GV35" i="6" s="1"/>
  <c r="GM35" i="6"/>
  <c r="GF35" i="6"/>
  <c r="GH35" i="6" s="1"/>
  <c r="GJ35" i="6" s="1"/>
  <c r="GA35" i="6"/>
  <c r="FT35" i="6"/>
  <c r="FV35" i="6" s="1"/>
  <c r="FX35" i="6" s="1"/>
  <c r="FO35" i="6"/>
  <c r="FH35" i="6"/>
  <c r="FJ35" i="6" s="1"/>
  <c r="FL35" i="6" s="1"/>
  <c r="FC35" i="6"/>
  <c r="EV35" i="6"/>
  <c r="EX35" i="6" s="1"/>
  <c r="EZ35" i="6" s="1"/>
  <c r="EQ35" i="6"/>
  <c r="EJ35" i="6"/>
  <c r="EL35" i="6" s="1"/>
  <c r="EN35" i="6" s="1"/>
  <c r="EE35" i="6"/>
  <c r="DX35" i="6"/>
  <c r="DZ35" i="6" s="1"/>
  <c r="EB35" i="6" s="1"/>
  <c r="DS35" i="6"/>
  <c r="DL35" i="6"/>
  <c r="DN35" i="6" s="1"/>
  <c r="DP35" i="6" s="1"/>
  <c r="DG35" i="6"/>
  <c r="CZ35" i="6"/>
  <c r="DB35" i="6" s="1"/>
  <c r="DD35" i="6" s="1"/>
  <c r="CU35" i="6"/>
  <c r="CN35" i="6"/>
  <c r="CP35" i="6" s="1"/>
  <c r="CR35" i="6" s="1"/>
  <c r="CI35" i="6"/>
  <c r="CB35" i="6"/>
  <c r="CD35" i="6" s="1"/>
  <c r="CF35" i="6" s="1"/>
  <c r="BW35" i="6"/>
  <c r="BK35" i="6"/>
  <c r="AY35" i="6"/>
  <c r="AM35" i="6"/>
  <c r="AA35" i="6"/>
  <c r="O35" i="6"/>
  <c r="M35" i="6"/>
  <c r="L35" i="6"/>
  <c r="K35" i="6"/>
  <c r="C35" i="6"/>
  <c r="JX34" i="6"/>
  <c r="JZ34" i="6" s="1"/>
  <c r="JN34" i="6"/>
  <c r="JL34" i="6"/>
  <c r="IZ34" i="6"/>
  <c r="JB34" i="6" s="1"/>
  <c r="IN34" i="6"/>
  <c r="IP34" i="6" s="1"/>
  <c r="II34" i="6"/>
  <c r="IU34" i="6" s="1"/>
  <c r="JG34" i="6" s="1"/>
  <c r="JS34" i="6" s="1"/>
  <c r="IB34" i="6"/>
  <c r="ID34" i="6" s="1"/>
  <c r="HW34" i="6"/>
  <c r="HP34" i="6"/>
  <c r="HR34" i="6" s="1"/>
  <c r="HK34" i="6"/>
  <c r="HD34" i="6"/>
  <c r="HF34" i="6" s="1"/>
  <c r="GY34" i="6"/>
  <c r="GT34" i="6"/>
  <c r="GR34" i="6"/>
  <c r="GM34" i="6"/>
  <c r="GF34" i="6"/>
  <c r="GH34" i="6" s="1"/>
  <c r="GA34" i="6"/>
  <c r="FT34" i="6"/>
  <c r="FV34" i="6" s="1"/>
  <c r="FO34" i="6"/>
  <c r="FH34" i="6"/>
  <c r="FJ34" i="6" s="1"/>
  <c r="FC34" i="6"/>
  <c r="EX34" i="6"/>
  <c r="EV34" i="6"/>
  <c r="EQ34" i="6"/>
  <c r="EJ34" i="6"/>
  <c r="EL34" i="6" s="1"/>
  <c r="EE34" i="6"/>
  <c r="DX34" i="6"/>
  <c r="DZ34" i="6" s="1"/>
  <c r="DS34" i="6"/>
  <c r="DL34" i="6"/>
  <c r="DN34" i="6" s="1"/>
  <c r="DG34" i="6"/>
  <c r="CZ34" i="6"/>
  <c r="DB34" i="6" s="1"/>
  <c r="CU34" i="6"/>
  <c r="CP34" i="6"/>
  <c r="CN34" i="6"/>
  <c r="CI34" i="6"/>
  <c r="CB34" i="6"/>
  <c r="CD34" i="6" s="1"/>
  <c r="H33" i="7" s="1"/>
  <c r="BW34" i="6"/>
  <c r="BT34" i="6"/>
  <c r="BK34" i="6"/>
  <c r="BH34" i="6"/>
  <c r="AY34" i="6"/>
  <c r="AV34" i="6"/>
  <c r="AM34" i="6"/>
  <c r="AJ34" i="6"/>
  <c r="AA34" i="6"/>
  <c r="X34" i="6"/>
  <c r="O34" i="6"/>
  <c r="L34" i="6"/>
  <c r="C34" i="6"/>
  <c r="KB33" i="6"/>
  <c r="JX33" i="6"/>
  <c r="JZ33" i="6" s="1"/>
  <c r="JN33" i="6"/>
  <c r="JP33" i="6" s="1"/>
  <c r="JL33" i="6"/>
  <c r="JB33" i="6"/>
  <c r="JD33" i="6" s="1"/>
  <c r="IZ33" i="6"/>
  <c r="IN33" i="6"/>
  <c r="IP33" i="6" s="1"/>
  <c r="IR33" i="6" s="1"/>
  <c r="II33" i="6"/>
  <c r="IU33" i="6" s="1"/>
  <c r="JG33" i="6" s="1"/>
  <c r="JS33" i="6" s="1"/>
  <c r="IB33" i="6"/>
  <c r="ID33" i="6" s="1"/>
  <c r="IF33" i="6" s="1"/>
  <c r="HW33" i="6"/>
  <c r="HP33" i="6"/>
  <c r="HR33" i="6" s="1"/>
  <c r="HT33" i="6" s="1"/>
  <c r="HK33" i="6"/>
  <c r="HD33" i="6"/>
  <c r="HF33" i="6" s="1"/>
  <c r="HH33" i="6" s="1"/>
  <c r="GY33" i="6"/>
  <c r="GR33" i="6"/>
  <c r="GT33" i="6" s="1"/>
  <c r="GV33" i="6" s="1"/>
  <c r="GM33" i="6"/>
  <c r="GF33" i="6"/>
  <c r="GH33" i="6" s="1"/>
  <c r="GJ33" i="6" s="1"/>
  <c r="GA33" i="6"/>
  <c r="FT33" i="6"/>
  <c r="FV33" i="6" s="1"/>
  <c r="FX33" i="6" s="1"/>
  <c r="FO33" i="6"/>
  <c r="FH33" i="6"/>
  <c r="FJ33" i="6" s="1"/>
  <c r="FL33" i="6" s="1"/>
  <c r="FC33" i="6"/>
  <c r="EV33" i="6"/>
  <c r="EX33" i="6" s="1"/>
  <c r="EZ33" i="6" s="1"/>
  <c r="EQ33" i="6"/>
  <c r="EJ33" i="6"/>
  <c r="EL33" i="6" s="1"/>
  <c r="EN33" i="6" s="1"/>
  <c r="EE33" i="6"/>
  <c r="DX33" i="6"/>
  <c r="DZ33" i="6" s="1"/>
  <c r="EB33" i="6" s="1"/>
  <c r="DS33" i="6"/>
  <c r="DL33" i="6"/>
  <c r="DN33" i="6" s="1"/>
  <c r="DP33" i="6" s="1"/>
  <c r="DG33" i="6"/>
  <c r="CZ33" i="6"/>
  <c r="DB33" i="6" s="1"/>
  <c r="DD33" i="6" s="1"/>
  <c r="CU33" i="6"/>
  <c r="CN33" i="6"/>
  <c r="CP33" i="6" s="1"/>
  <c r="CR33" i="6" s="1"/>
  <c r="CI33" i="6"/>
  <c r="CB33" i="6"/>
  <c r="CD33" i="6" s="1"/>
  <c r="BW33" i="6"/>
  <c r="BK33" i="6"/>
  <c r="AY33" i="6"/>
  <c r="AM33" i="6"/>
  <c r="AA33" i="6"/>
  <c r="O33" i="6"/>
  <c r="C33" i="6"/>
  <c r="JX32" i="6"/>
  <c r="JZ32" i="6" s="1"/>
  <c r="JL32" i="6"/>
  <c r="JN32" i="6" s="1"/>
  <c r="IZ32" i="6"/>
  <c r="JB32" i="6" s="1"/>
  <c r="IP32" i="6"/>
  <c r="IN32" i="6"/>
  <c r="II32" i="6"/>
  <c r="IU32" i="6" s="1"/>
  <c r="JG32" i="6" s="1"/>
  <c r="JS32" i="6" s="1"/>
  <c r="IB32" i="6"/>
  <c r="ID32" i="6" s="1"/>
  <c r="HW32" i="6"/>
  <c r="HP32" i="6"/>
  <c r="HR32" i="6" s="1"/>
  <c r="HK32" i="6"/>
  <c r="HD32" i="6"/>
  <c r="HF32" i="6" s="1"/>
  <c r="GY32" i="6"/>
  <c r="GR32" i="6"/>
  <c r="GT32" i="6" s="1"/>
  <c r="GM32" i="6"/>
  <c r="GH32" i="6"/>
  <c r="GF32" i="6"/>
  <c r="GA32" i="6"/>
  <c r="FT32" i="6"/>
  <c r="FV32" i="6" s="1"/>
  <c r="FO32" i="6"/>
  <c r="FH32" i="6"/>
  <c r="FJ32" i="6" s="1"/>
  <c r="FC32" i="6"/>
  <c r="EX32" i="6"/>
  <c r="EV32" i="6"/>
  <c r="EQ32" i="6"/>
  <c r="EL32" i="6"/>
  <c r="EJ32" i="6"/>
  <c r="EE32" i="6"/>
  <c r="DX32" i="6"/>
  <c r="DZ32" i="6" s="1"/>
  <c r="DS32" i="6"/>
  <c r="DN32" i="6"/>
  <c r="DL32" i="6"/>
  <c r="DG32" i="6"/>
  <c r="DB32" i="6"/>
  <c r="CZ32" i="6"/>
  <c r="CU32" i="6"/>
  <c r="CN32" i="6"/>
  <c r="CP32" i="6" s="1"/>
  <c r="CI32" i="6"/>
  <c r="CB32" i="6"/>
  <c r="CD32" i="6" s="1"/>
  <c r="H31" i="7" s="1"/>
  <c r="BW32" i="6"/>
  <c r="BT32" i="6"/>
  <c r="BK32" i="6"/>
  <c r="BH32" i="6"/>
  <c r="AY32" i="6"/>
  <c r="AV32" i="6"/>
  <c r="AM32" i="6"/>
  <c r="AJ32" i="6"/>
  <c r="AA32" i="6"/>
  <c r="X32" i="6"/>
  <c r="O32" i="6"/>
  <c r="L32" i="6"/>
  <c r="C32" i="6"/>
  <c r="JZ31" i="6"/>
  <c r="KB31" i="6" s="1"/>
  <c r="JX31" i="6"/>
  <c r="JL31" i="6"/>
  <c r="JN31" i="6" s="1"/>
  <c r="JP31" i="6" s="1"/>
  <c r="IZ31" i="6"/>
  <c r="JB31" i="6" s="1"/>
  <c r="JD31" i="6" s="1"/>
  <c r="IR31" i="6"/>
  <c r="IN31" i="6"/>
  <c r="IP31" i="6" s="1"/>
  <c r="II31" i="6"/>
  <c r="IU31" i="6" s="1"/>
  <c r="JG31" i="6" s="1"/>
  <c r="JS31" i="6" s="1"/>
  <c r="IB31" i="6"/>
  <c r="ID31" i="6" s="1"/>
  <c r="IF31" i="6" s="1"/>
  <c r="HW31" i="6"/>
  <c r="HP31" i="6"/>
  <c r="HR31" i="6" s="1"/>
  <c r="HT31" i="6" s="1"/>
  <c r="HK31" i="6"/>
  <c r="HD31" i="6"/>
  <c r="HF31" i="6" s="1"/>
  <c r="HH31" i="6" s="1"/>
  <c r="GY31" i="6"/>
  <c r="GV31" i="6"/>
  <c r="GR31" i="6"/>
  <c r="GT31" i="6" s="1"/>
  <c r="GM31" i="6"/>
  <c r="GF31" i="6"/>
  <c r="GH31" i="6" s="1"/>
  <c r="GJ31" i="6" s="1"/>
  <c r="GA31" i="6"/>
  <c r="FT31" i="6"/>
  <c r="FV31" i="6" s="1"/>
  <c r="FX31" i="6" s="1"/>
  <c r="FO31" i="6"/>
  <c r="FH31" i="6"/>
  <c r="FJ31" i="6" s="1"/>
  <c r="FL31" i="6" s="1"/>
  <c r="FC31" i="6"/>
  <c r="EZ31" i="6"/>
  <c r="EV31" i="6"/>
  <c r="EX31" i="6" s="1"/>
  <c r="EQ31" i="6"/>
  <c r="EJ31" i="6"/>
  <c r="EL31" i="6" s="1"/>
  <c r="EN31" i="6" s="1"/>
  <c r="EE31" i="6"/>
  <c r="DX31" i="6"/>
  <c r="DZ31" i="6" s="1"/>
  <c r="EB31" i="6" s="1"/>
  <c r="DS31" i="6"/>
  <c r="DL31" i="6"/>
  <c r="DN31" i="6" s="1"/>
  <c r="DP31" i="6" s="1"/>
  <c r="DG31" i="6"/>
  <c r="CZ31" i="6"/>
  <c r="DB31" i="6" s="1"/>
  <c r="DD31" i="6" s="1"/>
  <c r="CU31" i="6"/>
  <c r="CN31" i="6"/>
  <c r="CP31" i="6" s="1"/>
  <c r="CR31" i="6" s="1"/>
  <c r="CI31" i="6"/>
  <c r="CB31" i="6"/>
  <c r="CD31" i="6" s="1"/>
  <c r="BW31" i="6"/>
  <c r="BK31" i="6"/>
  <c r="AY31" i="6"/>
  <c r="AM31" i="6"/>
  <c r="AA31" i="6"/>
  <c r="O31" i="6"/>
  <c r="C31" i="6"/>
  <c r="JX30" i="6"/>
  <c r="JZ30" i="6" s="1"/>
  <c r="JL30" i="6"/>
  <c r="JN30" i="6" s="1"/>
  <c r="JB30" i="6"/>
  <c r="IZ30" i="6"/>
  <c r="IN30" i="6"/>
  <c r="IP30" i="6" s="1"/>
  <c r="II30" i="6"/>
  <c r="IU30" i="6" s="1"/>
  <c r="JG30" i="6" s="1"/>
  <c r="JS30" i="6" s="1"/>
  <c r="IB30" i="6"/>
  <c r="ID30" i="6" s="1"/>
  <c r="HW30" i="6"/>
  <c r="HR30" i="6"/>
  <c r="HP30" i="6"/>
  <c r="HK30" i="6"/>
  <c r="HD30" i="6"/>
  <c r="HF30" i="6" s="1"/>
  <c r="GY30" i="6"/>
  <c r="GR30" i="6"/>
  <c r="GT30" i="6" s="1"/>
  <c r="GM30" i="6"/>
  <c r="GF30" i="6"/>
  <c r="GH30" i="6" s="1"/>
  <c r="GA30" i="6"/>
  <c r="FV30" i="6"/>
  <c r="FT30" i="6"/>
  <c r="FO30" i="6"/>
  <c r="FJ30" i="6"/>
  <c r="FH30" i="6"/>
  <c r="FC30" i="6"/>
  <c r="EV30" i="6"/>
  <c r="EX30" i="6" s="1"/>
  <c r="EQ30" i="6"/>
  <c r="EJ30" i="6"/>
  <c r="EL30" i="6" s="1"/>
  <c r="EE30" i="6"/>
  <c r="DX30" i="6"/>
  <c r="DZ30" i="6" s="1"/>
  <c r="DS30" i="6"/>
  <c r="DL30" i="6"/>
  <c r="DN30" i="6" s="1"/>
  <c r="DG30" i="6"/>
  <c r="CZ30" i="6"/>
  <c r="DB30" i="6" s="1"/>
  <c r="CU30" i="6"/>
  <c r="CN30" i="6"/>
  <c r="CP30" i="6" s="1"/>
  <c r="CI30" i="6"/>
  <c r="CB30" i="6"/>
  <c r="CD30" i="6" s="1"/>
  <c r="H29" i="7" s="1"/>
  <c r="BW30" i="6"/>
  <c r="BT30" i="6"/>
  <c r="BK30" i="6"/>
  <c r="BH30" i="6"/>
  <c r="AY30" i="6"/>
  <c r="AV30" i="6"/>
  <c r="AM30" i="6"/>
  <c r="AJ30" i="6"/>
  <c r="AA30" i="6"/>
  <c r="X30" i="6"/>
  <c r="O30" i="6"/>
  <c r="L30" i="6"/>
  <c r="C30" i="6"/>
  <c r="JZ29" i="6"/>
  <c r="KB29" i="6" s="1"/>
  <c r="JX29" i="6"/>
  <c r="JL29" i="6"/>
  <c r="JN29" i="6" s="1"/>
  <c r="JP29" i="6" s="1"/>
  <c r="IZ29" i="6"/>
  <c r="JB29" i="6" s="1"/>
  <c r="JD29" i="6" s="1"/>
  <c r="IR29" i="6"/>
  <c r="IN29" i="6"/>
  <c r="IP29" i="6" s="1"/>
  <c r="II29" i="6"/>
  <c r="IU29" i="6" s="1"/>
  <c r="JG29" i="6" s="1"/>
  <c r="JS29" i="6" s="1"/>
  <c r="IB29" i="6"/>
  <c r="ID29" i="6" s="1"/>
  <c r="IF29" i="6" s="1"/>
  <c r="HW29" i="6"/>
  <c r="HT29" i="6"/>
  <c r="HP29" i="6"/>
  <c r="HR29" i="6" s="1"/>
  <c r="HK29" i="6"/>
  <c r="HD29" i="6"/>
  <c r="HF29" i="6" s="1"/>
  <c r="HH29" i="6" s="1"/>
  <c r="GY29" i="6"/>
  <c r="GV29" i="6"/>
  <c r="GR29" i="6"/>
  <c r="GT29" i="6" s="1"/>
  <c r="GM29" i="6"/>
  <c r="GF29" i="6"/>
  <c r="GH29" i="6" s="1"/>
  <c r="GJ29" i="6" s="1"/>
  <c r="GA29" i="6"/>
  <c r="FX29" i="6"/>
  <c r="FT29" i="6"/>
  <c r="FV29" i="6" s="1"/>
  <c r="FO29" i="6"/>
  <c r="FH29" i="6"/>
  <c r="FJ29" i="6" s="1"/>
  <c r="FL29" i="6" s="1"/>
  <c r="FC29" i="6"/>
  <c r="EZ29" i="6"/>
  <c r="EV29" i="6"/>
  <c r="EX29" i="6" s="1"/>
  <c r="EQ29" i="6"/>
  <c r="EJ29" i="6"/>
  <c r="EL29" i="6" s="1"/>
  <c r="EN29" i="6" s="1"/>
  <c r="EE29" i="6"/>
  <c r="EB29" i="6"/>
  <c r="DX29" i="6"/>
  <c r="DZ29" i="6" s="1"/>
  <c r="DS29" i="6"/>
  <c r="DL29" i="6"/>
  <c r="DN29" i="6" s="1"/>
  <c r="DP29" i="6" s="1"/>
  <c r="DG29" i="6"/>
  <c r="DD29" i="6"/>
  <c r="CZ29" i="6"/>
  <c r="DB29" i="6" s="1"/>
  <c r="CU29" i="6"/>
  <c r="CP29" i="6"/>
  <c r="CR29" i="6" s="1"/>
  <c r="CN29" i="6"/>
  <c r="CI29" i="6"/>
  <c r="CB29" i="6"/>
  <c r="CD29" i="6" s="1"/>
  <c r="BW29" i="6"/>
  <c r="BK29" i="6"/>
  <c r="AY29" i="6"/>
  <c r="AM29" i="6"/>
  <c r="AA29" i="6"/>
  <c r="O29" i="6"/>
  <c r="C29" i="6"/>
  <c r="JZ28" i="6"/>
  <c r="JX28" i="6"/>
  <c r="JL28" i="6"/>
  <c r="JN28" i="6" s="1"/>
  <c r="IZ28" i="6"/>
  <c r="JB28" i="6" s="1"/>
  <c r="IN28" i="6"/>
  <c r="IP28" i="6" s="1"/>
  <c r="II28" i="6"/>
  <c r="IU28" i="6" s="1"/>
  <c r="JG28" i="6" s="1"/>
  <c r="JS28" i="6" s="1"/>
  <c r="IB28" i="6"/>
  <c r="ID28" i="6" s="1"/>
  <c r="HW28" i="6"/>
  <c r="HR28" i="6"/>
  <c r="HP28" i="6"/>
  <c r="HK28" i="6"/>
  <c r="HD28" i="6"/>
  <c r="HF28" i="6" s="1"/>
  <c r="GY28" i="6"/>
  <c r="GR28" i="6"/>
  <c r="GT28" i="6" s="1"/>
  <c r="GM28" i="6"/>
  <c r="GF28" i="6"/>
  <c r="GH28" i="6" s="1"/>
  <c r="GA28" i="6"/>
  <c r="FV28" i="6"/>
  <c r="FT28" i="6"/>
  <c r="FO28" i="6"/>
  <c r="FH28" i="6"/>
  <c r="FJ28" i="6" s="1"/>
  <c r="FC28" i="6"/>
  <c r="EV28" i="6"/>
  <c r="EX28" i="6" s="1"/>
  <c r="EQ28" i="6"/>
  <c r="EJ28" i="6"/>
  <c r="EL28" i="6" s="1"/>
  <c r="EE28" i="6"/>
  <c r="DZ28" i="6"/>
  <c r="DX28" i="6"/>
  <c r="DS28" i="6"/>
  <c r="DL28" i="6"/>
  <c r="DN28" i="6" s="1"/>
  <c r="DG28" i="6"/>
  <c r="CZ28" i="6"/>
  <c r="DB28" i="6" s="1"/>
  <c r="CU28" i="6"/>
  <c r="CN28" i="6"/>
  <c r="CP28" i="6" s="1"/>
  <c r="CI28" i="6"/>
  <c r="CB28" i="6"/>
  <c r="CD28" i="6" s="1"/>
  <c r="BW28" i="6"/>
  <c r="BT28" i="6"/>
  <c r="BK28" i="6"/>
  <c r="BH28" i="6"/>
  <c r="AY28" i="6"/>
  <c r="AV28" i="6"/>
  <c r="AM28" i="6"/>
  <c r="AJ28" i="6"/>
  <c r="AA28" i="6"/>
  <c r="X28" i="6"/>
  <c r="O28" i="6"/>
  <c r="L28" i="6"/>
  <c r="C28" i="6"/>
  <c r="JX27" i="6"/>
  <c r="JZ27" i="6" s="1"/>
  <c r="KB27" i="6" s="1"/>
  <c r="JL27" i="6"/>
  <c r="JN27" i="6" s="1"/>
  <c r="JP27" i="6" s="1"/>
  <c r="IZ27" i="6"/>
  <c r="JB27" i="6" s="1"/>
  <c r="JD27" i="6" s="1"/>
  <c r="IN27" i="6"/>
  <c r="IP27" i="6" s="1"/>
  <c r="IR27" i="6" s="1"/>
  <c r="II27" i="6"/>
  <c r="IU27" i="6" s="1"/>
  <c r="JG27" i="6" s="1"/>
  <c r="JS27" i="6" s="1"/>
  <c r="ID27" i="6"/>
  <c r="IF27" i="6" s="1"/>
  <c r="IB27" i="6"/>
  <c r="HW27" i="6"/>
  <c r="HP27" i="6"/>
  <c r="HR27" i="6" s="1"/>
  <c r="HT27" i="6" s="1"/>
  <c r="HK27" i="6"/>
  <c r="HD27" i="6"/>
  <c r="HF27" i="6" s="1"/>
  <c r="GY27" i="6"/>
  <c r="GT27" i="6"/>
  <c r="GR27" i="6"/>
  <c r="GM27" i="6"/>
  <c r="GH27" i="6"/>
  <c r="GK27" i="6" s="1"/>
  <c r="GF27" i="6"/>
  <c r="GA27" i="6"/>
  <c r="FT27" i="6"/>
  <c r="FV27" i="6" s="1"/>
  <c r="FW27" i="6" s="1"/>
  <c r="FO27" i="6"/>
  <c r="FH27" i="6"/>
  <c r="FJ27" i="6" s="1"/>
  <c r="FC27" i="6"/>
  <c r="EV27" i="6"/>
  <c r="EX27" i="6" s="1"/>
  <c r="EQ27" i="6"/>
  <c r="EJ27" i="6"/>
  <c r="EL27" i="6" s="1"/>
  <c r="EN27" i="6" s="1"/>
  <c r="EE27" i="6"/>
  <c r="DZ27" i="6"/>
  <c r="DX27" i="6"/>
  <c r="DS27" i="6"/>
  <c r="DL27" i="6"/>
  <c r="DN27" i="6" s="1"/>
  <c r="DG27" i="6"/>
  <c r="CZ27" i="6"/>
  <c r="DB27" i="6" s="1"/>
  <c r="CU27" i="6"/>
  <c r="CP27" i="6"/>
  <c r="CN27" i="6"/>
  <c r="CI27" i="6"/>
  <c r="CB27" i="6"/>
  <c r="CD27" i="6" s="1"/>
  <c r="BW27" i="6"/>
  <c r="BK27" i="6"/>
  <c r="BG27" i="6"/>
  <c r="AY27" i="6"/>
  <c r="AM27" i="6"/>
  <c r="AI27" i="6"/>
  <c r="AA27" i="6"/>
  <c r="O27" i="6"/>
  <c r="K27" i="6"/>
  <c r="C27" i="6"/>
  <c r="JZ26" i="6"/>
  <c r="KC26" i="6" s="1"/>
  <c r="JX26" i="6"/>
  <c r="JL26" i="6"/>
  <c r="JN26" i="6" s="1"/>
  <c r="IZ26" i="6"/>
  <c r="JB26" i="6" s="1"/>
  <c r="IP26" i="6"/>
  <c r="IN26" i="6"/>
  <c r="II26" i="6"/>
  <c r="IU26" i="6" s="1"/>
  <c r="JG26" i="6" s="1"/>
  <c r="JS26" i="6" s="1"/>
  <c r="ID26" i="6"/>
  <c r="IG26" i="6" s="1"/>
  <c r="IB26" i="6"/>
  <c r="HW26" i="6"/>
  <c r="HP26" i="6"/>
  <c r="HR26" i="6" s="1"/>
  <c r="HS26" i="6" s="1"/>
  <c r="HK26" i="6"/>
  <c r="HD26" i="6"/>
  <c r="HF26" i="6" s="1"/>
  <c r="GY26" i="6"/>
  <c r="GT26" i="6"/>
  <c r="GR26" i="6"/>
  <c r="GM26" i="6"/>
  <c r="GH26" i="6"/>
  <c r="GK26" i="6" s="1"/>
  <c r="GF26" i="6"/>
  <c r="GA26" i="6"/>
  <c r="FT26" i="6"/>
  <c r="FV26" i="6" s="1"/>
  <c r="FW26" i="6" s="1"/>
  <c r="FO26" i="6"/>
  <c r="FH26" i="6"/>
  <c r="FJ26" i="6" s="1"/>
  <c r="FC26" i="6"/>
  <c r="EV26" i="6"/>
  <c r="EX26" i="6" s="1"/>
  <c r="EY26" i="6" s="1"/>
  <c r="EQ26" i="6"/>
  <c r="EO26" i="6"/>
  <c r="EJ26" i="6"/>
  <c r="EL26" i="6" s="1"/>
  <c r="EN26" i="6" s="1"/>
  <c r="EE26" i="6"/>
  <c r="DX26" i="6"/>
  <c r="DZ26" i="6" s="1"/>
  <c r="DS26" i="6"/>
  <c r="DL26" i="6"/>
  <c r="DN26" i="6" s="1"/>
  <c r="DG26" i="6"/>
  <c r="DB26" i="6"/>
  <c r="DC26" i="6" s="1"/>
  <c r="CZ26" i="6"/>
  <c r="CU26" i="6"/>
  <c r="CN26" i="6"/>
  <c r="CP26" i="6" s="1"/>
  <c r="CR26" i="6" s="1"/>
  <c r="CI26" i="6"/>
  <c r="CB26" i="6"/>
  <c r="CD26" i="6" s="1"/>
  <c r="BW26" i="6"/>
  <c r="BT26" i="6"/>
  <c r="BK26" i="6"/>
  <c r="AY26" i="6"/>
  <c r="AW26" i="6"/>
  <c r="AM26" i="6"/>
  <c r="AA26" i="6"/>
  <c r="O26" i="6"/>
  <c r="C26" i="6"/>
  <c r="JX25" i="6"/>
  <c r="JZ25" i="6" s="1"/>
  <c r="KC25" i="6" s="1"/>
  <c r="JN25" i="6"/>
  <c r="JL25" i="6"/>
  <c r="IZ25" i="6"/>
  <c r="JB25" i="6" s="1"/>
  <c r="JD25" i="6" s="1"/>
  <c r="IN25" i="6"/>
  <c r="IP25" i="6" s="1"/>
  <c r="II25" i="6"/>
  <c r="IU25" i="6" s="1"/>
  <c r="JG25" i="6" s="1"/>
  <c r="JS25" i="6" s="1"/>
  <c r="IB25" i="6"/>
  <c r="ID25" i="6" s="1"/>
  <c r="IG25" i="6" s="1"/>
  <c r="HW25" i="6"/>
  <c r="HP25" i="6"/>
  <c r="HR25" i="6" s="1"/>
  <c r="HK25" i="6"/>
  <c r="HF25" i="6"/>
  <c r="HD25" i="6"/>
  <c r="GY25" i="6"/>
  <c r="GT25" i="6"/>
  <c r="GV25" i="6" s="1"/>
  <c r="GR25" i="6"/>
  <c r="GM25" i="6"/>
  <c r="GF25" i="6"/>
  <c r="GH25" i="6" s="1"/>
  <c r="GK25" i="6" s="1"/>
  <c r="GA25" i="6"/>
  <c r="FT25" i="6"/>
  <c r="FV25" i="6" s="1"/>
  <c r="FO25" i="6"/>
  <c r="FH25" i="6"/>
  <c r="FJ25" i="6" s="1"/>
  <c r="FC25" i="6"/>
  <c r="EV25" i="6"/>
  <c r="EX25" i="6" s="1"/>
  <c r="EQ25" i="6"/>
  <c r="EJ25" i="6"/>
  <c r="EL25" i="6" s="1"/>
  <c r="EE25" i="6"/>
  <c r="DX25" i="6"/>
  <c r="DZ25" i="6" s="1"/>
  <c r="DS25" i="6"/>
  <c r="DL25" i="6"/>
  <c r="DN25" i="6" s="1"/>
  <c r="DQ25" i="6" s="1"/>
  <c r="DG25" i="6"/>
  <c r="DB25" i="6"/>
  <c r="CZ25" i="6"/>
  <c r="CU25" i="6"/>
  <c r="CN25" i="6"/>
  <c r="CP25" i="6" s="1"/>
  <c r="CI25" i="6"/>
  <c r="CB25" i="6"/>
  <c r="CD25" i="6" s="1"/>
  <c r="BW25" i="6"/>
  <c r="BK25" i="6"/>
  <c r="AY25" i="6"/>
  <c r="AW25" i="6"/>
  <c r="AM25" i="6"/>
  <c r="D24" i="7"/>
  <c r="AA25" i="6"/>
  <c r="O25" i="6"/>
  <c r="C25" i="6"/>
  <c r="JX24" i="6"/>
  <c r="JZ24" i="6" s="1"/>
  <c r="JL24" i="6"/>
  <c r="JN24" i="6" s="1"/>
  <c r="IZ24" i="6"/>
  <c r="JB24" i="6" s="1"/>
  <c r="IN24" i="6"/>
  <c r="IP24" i="6" s="1"/>
  <c r="II24" i="6"/>
  <c r="IU24" i="6" s="1"/>
  <c r="JG24" i="6" s="1"/>
  <c r="JS24" i="6" s="1"/>
  <c r="IB24" i="6"/>
  <c r="ID24" i="6" s="1"/>
  <c r="HW24" i="6"/>
  <c r="HP24" i="6"/>
  <c r="HR24" i="6" s="1"/>
  <c r="T23" i="7" s="1"/>
  <c r="HK24" i="6"/>
  <c r="HD24" i="6"/>
  <c r="HF24" i="6" s="1"/>
  <c r="GY24" i="6"/>
  <c r="GV24" i="6"/>
  <c r="GR24" i="6"/>
  <c r="GT24" i="6" s="1"/>
  <c r="R23" i="7" s="1"/>
  <c r="GM24" i="6"/>
  <c r="GF24" i="6"/>
  <c r="GH24" i="6" s="1"/>
  <c r="GK24" i="6" s="1"/>
  <c r="GA24" i="6"/>
  <c r="FT24" i="6"/>
  <c r="FV24" i="6" s="1"/>
  <c r="FO24" i="6"/>
  <c r="FH24" i="6"/>
  <c r="FJ24" i="6" s="1"/>
  <c r="FC24" i="6"/>
  <c r="EZ24" i="6"/>
  <c r="EV24" i="6"/>
  <c r="EX24" i="6" s="1"/>
  <c r="N23" i="7" s="1"/>
  <c r="EQ24" i="6"/>
  <c r="EJ24" i="6"/>
  <c r="EL24" i="6" s="1"/>
  <c r="EE24" i="6"/>
  <c r="DX24" i="6"/>
  <c r="DZ24" i="6" s="1"/>
  <c r="DS24" i="6"/>
  <c r="DL24" i="6"/>
  <c r="DN24" i="6" s="1"/>
  <c r="DG24" i="6"/>
  <c r="DB24" i="6"/>
  <c r="CZ24" i="6"/>
  <c r="CU24" i="6"/>
  <c r="CN24" i="6"/>
  <c r="CP24" i="6" s="1"/>
  <c r="CS24" i="6" s="1"/>
  <c r="CI24" i="6"/>
  <c r="CB24" i="6"/>
  <c r="CD24" i="6" s="1"/>
  <c r="BW24" i="6"/>
  <c r="BK24" i="6"/>
  <c r="F23" i="7"/>
  <c r="AY24" i="6"/>
  <c r="AM24" i="6"/>
  <c r="D23" i="7"/>
  <c r="AA24" i="6"/>
  <c r="Y24" i="6"/>
  <c r="O24" i="6"/>
  <c r="C24" i="6"/>
  <c r="JX23" i="6"/>
  <c r="JZ23" i="6" s="1"/>
  <c r="JN23" i="6"/>
  <c r="JO23" i="6" s="1"/>
  <c r="JL23" i="6"/>
  <c r="IZ23" i="6"/>
  <c r="JB23" i="6" s="1"/>
  <c r="IQ23" i="6"/>
  <c r="IN23" i="6"/>
  <c r="IP23" i="6" s="1"/>
  <c r="V22" i="7" s="1"/>
  <c r="II23" i="6"/>
  <c r="IU23" i="6" s="1"/>
  <c r="JG23" i="6" s="1"/>
  <c r="JS23" i="6" s="1"/>
  <c r="IB23" i="6"/>
  <c r="ID23" i="6" s="1"/>
  <c r="HW23" i="6"/>
  <c r="HP23" i="6"/>
  <c r="HR23" i="6" s="1"/>
  <c r="HK23" i="6"/>
  <c r="HD23" i="6"/>
  <c r="HF23" i="6" s="1"/>
  <c r="GY23" i="6"/>
  <c r="GR23" i="6"/>
  <c r="GT23" i="6" s="1"/>
  <c r="GM23" i="6"/>
  <c r="GF23" i="6"/>
  <c r="GH23" i="6" s="1"/>
  <c r="GA23" i="6"/>
  <c r="FV23" i="6"/>
  <c r="FT23" i="6"/>
  <c r="FO23" i="6"/>
  <c r="FH23" i="6"/>
  <c r="FJ23" i="6" s="1"/>
  <c r="FM23" i="6" s="1"/>
  <c r="FC23" i="6"/>
  <c r="EV23" i="6"/>
  <c r="EX23" i="6" s="1"/>
  <c r="EQ23" i="6"/>
  <c r="EJ23" i="6"/>
  <c r="EL23" i="6" s="1"/>
  <c r="EE23" i="6"/>
  <c r="DZ23" i="6"/>
  <c r="DX23" i="6"/>
  <c r="DS23" i="6"/>
  <c r="DL23" i="6"/>
  <c r="DN23" i="6" s="1"/>
  <c r="DG23" i="6"/>
  <c r="CZ23" i="6"/>
  <c r="DB23" i="6" s="1"/>
  <c r="CU23" i="6"/>
  <c r="CN23" i="6"/>
  <c r="CP23" i="6" s="1"/>
  <c r="CI23" i="6"/>
  <c r="CB23" i="6"/>
  <c r="CD23" i="6" s="1"/>
  <c r="BW23" i="6"/>
  <c r="BK23" i="6"/>
  <c r="AY23" i="6"/>
  <c r="AM23" i="6"/>
  <c r="AJ23" i="6"/>
  <c r="AI23" i="6"/>
  <c r="D22" i="7"/>
  <c r="AA23" i="6"/>
  <c r="O23" i="6"/>
  <c r="B22" i="7"/>
  <c r="C23" i="6"/>
  <c r="JX22" i="6"/>
  <c r="JZ22" i="6" s="1"/>
  <c r="KC22" i="6" s="1"/>
  <c r="JL22" i="6"/>
  <c r="JN22" i="6" s="1"/>
  <c r="X21" i="7" s="1"/>
  <c r="IZ22" i="6"/>
  <c r="JB22" i="6" s="1"/>
  <c r="JE22" i="6" s="1"/>
  <c r="IN22" i="6"/>
  <c r="IP22" i="6" s="1"/>
  <c r="II22" i="6"/>
  <c r="IU22" i="6" s="1"/>
  <c r="JG22" i="6" s="1"/>
  <c r="JS22" i="6" s="1"/>
  <c r="ID22" i="6"/>
  <c r="IG22" i="6" s="1"/>
  <c r="IB22" i="6"/>
  <c r="HW22" i="6"/>
  <c r="HP22" i="6"/>
  <c r="HR22" i="6" s="1"/>
  <c r="T21" i="7" s="1"/>
  <c r="HK22" i="6"/>
  <c r="HD22" i="6"/>
  <c r="HF22" i="6" s="1"/>
  <c r="GY22" i="6"/>
  <c r="GT22" i="6"/>
  <c r="GR22" i="6"/>
  <c r="GM22" i="6"/>
  <c r="GF22" i="6"/>
  <c r="GH22" i="6" s="1"/>
  <c r="GA22" i="6"/>
  <c r="FT22" i="6"/>
  <c r="FV22" i="6" s="1"/>
  <c r="FO22" i="6"/>
  <c r="FH22" i="6"/>
  <c r="FJ22" i="6" s="1"/>
  <c r="FC22" i="6"/>
  <c r="EV22" i="6"/>
  <c r="EX22" i="6" s="1"/>
  <c r="EQ22" i="6"/>
  <c r="EJ22" i="6"/>
  <c r="EL22" i="6" s="1"/>
  <c r="EO22" i="6" s="1"/>
  <c r="EE22" i="6"/>
  <c r="DX22" i="6"/>
  <c r="DZ22" i="6" s="1"/>
  <c r="DS22" i="6"/>
  <c r="DL22" i="6"/>
  <c r="DN22" i="6" s="1"/>
  <c r="DG22" i="6"/>
  <c r="CZ22" i="6"/>
  <c r="DB22" i="6" s="1"/>
  <c r="DD22" i="6" s="1"/>
  <c r="CU22" i="6"/>
  <c r="CN22" i="6"/>
  <c r="CP22" i="6" s="1"/>
  <c r="CI22" i="6"/>
  <c r="CB22" i="6"/>
  <c r="CD22" i="6" s="1"/>
  <c r="BW22" i="6"/>
  <c r="BU22" i="6"/>
  <c r="BK22" i="6"/>
  <c r="AY22" i="6"/>
  <c r="AM22" i="6"/>
  <c r="AA22" i="6"/>
  <c r="O22" i="6"/>
  <c r="L22" i="6"/>
  <c r="B21" i="7"/>
  <c r="C22" i="6"/>
  <c r="JZ21" i="6"/>
  <c r="JX21" i="6"/>
  <c r="JN21" i="6"/>
  <c r="JL21" i="6"/>
  <c r="IZ21" i="6"/>
  <c r="JB21" i="6" s="1"/>
  <c r="IN21" i="6"/>
  <c r="IP21" i="6" s="1"/>
  <c r="II21" i="6"/>
  <c r="IU21" i="6" s="1"/>
  <c r="JG21" i="6" s="1"/>
  <c r="JS21" i="6" s="1"/>
  <c r="IB21" i="6"/>
  <c r="ID21" i="6" s="1"/>
  <c r="HW21" i="6"/>
  <c r="HP21" i="6"/>
  <c r="HR21" i="6" s="1"/>
  <c r="HK21" i="6"/>
  <c r="HD21" i="6"/>
  <c r="HF21" i="6" s="1"/>
  <c r="HI21" i="6" s="1"/>
  <c r="GY21" i="6"/>
  <c r="GR21" i="6"/>
  <c r="GT21" i="6" s="1"/>
  <c r="GM21" i="6"/>
  <c r="GF21" i="6"/>
  <c r="GH21" i="6" s="1"/>
  <c r="GA21" i="6"/>
  <c r="FT21" i="6"/>
  <c r="FV21" i="6" s="1"/>
  <c r="FX21" i="6" s="1"/>
  <c r="FO21" i="6"/>
  <c r="FH21" i="6"/>
  <c r="FJ21" i="6" s="1"/>
  <c r="FC21" i="6"/>
  <c r="EV21" i="6"/>
  <c r="EX21" i="6" s="1"/>
  <c r="N20" i="7" s="1"/>
  <c r="EQ21" i="6"/>
  <c r="EL21" i="6"/>
  <c r="EJ21" i="6"/>
  <c r="EE21" i="6"/>
  <c r="DX21" i="6"/>
  <c r="DZ21" i="6" s="1"/>
  <c r="L20" i="7" s="1"/>
  <c r="DS21" i="6"/>
  <c r="DQ21" i="6"/>
  <c r="DL21" i="6"/>
  <c r="DN21" i="6" s="1"/>
  <c r="DG21" i="6"/>
  <c r="CZ21" i="6"/>
  <c r="DB21" i="6" s="1"/>
  <c r="CU21" i="6"/>
  <c r="CN21" i="6"/>
  <c r="CP21" i="6" s="1"/>
  <c r="CI21" i="6"/>
  <c r="CB21" i="6"/>
  <c r="CD21" i="6" s="1"/>
  <c r="BW21" i="6"/>
  <c r="BK21" i="6"/>
  <c r="BH21" i="6"/>
  <c r="AY21" i="6"/>
  <c r="AW21" i="6"/>
  <c r="AM21" i="6"/>
  <c r="AA21" i="6"/>
  <c r="O21" i="6"/>
  <c r="C21" i="6"/>
  <c r="JX20" i="6"/>
  <c r="JZ20" i="6" s="1"/>
  <c r="JL20" i="6"/>
  <c r="JN20" i="6" s="1"/>
  <c r="IZ20" i="6"/>
  <c r="JB20" i="6" s="1"/>
  <c r="IN20" i="6"/>
  <c r="IP20" i="6" s="1"/>
  <c r="V19" i="7" s="1"/>
  <c r="II20" i="6"/>
  <c r="IU20" i="6" s="1"/>
  <c r="JG20" i="6" s="1"/>
  <c r="JS20" i="6" s="1"/>
  <c r="IB20" i="6"/>
  <c r="ID20" i="6" s="1"/>
  <c r="HW20" i="6"/>
  <c r="HP20" i="6"/>
  <c r="HR20" i="6" s="1"/>
  <c r="HS20" i="6" s="1"/>
  <c r="HK20" i="6"/>
  <c r="HF20" i="6"/>
  <c r="HD20" i="6"/>
  <c r="GY20" i="6"/>
  <c r="GR20" i="6"/>
  <c r="GT20" i="6" s="1"/>
  <c r="GU20" i="6" s="1"/>
  <c r="GM20" i="6"/>
  <c r="GH20" i="6"/>
  <c r="GK20" i="6" s="1"/>
  <c r="GF20" i="6"/>
  <c r="GA20" i="6"/>
  <c r="FX20" i="6"/>
  <c r="FW20" i="6"/>
  <c r="FT20" i="6"/>
  <c r="FV20" i="6" s="1"/>
  <c r="P19" i="7" s="1"/>
  <c r="FO20" i="6"/>
  <c r="FH20" i="6"/>
  <c r="FJ20" i="6" s="1"/>
  <c r="FC20" i="6"/>
  <c r="EV20" i="6"/>
  <c r="EX20" i="6" s="1"/>
  <c r="EQ20" i="6"/>
  <c r="EJ20" i="6"/>
  <c r="EL20" i="6" s="1"/>
  <c r="EE20" i="6"/>
  <c r="DX20" i="6"/>
  <c r="DZ20" i="6" s="1"/>
  <c r="DS20" i="6"/>
  <c r="DL20" i="6"/>
  <c r="DN20" i="6" s="1"/>
  <c r="DG20" i="6"/>
  <c r="DB20" i="6"/>
  <c r="CZ20" i="6"/>
  <c r="CU20" i="6"/>
  <c r="CN20" i="6"/>
  <c r="CP20" i="6" s="1"/>
  <c r="CS20" i="6" s="1"/>
  <c r="CI20" i="6"/>
  <c r="CB20" i="6"/>
  <c r="CD20" i="6" s="1"/>
  <c r="BW20" i="6"/>
  <c r="BK20" i="6"/>
  <c r="AY20" i="6"/>
  <c r="AM20" i="6"/>
  <c r="AA20" i="6"/>
  <c r="O20" i="6"/>
  <c r="C20" i="6"/>
  <c r="JZ19" i="6"/>
  <c r="KC19" i="6" s="1"/>
  <c r="JX19" i="6"/>
  <c r="JN19" i="6"/>
  <c r="JP19" i="6" s="1"/>
  <c r="JL19" i="6"/>
  <c r="IZ19" i="6"/>
  <c r="JB19" i="6" s="1"/>
  <c r="IP19" i="6"/>
  <c r="IN19" i="6"/>
  <c r="II19" i="6"/>
  <c r="IU19" i="6" s="1"/>
  <c r="JG19" i="6" s="1"/>
  <c r="JS19" i="6" s="1"/>
  <c r="IB19" i="6"/>
  <c r="ID19" i="6" s="1"/>
  <c r="IG19" i="6" s="1"/>
  <c r="HW19" i="6"/>
  <c r="HP19" i="6"/>
  <c r="HR19" i="6" s="1"/>
  <c r="HT19" i="6" s="1"/>
  <c r="HK19" i="6"/>
  <c r="HD19" i="6"/>
  <c r="HF19" i="6" s="1"/>
  <c r="GY19" i="6"/>
  <c r="GR19" i="6"/>
  <c r="GT19" i="6" s="1"/>
  <c r="GM19" i="6"/>
  <c r="GF19" i="6"/>
  <c r="GH19" i="6" s="1"/>
  <c r="GA19" i="6"/>
  <c r="FT19" i="6"/>
  <c r="FV19" i="6" s="1"/>
  <c r="FO19" i="6"/>
  <c r="FH19" i="6"/>
  <c r="FJ19" i="6" s="1"/>
  <c r="FC19" i="6"/>
  <c r="EX19" i="6"/>
  <c r="EV19" i="6"/>
  <c r="EQ19" i="6"/>
  <c r="EJ19" i="6"/>
  <c r="EL19" i="6" s="1"/>
  <c r="EO19" i="6" s="1"/>
  <c r="EE19" i="6"/>
  <c r="DX19" i="6"/>
  <c r="DZ19" i="6" s="1"/>
  <c r="EB19" i="6" s="1"/>
  <c r="DS19" i="6"/>
  <c r="DL19" i="6"/>
  <c r="DN19" i="6" s="1"/>
  <c r="DG19" i="6"/>
  <c r="CZ19" i="6"/>
  <c r="DB19" i="6" s="1"/>
  <c r="CU19" i="6"/>
  <c r="CN19" i="6"/>
  <c r="CP19" i="6" s="1"/>
  <c r="CI19" i="6"/>
  <c r="CB19" i="6"/>
  <c r="CD19" i="6" s="1"/>
  <c r="BW19" i="6"/>
  <c r="BK19" i="6"/>
  <c r="AY19" i="6"/>
  <c r="AW19" i="6"/>
  <c r="AM19" i="6"/>
  <c r="AJ19" i="6"/>
  <c r="AA19" i="6"/>
  <c r="O19" i="6"/>
  <c r="L19" i="6"/>
  <c r="C19" i="6"/>
  <c r="KC18" i="6"/>
  <c r="JX18" i="6"/>
  <c r="JZ18" i="6" s="1"/>
  <c r="JN18" i="6"/>
  <c r="JP18" i="6" s="1"/>
  <c r="JL18" i="6"/>
  <c r="IZ18" i="6"/>
  <c r="JB18" i="6" s="1"/>
  <c r="IN18" i="6"/>
  <c r="IP18" i="6" s="1"/>
  <c r="IR18" i="6" s="1"/>
  <c r="II18" i="6"/>
  <c r="IU18" i="6" s="1"/>
  <c r="JG18" i="6" s="1"/>
  <c r="JS18" i="6" s="1"/>
  <c r="IB18" i="6"/>
  <c r="ID18" i="6" s="1"/>
  <c r="IG18" i="6" s="1"/>
  <c r="HW18" i="6"/>
  <c r="HP18" i="6"/>
  <c r="HR18" i="6" s="1"/>
  <c r="HT18" i="6" s="1"/>
  <c r="HK18" i="6"/>
  <c r="HD18" i="6"/>
  <c r="HF18" i="6" s="1"/>
  <c r="GY18" i="6"/>
  <c r="GR18" i="6"/>
  <c r="GT18" i="6" s="1"/>
  <c r="GM18" i="6"/>
  <c r="GF18" i="6"/>
  <c r="GH18" i="6" s="1"/>
  <c r="GK18" i="6" s="1"/>
  <c r="GA18" i="6"/>
  <c r="FT18" i="6"/>
  <c r="FV18" i="6" s="1"/>
  <c r="FX18" i="6" s="1"/>
  <c r="FO18" i="6"/>
  <c r="FJ18" i="6"/>
  <c r="FH18" i="6"/>
  <c r="FC18" i="6"/>
  <c r="EV18" i="6"/>
  <c r="EX18" i="6" s="1"/>
  <c r="EZ18" i="6" s="1"/>
  <c r="EQ18" i="6"/>
  <c r="EJ18" i="6"/>
  <c r="EL18" i="6" s="1"/>
  <c r="EO18" i="6" s="1"/>
  <c r="EE18" i="6"/>
  <c r="DZ18" i="6"/>
  <c r="EB18" i="6" s="1"/>
  <c r="DX18" i="6"/>
  <c r="DS18" i="6"/>
  <c r="DL18" i="6"/>
  <c r="DN18" i="6" s="1"/>
  <c r="DG18" i="6"/>
  <c r="CZ18" i="6"/>
  <c r="DB18" i="6" s="1"/>
  <c r="CU18" i="6"/>
  <c r="CN18" i="6"/>
  <c r="CP18" i="6" s="1"/>
  <c r="CS18" i="6" s="1"/>
  <c r="CI18" i="6"/>
  <c r="CB18" i="6"/>
  <c r="CD18" i="6" s="1"/>
  <c r="BW18" i="6"/>
  <c r="BK18" i="6"/>
  <c r="BH18" i="6"/>
  <c r="AY18" i="6"/>
  <c r="AM18" i="6"/>
  <c r="AA18" i="6"/>
  <c r="Y18" i="6"/>
  <c r="O18" i="6"/>
  <c r="K18" i="6"/>
  <c r="C18" i="6"/>
  <c r="JX17" i="6"/>
  <c r="JZ17" i="6" s="1"/>
  <c r="JL17" i="6"/>
  <c r="JN17" i="6" s="1"/>
  <c r="IZ17" i="6"/>
  <c r="JB17" i="6" s="1"/>
  <c r="JE17" i="6" s="1"/>
  <c r="IN17" i="6"/>
  <c r="IP17" i="6" s="1"/>
  <c r="IQ17" i="6" s="1"/>
  <c r="II17" i="6"/>
  <c r="IU17" i="6" s="1"/>
  <c r="JG17" i="6" s="1"/>
  <c r="JS17" i="6" s="1"/>
  <c r="IB17" i="6"/>
  <c r="ID17" i="6" s="1"/>
  <c r="HW17" i="6"/>
  <c r="HP17" i="6"/>
  <c r="HR17" i="6" s="1"/>
  <c r="HK17" i="6"/>
  <c r="HD17" i="6"/>
  <c r="HF17" i="6" s="1"/>
  <c r="GY17" i="6"/>
  <c r="GR17" i="6"/>
  <c r="GT17" i="6" s="1"/>
  <c r="GM17" i="6"/>
  <c r="GF17" i="6"/>
  <c r="GH17" i="6" s="1"/>
  <c r="GA17" i="6"/>
  <c r="FV17" i="6"/>
  <c r="FT17" i="6"/>
  <c r="FO17" i="6"/>
  <c r="FH17" i="6"/>
  <c r="FJ17" i="6" s="1"/>
  <c r="FM17" i="6" s="1"/>
  <c r="FC17" i="6"/>
  <c r="EV17" i="6"/>
  <c r="EX17" i="6" s="1"/>
  <c r="EZ17" i="6" s="1"/>
  <c r="EQ17" i="6"/>
  <c r="EJ17" i="6"/>
  <c r="EL17" i="6" s="1"/>
  <c r="EE17" i="6"/>
  <c r="DX17" i="6"/>
  <c r="DZ17" i="6" s="1"/>
  <c r="DS17" i="6"/>
  <c r="DL17" i="6"/>
  <c r="DN17" i="6" s="1"/>
  <c r="DG17" i="6"/>
  <c r="DB17" i="6"/>
  <c r="CZ17" i="6"/>
  <c r="CU17" i="6"/>
  <c r="CN17" i="6"/>
  <c r="CP17" i="6" s="1"/>
  <c r="CI17" i="6"/>
  <c r="CB17" i="6"/>
  <c r="CD17" i="6" s="1"/>
  <c r="BW17" i="6"/>
  <c r="BU17" i="6"/>
  <c r="BK17" i="6"/>
  <c r="BH17" i="6"/>
  <c r="AY17" i="6"/>
  <c r="AM17" i="6"/>
  <c r="AJ17" i="6"/>
  <c r="AA17" i="6"/>
  <c r="O17" i="6"/>
  <c r="L17" i="6"/>
  <c r="C17" i="6"/>
  <c r="JX16" i="6"/>
  <c r="JZ16" i="6" s="1"/>
  <c r="JL16" i="6"/>
  <c r="JN16" i="6" s="1"/>
  <c r="JP16" i="6" s="1"/>
  <c r="IZ16" i="6"/>
  <c r="JB16" i="6" s="1"/>
  <c r="JE16" i="6" s="1"/>
  <c r="IN16" i="6"/>
  <c r="IP16" i="6" s="1"/>
  <c r="IR16" i="6" s="1"/>
  <c r="II16" i="6"/>
  <c r="IU16" i="6" s="1"/>
  <c r="JG16" i="6" s="1"/>
  <c r="JS16" i="6" s="1"/>
  <c r="ID16" i="6"/>
  <c r="IB16" i="6"/>
  <c r="HW16" i="6"/>
  <c r="HP16" i="6"/>
  <c r="HR16" i="6" s="1"/>
  <c r="HT16" i="6" s="1"/>
  <c r="HK16" i="6"/>
  <c r="HD16" i="6"/>
  <c r="HF16" i="6" s="1"/>
  <c r="HI16" i="6" s="1"/>
  <c r="GY16" i="6"/>
  <c r="GR16" i="6"/>
  <c r="GT16" i="6" s="1"/>
  <c r="GV16" i="6" s="1"/>
  <c r="GM16" i="6"/>
  <c r="GF16" i="6"/>
  <c r="GH16" i="6" s="1"/>
  <c r="GA16" i="6"/>
  <c r="FT16" i="6"/>
  <c r="FV16" i="6" s="1"/>
  <c r="FO16" i="6"/>
  <c r="FH16" i="6"/>
  <c r="FJ16" i="6" s="1"/>
  <c r="FC16" i="6"/>
  <c r="EX16" i="6"/>
  <c r="EZ16" i="6" s="1"/>
  <c r="EV16" i="6"/>
  <c r="EQ16" i="6"/>
  <c r="EJ16" i="6"/>
  <c r="EL16" i="6" s="1"/>
  <c r="EE16" i="6"/>
  <c r="DX16" i="6"/>
  <c r="DZ16" i="6" s="1"/>
  <c r="DS16" i="6"/>
  <c r="DL16" i="6"/>
  <c r="DN16" i="6" s="1"/>
  <c r="DQ16" i="6" s="1"/>
  <c r="DG16" i="6"/>
  <c r="CZ16" i="6"/>
  <c r="DB16" i="6" s="1"/>
  <c r="DD16" i="6" s="1"/>
  <c r="CU16" i="6"/>
  <c r="CN16" i="6"/>
  <c r="CP16" i="6" s="1"/>
  <c r="CI16" i="6"/>
  <c r="CB16" i="6"/>
  <c r="CD16" i="6" s="1"/>
  <c r="BW16" i="6"/>
  <c r="BK16" i="6"/>
  <c r="AY16" i="6"/>
  <c r="AW16" i="6"/>
  <c r="AM16" i="6"/>
  <c r="AJ16" i="6"/>
  <c r="AA16" i="6"/>
  <c r="O16" i="6"/>
  <c r="C16" i="6"/>
  <c r="JX15" i="6"/>
  <c r="JZ15" i="6" s="1"/>
  <c r="JL15" i="6"/>
  <c r="JN15" i="6" s="1"/>
  <c r="JO15" i="6" s="1"/>
  <c r="IZ15" i="6"/>
  <c r="JB15" i="6" s="1"/>
  <c r="IN15" i="6"/>
  <c r="IP15" i="6" s="1"/>
  <c r="II15" i="6"/>
  <c r="IU15" i="6" s="1"/>
  <c r="JG15" i="6" s="1"/>
  <c r="JS15" i="6" s="1"/>
  <c r="IB15" i="6"/>
  <c r="ID15" i="6" s="1"/>
  <c r="HW15" i="6"/>
  <c r="HP15" i="6"/>
  <c r="HR15" i="6" s="1"/>
  <c r="HT15" i="6" s="1"/>
  <c r="HK15" i="6"/>
  <c r="HD15" i="6"/>
  <c r="HF15" i="6" s="1"/>
  <c r="GY15" i="6"/>
  <c r="GR15" i="6"/>
  <c r="GT15" i="6" s="1"/>
  <c r="GM15" i="6"/>
  <c r="GF15" i="6"/>
  <c r="GH15" i="6" s="1"/>
  <c r="GA15" i="6"/>
  <c r="FT15" i="6"/>
  <c r="FV15" i="6" s="1"/>
  <c r="FO15" i="6"/>
  <c r="FH15" i="6"/>
  <c r="FJ15" i="6" s="1"/>
  <c r="FC15" i="6"/>
  <c r="EV15" i="6"/>
  <c r="EX15" i="6" s="1"/>
  <c r="EQ15" i="6"/>
  <c r="EN15" i="6"/>
  <c r="EJ15" i="6"/>
  <c r="EL15" i="6" s="1"/>
  <c r="EO15" i="6" s="1"/>
  <c r="EE15" i="6"/>
  <c r="DX15" i="6"/>
  <c r="DZ15" i="6" s="1"/>
  <c r="EA15" i="6" s="1"/>
  <c r="DS15" i="6"/>
  <c r="DL15" i="6"/>
  <c r="DN15" i="6" s="1"/>
  <c r="DG15" i="6"/>
  <c r="CZ15" i="6"/>
  <c r="DB15" i="6" s="1"/>
  <c r="CU15" i="6"/>
  <c r="CN15" i="6"/>
  <c r="CP15" i="6" s="1"/>
  <c r="CI15" i="6"/>
  <c r="CB15" i="6"/>
  <c r="CD15" i="6" s="1"/>
  <c r="BW15" i="6"/>
  <c r="BK15" i="6"/>
  <c r="BH15" i="6"/>
  <c r="AY15" i="6"/>
  <c r="AW15" i="6"/>
  <c r="AM15" i="6"/>
  <c r="AJ15" i="6"/>
  <c r="AA15" i="6"/>
  <c r="O15" i="6"/>
  <c r="L15" i="6"/>
  <c r="C15" i="6"/>
  <c r="KC14" i="6"/>
  <c r="JX14" i="6"/>
  <c r="JZ14" i="6" s="1"/>
  <c r="JL14" i="6"/>
  <c r="JN14" i="6" s="1"/>
  <c r="JP14" i="6" s="1"/>
  <c r="IZ14" i="6"/>
  <c r="JB14" i="6" s="1"/>
  <c r="IP14" i="6"/>
  <c r="IR14" i="6" s="1"/>
  <c r="IN14" i="6"/>
  <c r="II14" i="6"/>
  <c r="IU14" i="6" s="1"/>
  <c r="JG14" i="6" s="1"/>
  <c r="JS14" i="6" s="1"/>
  <c r="IB14" i="6"/>
  <c r="ID14" i="6" s="1"/>
  <c r="IG14" i="6" s="1"/>
  <c r="HW14" i="6"/>
  <c r="HP14" i="6"/>
  <c r="HR14" i="6" s="1"/>
  <c r="HT14" i="6" s="1"/>
  <c r="HK14" i="6"/>
  <c r="HD14" i="6"/>
  <c r="HF14" i="6" s="1"/>
  <c r="GY14" i="6"/>
  <c r="GR14" i="6"/>
  <c r="GT14" i="6" s="1"/>
  <c r="GM14" i="6"/>
  <c r="GF14" i="6"/>
  <c r="GH14" i="6" s="1"/>
  <c r="GK14" i="6" s="1"/>
  <c r="GA14" i="6"/>
  <c r="FT14" i="6"/>
  <c r="FV14" i="6" s="1"/>
  <c r="FX14" i="6" s="1"/>
  <c r="FO14" i="6"/>
  <c r="FH14" i="6"/>
  <c r="FJ14" i="6" s="1"/>
  <c r="FC14" i="6"/>
  <c r="EV14" i="6"/>
  <c r="EX14" i="6" s="1"/>
  <c r="EQ14" i="6"/>
  <c r="EO14" i="6"/>
  <c r="EJ14" i="6"/>
  <c r="EL14" i="6" s="1"/>
  <c r="EE14" i="6"/>
  <c r="DX14" i="6"/>
  <c r="DZ14" i="6" s="1"/>
  <c r="EB14" i="6" s="1"/>
  <c r="DS14" i="6"/>
  <c r="DL14" i="6"/>
  <c r="DN14" i="6" s="1"/>
  <c r="DG14" i="6"/>
  <c r="CZ14" i="6"/>
  <c r="DB14" i="6" s="1"/>
  <c r="CU14" i="6"/>
  <c r="CN14" i="6"/>
  <c r="CP14" i="6" s="1"/>
  <c r="CI14" i="6"/>
  <c r="CB14" i="6"/>
  <c r="CD14" i="6" s="1"/>
  <c r="BW14" i="6"/>
  <c r="BK14" i="6"/>
  <c r="BH14" i="6"/>
  <c r="AY14" i="6"/>
  <c r="AM14" i="6"/>
  <c r="AA14" i="6"/>
  <c r="O14" i="6"/>
  <c r="C14" i="6"/>
  <c r="JX13" i="6"/>
  <c r="JZ13" i="6" s="1"/>
  <c r="JL13" i="6"/>
  <c r="JN13" i="6" s="1"/>
  <c r="IZ13" i="6"/>
  <c r="JB13" i="6" s="1"/>
  <c r="IN13" i="6"/>
  <c r="IP13" i="6" s="1"/>
  <c r="II13" i="6"/>
  <c r="IU13" i="6" s="1"/>
  <c r="JG13" i="6" s="1"/>
  <c r="JS13" i="6" s="1"/>
  <c r="IB13" i="6"/>
  <c r="ID13" i="6" s="1"/>
  <c r="HW13" i="6"/>
  <c r="HP13" i="6"/>
  <c r="HR13" i="6" s="1"/>
  <c r="HK13" i="6"/>
  <c r="HD13" i="6"/>
  <c r="HF13" i="6" s="1"/>
  <c r="GY13" i="6"/>
  <c r="GR13" i="6"/>
  <c r="GT13" i="6" s="1"/>
  <c r="GM13" i="6"/>
  <c r="GF13" i="6"/>
  <c r="GH13" i="6" s="1"/>
  <c r="GA13" i="6"/>
  <c r="FV13" i="6"/>
  <c r="FT13" i="6"/>
  <c r="FO13" i="6"/>
  <c r="FH13" i="6"/>
  <c r="FJ13" i="6" s="1"/>
  <c r="FM13" i="6" s="1"/>
  <c r="FC13" i="6"/>
  <c r="EV13" i="6"/>
  <c r="EX13" i="6" s="1"/>
  <c r="EQ13" i="6"/>
  <c r="EJ13" i="6"/>
  <c r="EL13" i="6" s="1"/>
  <c r="EE13" i="6"/>
  <c r="DX13" i="6"/>
  <c r="DZ13" i="6" s="1"/>
  <c r="DS13" i="6"/>
  <c r="DL13" i="6"/>
  <c r="DN13" i="6" s="1"/>
  <c r="DG13" i="6"/>
  <c r="CZ13" i="6"/>
  <c r="DB13" i="6" s="1"/>
  <c r="CU13" i="6"/>
  <c r="CN13" i="6"/>
  <c r="CP13" i="6" s="1"/>
  <c r="CI13" i="6"/>
  <c r="CB13" i="6"/>
  <c r="CD13" i="6" s="1"/>
  <c r="BW13" i="6"/>
  <c r="BU13" i="6"/>
  <c r="BK13" i="6"/>
  <c r="BH13" i="6"/>
  <c r="AY13" i="6"/>
  <c r="AM13" i="6"/>
  <c r="AA13" i="6"/>
  <c r="Y13" i="6"/>
  <c r="O13" i="6"/>
  <c r="L13" i="6"/>
  <c r="C13" i="6"/>
  <c r="JX12" i="6"/>
  <c r="JZ12" i="6" s="1"/>
  <c r="JL12" i="6"/>
  <c r="JN12" i="6" s="1"/>
  <c r="JE12" i="6"/>
  <c r="IZ12" i="6"/>
  <c r="JB12" i="6" s="1"/>
  <c r="IN12" i="6"/>
  <c r="IP12" i="6" s="1"/>
  <c r="IR12" i="6" s="1"/>
  <c r="II12" i="6"/>
  <c r="IU12" i="6" s="1"/>
  <c r="JG12" i="6" s="1"/>
  <c r="JS12" i="6" s="1"/>
  <c r="IB12" i="6"/>
  <c r="ID12" i="6" s="1"/>
  <c r="HW12" i="6"/>
  <c r="HP12" i="6"/>
  <c r="HR12" i="6" s="1"/>
  <c r="HK12" i="6"/>
  <c r="HD12" i="6"/>
  <c r="HF12" i="6" s="1"/>
  <c r="HI12" i="6" s="1"/>
  <c r="GY12" i="6"/>
  <c r="GT12" i="6"/>
  <c r="GV12" i="6" s="1"/>
  <c r="GR12" i="6"/>
  <c r="GM12" i="6"/>
  <c r="GF12" i="6"/>
  <c r="GH12" i="6" s="1"/>
  <c r="GA12" i="6"/>
  <c r="FT12" i="6"/>
  <c r="FV12" i="6" s="1"/>
  <c r="FO12" i="6"/>
  <c r="FH12" i="6"/>
  <c r="FJ12" i="6" s="1"/>
  <c r="FM12" i="6" s="1"/>
  <c r="FC12" i="6"/>
  <c r="EV12" i="6"/>
  <c r="EX12" i="6" s="1"/>
  <c r="EZ12" i="6" s="1"/>
  <c r="EQ12" i="6"/>
  <c r="EJ12" i="6"/>
  <c r="EL12" i="6" s="1"/>
  <c r="EE12" i="6"/>
  <c r="DX12" i="6"/>
  <c r="DZ12" i="6" s="1"/>
  <c r="DS12" i="6"/>
  <c r="DL12" i="6"/>
  <c r="DN12" i="6" s="1"/>
  <c r="DQ12" i="6" s="1"/>
  <c r="DG12" i="6"/>
  <c r="CZ12" i="6"/>
  <c r="DB12" i="6" s="1"/>
  <c r="DD12" i="6" s="1"/>
  <c r="CU12" i="6"/>
  <c r="CN12" i="6"/>
  <c r="CP12" i="6" s="1"/>
  <c r="CI12" i="6"/>
  <c r="CB12" i="6"/>
  <c r="CD12" i="6" s="1"/>
  <c r="BW12" i="6"/>
  <c r="BK12" i="6"/>
  <c r="AY12" i="6"/>
  <c r="AM12" i="6"/>
  <c r="AA12" i="6"/>
  <c r="O12" i="6"/>
  <c r="C12" i="6"/>
  <c r="JX11" i="6"/>
  <c r="JZ11" i="6" s="1"/>
  <c r="JL11" i="6"/>
  <c r="JN11" i="6" s="1"/>
  <c r="IZ11" i="6"/>
  <c r="JB11" i="6" s="1"/>
  <c r="IN11" i="6"/>
  <c r="IP11" i="6" s="1"/>
  <c r="II11" i="6"/>
  <c r="IU11" i="6" s="1"/>
  <c r="JG11" i="6" s="1"/>
  <c r="JS11" i="6" s="1"/>
  <c r="IB11" i="6"/>
  <c r="ID11" i="6" s="1"/>
  <c r="HW11" i="6"/>
  <c r="HP11" i="6"/>
  <c r="HR11" i="6" s="1"/>
  <c r="HK11" i="6"/>
  <c r="HD11" i="6"/>
  <c r="HF11" i="6" s="1"/>
  <c r="GY11" i="6"/>
  <c r="GT11" i="6"/>
  <c r="GR11" i="6"/>
  <c r="GM11" i="6"/>
  <c r="GF11" i="6"/>
  <c r="GH11" i="6" s="1"/>
  <c r="GK11" i="6" s="1"/>
  <c r="GA11" i="6"/>
  <c r="FT11" i="6"/>
  <c r="FV11" i="6" s="1"/>
  <c r="FO11" i="6"/>
  <c r="FH11" i="6"/>
  <c r="FJ11" i="6" s="1"/>
  <c r="FC11" i="6"/>
  <c r="EV11" i="6"/>
  <c r="EX11" i="6" s="1"/>
  <c r="EQ11" i="6"/>
  <c r="EJ11" i="6"/>
  <c r="EL11" i="6" s="1"/>
  <c r="EE11" i="6"/>
  <c r="DX11" i="6"/>
  <c r="DZ11" i="6" s="1"/>
  <c r="DS11" i="6"/>
  <c r="DL11" i="6"/>
  <c r="DN11" i="6" s="1"/>
  <c r="DG11" i="6"/>
  <c r="DB11" i="6"/>
  <c r="CZ11" i="6"/>
  <c r="CU11" i="6"/>
  <c r="CN11" i="6"/>
  <c r="CP11" i="6" s="1"/>
  <c r="CS11" i="6" s="1"/>
  <c r="CI11" i="6"/>
  <c r="CB11" i="6"/>
  <c r="CD11" i="6" s="1"/>
  <c r="BW11" i="6"/>
  <c r="BK11" i="6"/>
  <c r="AY11" i="6"/>
  <c r="AM11" i="6"/>
  <c r="AJ11" i="6"/>
  <c r="AA11" i="6"/>
  <c r="O11" i="6"/>
  <c r="C11" i="6"/>
  <c r="KC10" i="6"/>
  <c r="KB10" i="6"/>
  <c r="JX10" i="6"/>
  <c r="JZ10" i="6" s="1"/>
  <c r="Y9" i="7" s="1"/>
  <c r="JL10" i="6"/>
  <c r="JN10" i="6" s="1"/>
  <c r="JQ10" i="6" s="1"/>
  <c r="IZ10" i="6"/>
  <c r="JB10" i="6" s="1"/>
  <c r="W9" i="7" s="1"/>
  <c r="IN10" i="6"/>
  <c r="IP10" i="6" s="1"/>
  <c r="II10" i="6"/>
  <c r="IU10" i="6" s="1"/>
  <c r="JG10" i="6" s="1"/>
  <c r="JS10" i="6" s="1"/>
  <c r="IB10" i="6"/>
  <c r="ID10" i="6" s="1"/>
  <c r="U9" i="7" s="1"/>
  <c r="HW10" i="6"/>
  <c r="HP10" i="6"/>
  <c r="HR10" i="6" s="1"/>
  <c r="HK10" i="6"/>
  <c r="HD10" i="6"/>
  <c r="HF10" i="6" s="1"/>
  <c r="S9" i="7" s="1"/>
  <c r="GY10" i="6"/>
  <c r="GR10" i="6"/>
  <c r="GT10" i="6" s="1"/>
  <c r="GM10" i="6"/>
  <c r="GF10" i="6"/>
  <c r="GH10" i="6" s="1"/>
  <c r="Q9" i="7" s="1"/>
  <c r="GA10" i="6"/>
  <c r="FT10" i="6"/>
  <c r="FV10" i="6" s="1"/>
  <c r="FO10" i="6"/>
  <c r="FH10" i="6"/>
  <c r="FJ10" i="6" s="1"/>
  <c r="O9" i="7" s="1"/>
  <c r="FC10" i="6"/>
  <c r="EV10" i="6"/>
  <c r="EX10" i="6" s="1"/>
  <c r="EQ10" i="6"/>
  <c r="EM10" i="6"/>
  <c r="EJ10" i="6"/>
  <c r="EL10" i="6" s="1"/>
  <c r="M9" i="7" s="1"/>
  <c r="EE10" i="6"/>
  <c r="DX10" i="6"/>
  <c r="DZ10" i="6" s="1"/>
  <c r="EC10" i="6" s="1"/>
  <c r="DS10" i="6"/>
  <c r="DQ10" i="6"/>
  <c r="DL10" i="6"/>
  <c r="DN10" i="6" s="1"/>
  <c r="K9" i="7" s="1"/>
  <c r="DG10" i="6"/>
  <c r="CZ10" i="6"/>
  <c r="DB10" i="6" s="1"/>
  <c r="CU10" i="6"/>
  <c r="CN10" i="6"/>
  <c r="CP10" i="6" s="1"/>
  <c r="I9" i="7" s="1"/>
  <c r="CI10" i="6"/>
  <c r="CB10" i="6"/>
  <c r="CD10" i="6" s="1"/>
  <c r="H9" i="7" s="1"/>
  <c r="BW10" i="6"/>
  <c r="BK10" i="6"/>
  <c r="AY10" i="6"/>
  <c r="AV10" i="6"/>
  <c r="E9" i="7"/>
  <c r="AM10" i="6"/>
  <c r="AI10" i="6"/>
  <c r="AA10" i="6"/>
  <c r="Y10" i="6"/>
  <c r="O10" i="6"/>
  <c r="C10" i="6"/>
  <c r="JX9" i="6"/>
  <c r="JZ9" i="6" s="1"/>
  <c r="Y8" i="7" s="1"/>
  <c r="JL9" i="6"/>
  <c r="JN9" i="6" s="1"/>
  <c r="JO9" i="6" s="1"/>
  <c r="IZ9" i="6"/>
  <c r="JB9" i="6" s="1"/>
  <c r="W8" i="7" s="1"/>
  <c r="IN9" i="6"/>
  <c r="IP9" i="6" s="1"/>
  <c r="IS9" i="6" s="1"/>
  <c r="II9" i="6"/>
  <c r="IU9" i="6" s="1"/>
  <c r="JG9" i="6" s="1"/>
  <c r="JS9" i="6" s="1"/>
  <c r="IE9" i="6"/>
  <c r="IB9" i="6"/>
  <c r="ID9" i="6" s="1"/>
  <c r="HW9" i="6"/>
  <c r="HP9" i="6"/>
  <c r="HR9" i="6" s="1"/>
  <c r="HS9" i="6" s="1"/>
  <c r="HK9" i="6"/>
  <c r="HD9" i="6"/>
  <c r="HF9" i="6" s="1"/>
  <c r="S8" i="7" s="1"/>
  <c r="GY9" i="6"/>
  <c r="GR9" i="6"/>
  <c r="GT9" i="6" s="1"/>
  <c r="GW9" i="6" s="1"/>
  <c r="GM9" i="6"/>
  <c r="GF9" i="6"/>
  <c r="GH9" i="6" s="1"/>
  <c r="GA9" i="6"/>
  <c r="FT9" i="6"/>
  <c r="FV9" i="6" s="1"/>
  <c r="FW9" i="6" s="1"/>
  <c r="FO9" i="6"/>
  <c r="FH9" i="6"/>
  <c r="FJ9" i="6" s="1"/>
  <c r="O8" i="7" s="1"/>
  <c r="FC9" i="6"/>
  <c r="EV9" i="6"/>
  <c r="EX9" i="6" s="1"/>
  <c r="FA9" i="6" s="1"/>
  <c r="EQ9" i="6"/>
  <c r="EJ9" i="6"/>
  <c r="EL9" i="6" s="1"/>
  <c r="EM9" i="6" s="1"/>
  <c r="EE9" i="6"/>
  <c r="DX9" i="6"/>
  <c r="DZ9" i="6" s="1"/>
  <c r="EA9" i="6" s="1"/>
  <c r="DS9" i="6"/>
  <c r="DL9" i="6"/>
  <c r="DN9" i="6" s="1"/>
  <c r="K8" i="7" s="1"/>
  <c r="DG9" i="6"/>
  <c r="CZ9" i="6"/>
  <c r="DB9" i="6" s="1"/>
  <c r="DE9" i="6" s="1"/>
  <c r="CU9" i="6"/>
  <c r="CN9" i="6"/>
  <c r="CP9" i="6" s="1"/>
  <c r="CQ9" i="6" s="1"/>
  <c r="CI9" i="6"/>
  <c r="CB9" i="6"/>
  <c r="CD9" i="6" s="1"/>
  <c r="CG9" i="6" s="1"/>
  <c r="BW9" i="6"/>
  <c r="BU9" i="6"/>
  <c r="BK9" i="6"/>
  <c r="AY9" i="6"/>
  <c r="E8" i="7"/>
  <c r="AM9" i="6"/>
  <c r="AK9" i="6"/>
  <c r="AA9" i="6"/>
  <c r="Y9" i="6"/>
  <c r="O9" i="6"/>
  <c r="C9" i="6"/>
  <c r="JX8" i="6"/>
  <c r="JZ8" i="6" s="1"/>
  <c r="Y7" i="7" s="1"/>
  <c r="JL8" i="6"/>
  <c r="JN8" i="6" s="1"/>
  <c r="JQ8" i="6" s="1"/>
  <c r="JE8" i="6"/>
  <c r="IZ8" i="6"/>
  <c r="JB8" i="6" s="1"/>
  <c r="W7" i="7" s="1"/>
  <c r="IN8" i="6"/>
  <c r="IP8" i="6" s="1"/>
  <c r="IS8" i="6" s="1"/>
  <c r="II8" i="6"/>
  <c r="IU8" i="6" s="1"/>
  <c r="JG8" i="6" s="1"/>
  <c r="JS8" i="6" s="1"/>
  <c r="IB8" i="6"/>
  <c r="ID8" i="6" s="1"/>
  <c r="IE8" i="6" s="1"/>
  <c r="HW8" i="6"/>
  <c r="HP8" i="6"/>
  <c r="HR8" i="6" s="1"/>
  <c r="HS8" i="6" s="1"/>
  <c r="HK8" i="6"/>
  <c r="HI8" i="6"/>
  <c r="HD8" i="6"/>
  <c r="HF8" i="6" s="1"/>
  <c r="S7" i="7" s="1"/>
  <c r="GY8" i="6"/>
  <c r="GR8" i="6"/>
  <c r="GT8" i="6" s="1"/>
  <c r="GW8" i="6" s="1"/>
  <c r="GM8" i="6"/>
  <c r="GF8" i="6"/>
  <c r="GH8" i="6" s="1"/>
  <c r="GI8" i="6" s="1"/>
  <c r="GA8" i="6"/>
  <c r="FT8" i="6"/>
  <c r="FV8" i="6" s="1"/>
  <c r="FW8" i="6" s="1"/>
  <c r="FO8" i="6"/>
  <c r="FH8" i="6"/>
  <c r="FJ8" i="6" s="1"/>
  <c r="O7" i="7" s="1"/>
  <c r="FC8" i="6"/>
  <c r="EV8" i="6"/>
  <c r="EX8" i="6" s="1"/>
  <c r="FA8" i="6" s="1"/>
  <c r="EQ8" i="6"/>
  <c r="EJ8" i="6"/>
  <c r="EL8" i="6" s="1"/>
  <c r="EE8" i="6"/>
  <c r="DX8" i="6"/>
  <c r="DZ8" i="6" s="1"/>
  <c r="EA8" i="6" s="1"/>
  <c r="DS8" i="6"/>
  <c r="DL8" i="6"/>
  <c r="DN8" i="6" s="1"/>
  <c r="K7" i="7" s="1"/>
  <c r="DG8" i="6"/>
  <c r="CZ8" i="6"/>
  <c r="DB8" i="6" s="1"/>
  <c r="DE8" i="6" s="1"/>
  <c r="CU8" i="6"/>
  <c r="CQ8" i="6"/>
  <c r="CN8" i="6"/>
  <c r="CP8" i="6" s="1"/>
  <c r="CI8" i="6"/>
  <c r="CB8" i="6"/>
  <c r="CD8" i="6" s="1"/>
  <c r="H7" i="7" s="1"/>
  <c r="BW8" i="6"/>
  <c r="BU8" i="6"/>
  <c r="BK8" i="6"/>
  <c r="AY8" i="6"/>
  <c r="E7" i="7"/>
  <c r="AM8" i="6"/>
  <c r="AK8" i="6"/>
  <c r="AI8" i="6"/>
  <c r="AA8" i="6"/>
  <c r="Y8" i="6"/>
  <c r="O8" i="6"/>
  <c r="C8" i="6"/>
  <c r="JX7" i="6"/>
  <c r="JZ7" i="6" s="1"/>
  <c r="KB7" i="6" s="1"/>
  <c r="JL7" i="6"/>
  <c r="JN7" i="6" s="1"/>
  <c r="IZ7" i="6"/>
  <c r="JB7" i="6" s="1"/>
  <c r="IN7" i="6"/>
  <c r="IP7" i="6" s="1"/>
  <c r="II7" i="6"/>
  <c r="IU7" i="6" s="1"/>
  <c r="JG7" i="6" s="1"/>
  <c r="JS7" i="6" s="1"/>
  <c r="IB7" i="6"/>
  <c r="ID7" i="6" s="1"/>
  <c r="IE7" i="6" s="1"/>
  <c r="HW7" i="6"/>
  <c r="HP7" i="6"/>
  <c r="HR7" i="6" s="1"/>
  <c r="HK7" i="6"/>
  <c r="HD7" i="6"/>
  <c r="HF7" i="6" s="1"/>
  <c r="HG7" i="6" s="1"/>
  <c r="GY7" i="6"/>
  <c r="GR7" i="6"/>
  <c r="GT7" i="6" s="1"/>
  <c r="GM7" i="6"/>
  <c r="GF7" i="6"/>
  <c r="GH7" i="6" s="1"/>
  <c r="GI7" i="6" s="1"/>
  <c r="GA7" i="6"/>
  <c r="FT7" i="6"/>
  <c r="FV7" i="6" s="1"/>
  <c r="FO7" i="6"/>
  <c r="FH7" i="6"/>
  <c r="FJ7" i="6" s="1"/>
  <c r="FC7" i="6"/>
  <c r="EV7" i="6"/>
  <c r="EX7" i="6" s="1"/>
  <c r="EQ7" i="6"/>
  <c r="EJ7" i="6"/>
  <c r="EL7" i="6" s="1"/>
  <c r="EE7" i="6"/>
  <c r="DX7" i="6"/>
  <c r="DZ7" i="6" s="1"/>
  <c r="DS7" i="6"/>
  <c r="DL7" i="6"/>
  <c r="DN7" i="6" s="1"/>
  <c r="DG7" i="6"/>
  <c r="CZ7" i="6"/>
  <c r="DB7" i="6" s="1"/>
  <c r="CU7" i="6"/>
  <c r="CN7" i="6"/>
  <c r="CP7" i="6" s="1"/>
  <c r="CQ7" i="6" s="1"/>
  <c r="CI7" i="6"/>
  <c r="CB7" i="6"/>
  <c r="CD7" i="6" s="1"/>
  <c r="CG7" i="6" s="1"/>
  <c r="BW7" i="6"/>
  <c r="BT7" i="6"/>
  <c r="BK7" i="6"/>
  <c r="AY7" i="6"/>
  <c r="AV7" i="6"/>
  <c r="AM7" i="6"/>
  <c r="AK7" i="6"/>
  <c r="AA7" i="6"/>
  <c r="W7" i="6"/>
  <c r="O7" i="6"/>
  <c r="M7" i="6"/>
  <c r="C7" i="6"/>
  <c r="KB6" i="6"/>
  <c r="KA6" i="6"/>
  <c r="JX6" i="6"/>
  <c r="JZ6" i="6" s="1"/>
  <c r="JL6" i="6"/>
  <c r="JN6" i="6" s="1"/>
  <c r="JQ6" i="6" s="1"/>
  <c r="IZ6" i="6"/>
  <c r="JB6" i="6" s="1"/>
  <c r="IN6" i="6"/>
  <c r="IP6" i="6" s="1"/>
  <c r="II6" i="6"/>
  <c r="IU6" i="6" s="1"/>
  <c r="JG6" i="6" s="1"/>
  <c r="JS6" i="6" s="1"/>
  <c r="IB6" i="6"/>
  <c r="ID6" i="6" s="1"/>
  <c r="IF6" i="6" s="1"/>
  <c r="HW6" i="6"/>
  <c r="HP6" i="6"/>
  <c r="HR6" i="6" s="1"/>
  <c r="HK6" i="6"/>
  <c r="HD6" i="6"/>
  <c r="HF6" i="6" s="1"/>
  <c r="HH6" i="6" s="1"/>
  <c r="GY6" i="6"/>
  <c r="GR6" i="6"/>
  <c r="GT6" i="6" s="1"/>
  <c r="GM6" i="6"/>
  <c r="GF6" i="6"/>
  <c r="GH6" i="6" s="1"/>
  <c r="GA6" i="6"/>
  <c r="FT6" i="6"/>
  <c r="FV6" i="6" s="1"/>
  <c r="FO6" i="6"/>
  <c r="FH6" i="6"/>
  <c r="FJ6" i="6" s="1"/>
  <c r="FL6" i="6" s="1"/>
  <c r="FC6" i="6"/>
  <c r="EV6" i="6"/>
  <c r="EX6" i="6" s="1"/>
  <c r="EQ6" i="6"/>
  <c r="EJ6" i="6"/>
  <c r="EL6" i="6" s="1"/>
  <c r="EN6" i="6" s="1"/>
  <c r="EE6" i="6"/>
  <c r="DX6" i="6"/>
  <c r="DZ6" i="6" s="1"/>
  <c r="DS6" i="6"/>
  <c r="DL6" i="6"/>
  <c r="DN6" i="6" s="1"/>
  <c r="DG6" i="6"/>
  <c r="CZ6" i="6"/>
  <c r="DB6" i="6" s="1"/>
  <c r="DE6" i="6" s="1"/>
  <c r="CU6" i="6"/>
  <c r="CN6" i="6"/>
  <c r="CP6" i="6" s="1"/>
  <c r="I5" i="7" s="1"/>
  <c r="CI6" i="6"/>
  <c r="CB6" i="6"/>
  <c r="CD6" i="6" s="1"/>
  <c r="H5" i="7" s="1"/>
  <c r="BW6" i="6"/>
  <c r="BT6" i="6"/>
  <c r="G5" i="7"/>
  <c r="BK6" i="6"/>
  <c r="AY6" i="6"/>
  <c r="E5" i="7"/>
  <c r="AM6" i="6"/>
  <c r="AA6" i="6"/>
  <c r="C5" i="7"/>
  <c r="O6" i="6"/>
  <c r="M6" i="6"/>
  <c r="C6" i="6"/>
  <c r="JX5" i="6"/>
  <c r="JZ5" i="6" s="1"/>
  <c r="Y4" i="7" s="1"/>
  <c r="JL5" i="6"/>
  <c r="JN5" i="6" s="1"/>
  <c r="IZ5" i="6"/>
  <c r="JB5" i="6" s="1"/>
  <c r="W4" i="7" s="1"/>
  <c r="IN5" i="6"/>
  <c r="IP5" i="6" s="1"/>
  <c r="IS5" i="6" s="1"/>
  <c r="II5" i="6"/>
  <c r="IU5" i="6" s="1"/>
  <c r="JG5" i="6" s="1"/>
  <c r="JS5" i="6" s="1"/>
  <c r="IF5" i="6"/>
  <c r="IB5" i="6"/>
  <c r="ID5" i="6" s="1"/>
  <c r="U4" i="7" s="1"/>
  <c r="HW5" i="6"/>
  <c r="HP5" i="6"/>
  <c r="HR5" i="6" s="1"/>
  <c r="HK5" i="6"/>
  <c r="HD5" i="6"/>
  <c r="HF5" i="6" s="1"/>
  <c r="S4" i="7" s="1"/>
  <c r="GY5" i="6"/>
  <c r="GR5" i="6"/>
  <c r="GT5" i="6" s="1"/>
  <c r="GM5" i="6"/>
  <c r="GK5" i="6"/>
  <c r="GI5" i="6"/>
  <c r="GF5" i="6"/>
  <c r="GH5" i="6" s="1"/>
  <c r="Q4" i="7" s="1"/>
  <c r="GA5" i="6"/>
  <c r="FT5" i="6"/>
  <c r="FV5" i="6" s="1"/>
  <c r="FO5" i="6"/>
  <c r="FH5" i="6"/>
  <c r="FJ5" i="6" s="1"/>
  <c r="O4" i="7" s="1"/>
  <c r="FC5" i="6"/>
  <c r="EV5" i="6"/>
  <c r="EX5" i="6" s="1"/>
  <c r="FA5" i="6" s="1"/>
  <c r="EQ5" i="6"/>
  <c r="EJ5" i="6"/>
  <c r="EL5" i="6" s="1"/>
  <c r="M4" i="7" s="1"/>
  <c r="EE5" i="6"/>
  <c r="DX5" i="6"/>
  <c r="DZ5" i="6" s="1"/>
  <c r="DS5" i="6"/>
  <c r="DL5" i="6"/>
  <c r="DN5" i="6" s="1"/>
  <c r="K4" i="7" s="1"/>
  <c r="DG5" i="6"/>
  <c r="CZ5" i="6"/>
  <c r="DB5" i="6" s="1"/>
  <c r="DC5" i="6" s="1"/>
  <c r="CU5" i="6"/>
  <c r="CS5" i="6"/>
  <c r="CR5" i="6"/>
  <c r="CQ5" i="6"/>
  <c r="CN5" i="6"/>
  <c r="CP5" i="6" s="1"/>
  <c r="I4" i="7" s="1"/>
  <c r="CI5" i="6"/>
  <c r="CB5" i="6"/>
  <c r="CD5" i="6" s="1"/>
  <c r="CG5" i="6" s="1"/>
  <c r="BW5" i="6"/>
  <c r="G4" i="7"/>
  <c r="BK5" i="6"/>
  <c r="AY5" i="6"/>
  <c r="E4" i="7"/>
  <c r="AM5" i="6"/>
  <c r="AA5" i="6"/>
  <c r="W5" i="6"/>
  <c r="C4" i="7"/>
  <c r="O5" i="6"/>
  <c r="C5" i="6"/>
  <c r="JX4" i="6"/>
  <c r="JZ4" i="6" s="1"/>
  <c r="Y3" i="7" s="1"/>
  <c r="JL4" i="6"/>
  <c r="JN4" i="6" s="1"/>
  <c r="IZ4" i="6"/>
  <c r="JB4" i="6" s="1"/>
  <c r="W3" i="7" s="1"/>
  <c r="IN4" i="6"/>
  <c r="IP4" i="6" s="1"/>
  <c r="II4" i="6"/>
  <c r="IU4" i="6" s="1"/>
  <c r="JG4" i="6" s="1"/>
  <c r="JS4" i="6" s="1"/>
  <c r="IG4" i="6"/>
  <c r="IB4" i="6"/>
  <c r="ID4" i="6" s="1"/>
  <c r="U3" i="7" s="1"/>
  <c r="HW4" i="6"/>
  <c r="HP4" i="6"/>
  <c r="HR4" i="6" s="1"/>
  <c r="HK4" i="6"/>
  <c r="HD4" i="6"/>
  <c r="HF4" i="6" s="1"/>
  <c r="S3" i="7" s="1"/>
  <c r="GY4" i="6"/>
  <c r="GT4" i="6"/>
  <c r="GR4" i="6"/>
  <c r="GM4" i="6"/>
  <c r="GJ4" i="6"/>
  <c r="GF4" i="6"/>
  <c r="GH4" i="6" s="1"/>
  <c r="Q3" i="7" s="1"/>
  <c r="GA4" i="6"/>
  <c r="FT4" i="6"/>
  <c r="FV4" i="6" s="1"/>
  <c r="FO4" i="6"/>
  <c r="FH4" i="6"/>
  <c r="FJ4" i="6" s="1"/>
  <c r="O3" i="7" s="1"/>
  <c r="FC4" i="6"/>
  <c r="EV4" i="6"/>
  <c r="EX4" i="6" s="1"/>
  <c r="EQ4" i="6"/>
  <c r="EJ4" i="6"/>
  <c r="EL4" i="6" s="1"/>
  <c r="EE4" i="6"/>
  <c r="DX4" i="6"/>
  <c r="DZ4" i="6" s="1"/>
  <c r="DS4" i="6"/>
  <c r="DL4" i="6"/>
  <c r="DN4" i="6" s="1"/>
  <c r="DG4" i="6"/>
  <c r="CZ4" i="6"/>
  <c r="DB4" i="6" s="1"/>
  <c r="J3" i="7" s="1"/>
  <c r="CU4" i="6"/>
  <c r="CN4" i="6"/>
  <c r="CP4" i="6" s="1"/>
  <c r="CI4" i="6"/>
  <c r="CB4" i="6"/>
  <c r="CD4" i="6" s="1"/>
  <c r="H3" i="7" s="1"/>
  <c r="BW4" i="6"/>
  <c r="BK4" i="6"/>
  <c r="AY4" i="6"/>
  <c r="AM4" i="6"/>
  <c r="AA4" i="6"/>
  <c r="O4" i="6"/>
  <c r="C4" i="6"/>
  <c r="JX3" i="6"/>
  <c r="F51" i="9" s="1"/>
  <c r="JL3" i="6"/>
  <c r="F50" i="9" s="1"/>
  <c r="IZ3" i="6"/>
  <c r="F49" i="9" s="1"/>
  <c r="IN3" i="6"/>
  <c r="F48" i="9" s="1"/>
  <c r="II3" i="6"/>
  <c r="IU3" i="6" s="1"/>
  <c r="JG3" i="6" s="1"/>
  <c r="JS3" i="6" s="1"/>
  <c r="IB3" i="6"/>
  <c r="F47" i="9" s="1"/>
  <c r="HW3" i="6"/>
  <c r="HP3" i="6"/>
  <c r="F46" i="9" s="1"/>
  <c r="HK3" i="6"/>
  <c r="HD3" i="6"/>
  <c r="F45" i="9" s="1"/>
  <c r="GY3" i="6"/>
  <c r="GR3" i="6"/>
  <c r="F44" i="9" s="1"/>
  <c r="GM3" i="6"/>
  <c r="GF3" i="6"/>
  <c r="F43" i="9" s="1"/>
  <c r="GA3" i="6"/>
  <c r="FT3" i="6"/>
  <c r="F42" i="9" s="1"/>
  <c r="FO3" i="6"/>
  <c r="FH3" i="6"/>
  <c r="F41" i="9" s="1"/>
  <c r="FC3" i="6"/>
  <c r="EX3" i="6"/>
  <c r="FA3" i="6" s="1"/>
  <c r="EV3" i="6"/>
  <c r="F40" i="9" s="1"/>
  <c r="EQ3" i="6"/>
  <c r="EJ3" i="6"/>
  <c r="F39" i="9" s="1"/>
  <c r="EE3" i="6"/>
  <c r="DX3" i="6"/>
  <c r="F38" i="9" s="1"/>
  <c r="DS3" i="6"/>
  <c r="DL3" i="6"/>
  <c r="F37" i="9" s="1"/>
  <c r="DG3" i="6"/>
  <c r="CZ3" i="6"/>
  <c r="F36" i="9" s="1"/>
  <c r="CU3" i="6"/>
  <c r="CN3" i="6"/>
  <c r="F35" i="9" s="1"/>
  <c r="CI3" i="6"/>
  <c r="CB3" i="6"/>
  <c r="F34" i="9" s="1"/>
  <c r="BW3" i="6"/>
  <c r="F33" i="9"/>
  <c r="BK3" i="6"/>
  <c r="F32" i="9"/>
  <c r="AY3" i="6"/>
  <c r="F31" i="9"/>
  <c r="AM3" i="6"/>
  <c r="F30" i="9"/>
  <c r="AA3" i="6"/>
  <c r="F29" i="9"/>
  <c r="O3" i="6"/>
  <c r="C3" i="6"/>
  <c r="B28" i="9" s="1"/>
  <c r="I53" i="2"/>
  <c r="L53" i="2" s="1"/>
  <c r="G53" i="2"/>
  <c r="K52" i="2"/>
  <c r="J52" i="2"/>
  <c r="I52" i="2"/>
  <c r="L52" i="2" s="1"/>
  <c r="G52" i="2"/>
  <c r="G51" i="2"/>
  <c r="I51" i="2" s="1"/>
  <c r="G50" i="2"/>
  <c r="I50" i="2" s="1"/>
  <c r="I49" i="2"/>
  <c r="L49" i="2" s="1"/>
  <c r="G49" i="2"/>
  <c r="K48" i="2"/>
  <c r="J48" i="2"/>
  <c r="I48" i="2"/>
  <c r="L48" i="2" s="1"/>
  <c r="G48" i="2"/>
  <c r="G47" i="2"/>
  <c r="I47" i="2" s="1"/>
  <c r="G46" i="2"/>
  <c r="I46" i="2" s="1"/>
  <c r="I45" i="2"/>
  <c r="L45" i="2" s="1"/>
  <c r="G45" i="2"/>
  <c r="G44" i="2"/>
  <c r="I44" i="2" s="1"/>
  <c r="G43" i="2"/>
  <c r="I43" i="2" s="1"/>
  <c r="G42" i="2"/>
  <c r="I42" i="2" s="1"/>
  <c r="I41" i="2"/>
  <c r="L41" i="2" s="1"/>
  <c r="G41" i="2"/>
  <c r="G40" i="2"/>
  <c r="I40" i="2" s="1"/>
  <c r="G39" i="2"/>
  <c r="I39" i="2" s="1"/>
  <c r="G38" i="2"/>
  <c r="I38" i="2" s="1"/>
  <c r="I37" i="2"/>
  <c r="L37" i="2" s="1"/>
  <c r="G37" i="2"/>
  <c r="K36" i="2"/>
  <c r="J36" i="2"/>
  <c r="I36" i="2"/>
  <c r="L36" i="2" s="1"/>
  <c r="G36" i="2"/>
  <c r="G35" i="2"/>
  <c r="I35" i="2" s="1"/>
  <c r="G34" i="2"/>
  <c r="I34" i="2" s="1"/>
  <c r="I33" i="2"/>
  <c r="L33" i="2" s="1"/>
  <c r="G33" i="2"/>
  <c r="K32" i="2"/>
  <c r="J32" i="2"/>
  <c r="I32" i="2"/>
  <c r="L32" i="2" s="1"/>
  <c r="G32" i="2"/>
  <c r="G31" i="2"/>
  <c r="I31" i="2" s="1"/>
  <c r="G30" i="2"/>
  <c r="I30" i="2" s="1"/>
  <c r="I29" i="2"/>
  <c r="L29" i="2" s="1"/>
  <c r="G29" i="2"/>
  <c r="K28" i="2"/>
  <c r="J28" i="2"/>
  <c r="I28" i="2"/>
  <c r="L28" i="2" s="1"/>
  <c r="G28" i="2"/>
  <c r="G27" i="2"/>
  <c r="I27" i="2" s="1"/>
  <c r="G26" i="2"/>
  <c r="I26" i="2" s="1"/>
  <c r="I25" i="2"/>
  <c r="L25" i="2" s="1"/>
  <c r="G25" i="2"/>
  <c r="K24" i="2"/>
  <c r="J24" i="2"/>
  <c r="I24" i="2"/>
  <c r="L24" i="2" s="1"/>
  <c r="G24" i="2"/>
  <c r="G23" i="2"/>
  <c r="I23" i="2" s="1"/>
  <c r="G22" i="2"/>
  <c r="I22" i="2" s="1"/>
  <c r="I21" i="2"/>
  <c r="L21" i="2" s="1"/>
  <c r="G21" i="2"/>
  <c r="K20" i="2"/>
  <c r="J20" i="2"/>
  <c r="I20" i="2"/>
  <c r="L20" i="2" s="1"/>
  <c r="G20" i="2"/>
  <c r="G19" i="2"/>
  <c r="I19" i="2" s="1"/>
  <c r="G18" i="2"/>
  <c r="I18" i="2" s="1"/>
  <c r="I17" i="2"/>
  <c r="L17" i="2" s="1"/>
  <c r="G17" i="2"/>
  <c r="K16" i="2"/>
  <c r="J16" i="2"/>
  <c r="I16" i="2"/>
  <c r="L16" i="2" s="1"/>
  <c r="G16" i="2"/>
  <c r="G15" i="2"/>
  <c r="I15" i="2" s="1"/>
  <c r="G14" i="2"/>
  <c r="I14" i="2" s="1"/>
  <c r="I13" i="2"/>
  <c r="L13" i="2" s="1"/>
  <c r="G13" i="2"/>
  <c r="K12" i="2"/>
  <c r="J12" i="2"/>
  <c r="I12" i="2"/>
  <c r="L12" i="2" s="1"/>
  <c r="G12" i="2"/>
  <c r="G11" i="2"/>
  <c r="I11" i="2" s="1"/>
  <c r="G10" i="2"/>
  <c r="I10" i="2" s="1"/>
  <c r="I9" i="2"/>
  <c r="L9" i="2" s="1"/>
  <c r="G9" i="2"/>
  <c r="K8" i="2"/>
  <c r="J8" i="2"/>
  <c r="I8" i="2"/>
  <c r="L8" i="2" s="1"/>
  <c r="G8" i="2"/>
  <c r="G7" i="2"/>
  <c r="I7" i="2" s="1"/>
  <c r="G6" i="2"/>
  <c r="I6" i="2" s="1"/>
  <c r="I5" i="2"/>
  <c r="L5" i="2" s="1"/>
  <c r="G5" i="2"/>
  <c r="K4" i="2"/>
  <c r="J4" i="2"/>
  <c r="I4" i="2"/>
  <c r="L4" i="2" s="1"/>
  <c r="G4" i="2"/>
  <c r="FX15" i="6" l="1"/>
  <c r="FW15" i="6"/>
  <c r="AW27" i="6"/>
  <c r="AV27" i="6"/>
  <c r="BH26" i="6"/>
  <c r="BG26" i="6"/>
  <c r="JP26" i="6"/>
  <c r="JO26" i="6"/>
  <c r="AK3" i="6"/>
  <c r="K30" i="9" s="1"/>
  <c r="GK4" i="6"/>
  <c r="X5" i="6"/>
  <c r="EM5" i="6"/>
  <c r="GJ5" i="6"/>
  <c r="IG5" i="6"/>
  <c r="X7" i="6"/>
  <c r="AV8" i="6"/>
  <c r="DP9" i="6"/>
  <c r="AK10" i="6"/>
  <c r="AW10" i="6"/>
  <c r="EA19" i="6"/>
  <c r="EB21" i="6"/>
  <c r="JP22" i="6"/>
  <c r="IR23" i="6"/>
  <c r="AJ24" i="6"/>
  <c r="AI25" i="6"/>
  <c r="GJ26" i="6"/>
  <c r="IF26" i="6"/>
  <c r="FX27" i="6"/>
  <c r="GJ27" i="6"/>
  <c r="F28" i="9"/>
  <c r="G28" i="9"/>
  <c r="AW8" i="6"/>
  <c r="EN5" i="6"/>
  <c r="DQ9" i="6"/>
  <c r="IP3" i="6"/>
  <c r="IS3" i="6" s="1"/>
  <c r="K48" i="9" s="1"/>
  <c r="IF4" i="6"/>
  <c r="KC4" i="6"/>
  <c r="EO5" i="6"/>
  <c r="IE5" i="6"/>
  <c r="DP10" i="6"/>
  <c r="JE10" i="6"/>
  <c r="IR17" i="6"/>
  <c r="K22" i="6"/>
  <c r="GU25" i="6"/>
  <c r="KB26" i="6"/>
  <c r="CS53" i="6"/>
  <c r="AJ59" i="6"/>
  <c r="BH58" i="6"/>
  <c r="KC11" i="6"/>
  <c r="KB11" i="6"/>
  <c r="L21" i="7"/>
  <c r="EB22" i="6"/>
  <c r="EA22" i="6"/>
  <c r="K5" i="6"/>
  <c r="M5" i="6"/>
  <c r="BG6" i="6"/>
  <c r="BI6" i="6"/>
  <c r="Y14" i="6"/>
  <c r="X14" i="6"/>
  <c r="EO11" i="6"/>
  <c r="EN11" i="6"/>
  <c r="HT11" i="6"/>
  <c r="HS11" i="6"/>
  <c r="DQ13" i="6"/>
  <c r="DP13" i="6"/>
  <c r="GV13" i="6"/>
  <c r="GU13" i="6"/>
  <c r="IQ13" i="6"/>
  <c r="IR13" i="6"/>
  <c r="BU14" i="6"/>
  <c r="BT14" i="6"/>
  <c r="EZ14" i="6"/>
  <c r="EY14" i="6"/>
  <c r="CS15" i="6"/>
  <c r="CR15" i="6"/>
  <c r="GK15" i="6"/>
  <c r="GJ15" i="6"/>
  <c r="GV17" i="6"/>
  <c r="GU17" i="6"/>
  <c r="D20" i="7"/>
  <c r="AJ21" i="6"/>
  <c r="AI21" i="6"/>
  <c r="R22" i="7"/>
  <c r="GV23" i="6"/>
  <c r="GU23" i="6"/>
  <c r="N3" i="7"/>
  <c r="EY4" i="6"/>
  <c r="EZ4" i="6"/>
  <c r="AW12" i="6"/>
  <c r="AV12" i="6"/>
  <c r="BI5" i="6"/>
  <c r="BG5" i="6"/>
  <c r="BH11" i="6"/>
  <c r="BG11" i="6"/>
  <c r="B3" i="7"/>
  <c r="L4" i="6"/>
  <c r="K4" i="6"/>
  <c r="D3" i="7"/>
  <c r="AI4" i="6"/>
  <c r="AJ4" i="6"/>
  <c r="F3" i="7"/>
  <c r="BH4" i="6"/>
  <c r="BG4" i="6"/>
  <c r="AI12" i="6"/>
  <c r="AJ12" i="6"/>
  <c r="EB12" i="6"/>
  <c r="EA12" i="6"/>
  <c r="FX12" i="6"/>
  <c r="FW12" i="6"/>
  <c r="JP12" i="6"/>
  <c r="JO12" i="6"/>
  <c r="JE13" i="6"/>
  <c r="JD13" i="6"/>
  <c r="K14" i="6"/>
  <c r="L14" i="6"/>
  <c r="EB16" i="6"/>
  <c r="EA16" i="6"/>
  <c r="BU18" i="6"/>
  <c r="BT18" i="6"/>
  <c r="AJ20" i="6"/>
  <c r="AI20" i="6"/>
  <c r="R20" i="7"/>
  <c r="GV21" i="6"/>
  <c r="GU21" i="6"/>
  <c r="L3" i="7"/>
  <c r="EB4" i="6"/>
  <c r="EA4" i="6"/>
  <c r="FY10" i="6"/>
  <c r="FW10" i="6"/>
  <c r="HU10" i="6"/>
  <c r="HS10" i="6"/>
  <c r="EB11" i="6"/>
  <c r="EA11" i="6"/>
  <c r="FW11" i="6"/>
  <c r="FX11" i="6"/>
  <c r="IG11" i="6"/>
  <c r="IF11" i="6"/>
  <c r="JP11" i="6"/>
  <c r="JO11" i="6"/>
  <c r="HT12" i="6"/>
  <c r="HS12" i="6"/>
  <c r="AJ13" i="6"/>
  <c r="AI13" i="6"/>
  <c r="DD13" i="6"/>
  <c r="DC13" i="6"/>
  <c r="EZ13" i="6"/>
  <c r="EY13" i="6"/>
  <c r="HI13" i="6"/>
  <c r="HH13" i="6"/>
  <c r="DD14" i="6"/>
  <c r="DC14" i="6"/>
  <c r="BH19" i="6"/>
  <c r="BG19" i="6"/>
  <c r="FX19" i="6"/>
  <c r="FW19" i="6"/>
  <c r="L19" i="7"/>
  <c r="EB20" i="6"/>
  <c r="EA20" i="6"/>
  <c r="F21" i="7"/>
  <c r="BH22" i="6"/>
  <c r="BG22" i="6"/>
  <c r="J20" i="7"/>
  <c r="DC21" i="6"/>
  <c r="R21" i="7"/>
  <c r="GV22" i="6"/>
  <c r="GU22" i="6"/>
  <c r="B23" i="7"/>
  <c r="K24" i="6"/>
  <c r="P23" i="7"/>
  <c r="FW24" i="6"/>
  <c r="HR3" i="6"/>
  <c r="HS22" i="6" s="1"/>
  <c r="JN3" i="6"/>
  <c r="H50" i="9" s="1"/>
  <c r="DC4" i="6"/>
  <c r="W6" i="6"/>
  <c r="KA8" i="6"/>
  <c r="AU9" i="6"/>
  <c r="HH9" i="6"/>
  <c r="EA10" i="6"/>
  <c r="FL10" i="6"/>
  <c r="GI10" i="6"/>
  <c r="GJ11" i="6"/>
  <c r="BG15" i="6"/>
  <c r="EB15" i="6"/>
  <c r="JP15" i="6"/>
  <c r="AI16" i="6"/>
  <c r="FX16" i="6"/>
  <c r="FW16" i="6"/>
  <c r="HS16" i="6"/>
  <c r="EY17" i="6"/>
  <c r="GV18" i="6"/>
  <c r="GU18" i="6"/>
  <c r="IQ18" i="6"/>
  <c r="K19" i="6"/>
  <c r="CS19" i="6"/>
  <c r="CR19" i="6"/>
  <c r="EN19" i="6"/>
  <c r="IQ20" i="6"/>
  <c r="X19" i="7"/>
  <c r="JP20" i="6"/>
  <c r="B20" i="7"/>
  <c r="K21" i="6"/>
  <c r="DD21" i="6"/>
  <c r="T20" i="7"/>
  <c r="HS21" i="6"/>
  <c r="D21" i="7"/>
  <c r="AI22" i="6"/>
  <c r="N21" i="7"/>
  <c r="EY22" i="6"/>
  <c r="V21" i="7"/>
  <c r="IR22" i="6"/>
  <c r="K23" i="6"/>
  <c r="F22" i="7"/>
  <c r="BG23" i="6"/>
  <c r="N22" i="7"/>
  <c r="EZ23" i="6"/>
  <c r="L24" i="6"/>
  <c r="L23" i="7"/>
  <c r="EB24" i="6"/>
  <c r="FX24" i="6"/>
  <c r="X23" i="7"/>
  <c r="JO24" i="6"/>
  <c r="CS26" i="6"/>
  <c r="EB26" i="6"/>
  <c r="EA26" i="6"/>
  <c r="AJ27" i="6"/>
  <c r="GV14" i="6"/>
  <c r="GU14" i="6"/>
  <c r="IG15" i="6"/>
  <c r="IF15" i="6"/>
  <c r="AW20" i="6"/>
  <c r="AV20" i="6"/>
  <c r="J19" i="7"/>
  <c r="DD20" i="6"/>
  <c r="DC20" i="6"/>
  <c r="R19" i="7"/>
  <c r="GV20" i="6"/>
  <c r="L22" i="7"/>
  <c r="EB23" i="6"/>
  <c r="EA23" i="6"/>
  <c r="X22" i="7"/>
  <c r="JP23" i="6"/>
  <c r="IR25" i="6"/>
  <c r="IQ25" i="6"/>
  <c r="AI3" i="6"/>
  <c r="I30" i="9" s="1"/>
  <c r="DZ3" i="6"/>
  <c r="EY3" i="6"/>
  <c r="I40" i="9" s="1"/>
  <c r="IQ3" i="6"/>
  <c r="I48" i="9" s="1"/>
  <c r="KC5" i="6"/>
  <c r="K6" i="6"/>
  <c r="CQ6" i="6"/>
  <c r="BS7" i="6"/>
  <c r="FL9" i="6"/>
  <c r="JD9" i="6"/>
  <c r="KA9" i="6"/>
  <c r="CR11" i="6"/>
  <c r="BG14" i="6"/>
  <c r="EZ3" i="6"/>
  <c r="J40" i="9" s="1"/>
  <c r="GT3" i="6"/>
  <c r="R2" i="7" s="1"/>
  <c r="IR3" i="6"/>
  <c r="J48" i="9" s="1"/>
  <c r="DD4" i="6"/>
  <c r="AW5" i="6"/>
  <c r="BS5" i="6"/>
  <c r="X6" i="6"/>
  <c r="CR6" i="6"/>
  <c r="AU7" i="6"/>
  <c r="DP8" i="6"/>
  <c r="FL8" i="6"/>
  <c r="JO8" i="6"/>
  <c r="KB8" i="6"/>
  <c r="AV9" i="6"/>
  <c r="FM9" i="6"/>
  <c r="HI9" i="6"/>
  <c r="JE9" i="6"/>
  <c r="KB9" i="6"/>
  <c r="FM10" i="6"/>
  <c r="HH10" i="6"/>
  <c r="IE10" i="6"/>
  <c r="IQ14" i="6"/>
  <c r="KC15" i="6"/>
  <c r="KB15" i="6"/>
  <c r="AV16" i="6"/>
  <c r="JO16" i="6"/>
  <c r="DQ17" i="6"/>
  <c r="DP17" i="6"/>
  <c r="FL17" i="6"/>
  <c r="JD17" i="6"/>
  <c r="X18" i="6"/>
  <c r="BG18" i="6"/>
  <c r="HS19" i="6"/>
  <c r="KB19" i="6"/>
  <c r="N19" i="7"/>
  <c r="EZ20" i="6"/>
  <c r="IR20" i="6"/>
  <c r="JO20" i="6"/>
  <c r="L21" i="6"/>
  <c r="EY21" i="6"/>
  <c r="HT21" i="6"/>
  <c r="V20" i="7"/>
  <c r="IQ21" i="6"/>
  <c r="X20" i="7"/>
  <c r="JP21" i="6"/>
  <c r="AJ22" i="6"/>
  <c r="EZ22" i="6"/>
  <c r="P21" i="7"/>
  <c r="FW22" i="6"/>
  <c r="HT22" i="6"/>
  <c r="IQ22" i="6"/>
  <c r="L23" i="6"/>
  <c r="BH23" i="6"/>
  <c r="J22" i="7"/>
  <c r="DC23" i="6"/>
  <c r="EY23" i="6"/>
  <c r="T22" i="7"/>
  <c r="HT23" i="6"/>
  <c r="BG24" i="6"/>
  <c r="J23" i="7"/>
  <c r="DD24" i="6"/>
  <c r="EA24" i="6"/>
  <c r="HS24" i="6"/>
  <c r="JP24" i="6"/>
  <c r="B24" i="7"/>
  <c r="L25" i="6"/>
  <c r="K25" i="6"/>
  <c r="F24" i="7"/>
  <c r="BH25" i="6"/>
  <c r="BG25" i="6"/>
  <c r="L26" i="6"/>
  <c r="K26" i="6"/>
  <c r="FX26" i="6"/>
  <c r="DE17" i="6"/>
  <c r="J16" i="7"/>
  <c r="DD17" i="6"/>
  <c r="DC17" i="6"/>
  <c r="HI17" i="6"/>
  <c r="HH17" i="6"/>
  <c r="P22" i="7"/>
  <c r="FX23" i="6"/>
  <c r="FW23" i="6"/>
  <c r="FL13" i="6"/>
  <c r="AJ3" i="6"/>
  <c r="J30" i="9" s="1"/>
  <c r="DB3" i="6"/>
  <c r="FV3" i="6"/>
  <c r="H42" i="9" s="1"/>
  <c r="GI4" i="6"/>
  <c r="IE4" i="6"/>
  <c r="BT5" i="6"/>
  <c r="AW6" i="6"/>
  <c r="BS6" i="6"/>
  <c r="CS6" i="6"/>
  <c r="AU8" i="6"/>
  <c r="DQ8" i="6"/>
  <c r="FM8" i="6"/>
  <c r="HH8" i="6"/>
  <c r="JD8" i="6"/>
  <c r="KC8" i="6"/>
  <c r="AW9" i="6"/>
  <c r="KC9" i="6"/>
  <c r="AU10" i="6"/>
  <c r="CQ10" i="6"/>
  <c r="HI10" i="6"/>
  <c r="JD10" i="6"/>
  <c r="KA10" i="6"/>
  <c r="K15" i="6"/>
  <c r="AI17" i="6"/>
  <c r="L18" i="6"/>
  <c r="DD18" i="6"/>
  <c r="DC18" i="6"/>
  <c r="EY18" i="6"/>
  <c r="GK19" i="6"/>
  <c r="GJ19" i="6"/>
  <c r="IF19" i="6"/>
  <c r="JO19" i="6"/>
  <c r="EY20" i="6"/>
  <c r="T19" i="7"/>
  <c r="HT20" i="6"/>
  <c r="F20" i="7"/>
  <c r="BG21" i="6"/>
  <c r="EA21" i="6"/>
  <c r="EZ21" i="6"/>
  <c r="P20" i="7"/>
  <c r="FW21" i="6"/>
  <c r="IR21" i="6"/>
  <c r="JO21" i="6"/>
  <c r="J21" i="7"/>
  <c r="DC22" i="6"/>
  <c r="FX22" i="6"/>
  <c r="JO22" i="6"/>
  <c r="DD23" i="6"/>
  <c r="HS23" i="6"/>
  <c r="AI24" i="6"/>
  <c r="BH24" i="6"/>
  <c r="DC24" i="6"/>
  <c r="EY24" i="6"/>
  <c r="GU24" i="6"/>
  <c r="HT24" i="6"/>
  <c r="V23" i="7"/>
  <c r="IR24" i="6"/>
  <c r="IQ24" i="6"/>
  <c r="J24" i="7"/>
  <c r="DD25" i="6"/>
  <c r="DC25" i="6"/>
  <c r="L24" i="7"/>
  <c r="EB25" i="6"/>
  <c r="EA25" i="6"/>
  <c r="EZ25" i="6"/>
  <c r="EY25" i="6"/>
  <c r="HT26" i="6"/>
  <c r="EB27" i="6"/>
  <c r="EA27" i="6"/>
  <c r="M47" i="7"/>
  <c r="EN48" i="6"/>
  <c r="AJ25" i="6"/>
  <c r="GU37" i="6"/>
  <c r="GV37" i="6"/>
  <c r="DD37" i="6"/>
  <c r="DC37" i="6"/>
  <c r="EZ37" i="6"/>
  <c r="EY37" i="6"/>
  <c r="E47" i="7"/>
  <c r="AV48" i="6"/>
  <c r="U47" i="7"/>
  <c r="IF48" i="6"/>
  <c r="AU56" i="6"/>
  <c r="AV56" i="6"/>
  <c r="CE57" i="6"/>
  <c r="CF57" i="6"/>
  <c r="CE59" i="6"/>
  <c r="CG59" i="6"/>
  <c r="Y46" i="7"/>
  <c r="KB47" i="6"/>
  <c r="K47" i="7"/>
  <c r="DP48" i="6"/>
  <c r="Q47" i="7"/>
  <c r="GJ48" i="6"/>
  <c r="AV49" i="6"/>
  <c r="AU49" i="6"/>
  <c r="BS53" i="6"/>
  <c r="BT53" i="6"/>
  <c r="CQ55" i="6"/>
  <c r="CR55" i="6"/>
  <c r="BS60" i="6"/>
  <c r="BT60" i="6"/>
  <c r="S47" i="7"/>
  <c r="HH48" i="6"/>
  <c r="X48" i="6"/>
  <c r="BT48" i="6"/>
  <c r="FL48" i="6"/>
  <c r="KA48" i="6"/>
  <c r="X56" i="6"/>
  <c r="BT56" i="6"/>
  <c r="CQ58" i="6"/>
  <c r="J43" i="2"/>
  <c r="K43" i="2"/>
  <c r="L43" i="2"/>
  <c r="P5" i="7"/>
  <c r="FX6" i="6"/>
  <c r="FW6" i="6"/>
  <c r="FY6" i="6"/>
  <c r="B7" i="7"/>
  <c r="L8" i="6"/>
  <c r="M8" i="6"/>
  <c r="K8" i="6"/>
  <c r="F8" i="7"/>
  <c r="BH9" i="6"/>
  <c r="BI9" i="6"/>
  <c r="BG9" i="6"/>
  <c r="J47" i="2"/>
  <c r="K47" i="2"/>
  <c r="L47" i="2"/>
  <c r="M3" i="7"/>
  <c r="EN4" i="6"/>
  <c r="EM4" i="6"/>
  <c r="EO4" i="6"/>
  <c r="P4" i="7"/>
  <c r="FX5" i="6"/>
  <c r="FW5" i="6"/>
  <c r="FY5" i="6"/>
  <c r="T4" i="7"/>
  <c r="HT5" i="6"/>
  <c r="HS5" i="6"/>
  <c r="HU5" i="6"/>
  <c r="K6" i="2"/>
  <c r="J6" i="2"/>
  <c r="L6" i="2"/>
  <c r="K10" i="2"/>
  <c r="J10" i="2"/>
  <c r="L10" i="2"/>
  <c r="K14" i="2"/>
  <c r="J14" i="2"/>
  <c r="L14" i="2"/>
  <c r="K18" i="2"/>
  <c r="J18" i="2"/>
  <c r="L18" i="2"/>
  <c r="K22" i="2"/>
  <c r="J22" i="2"/>
  <c r="L22" i="2"/>
  <c r="K26" i="2"/>
  <c r="J26" i="2"/>
  <c r="L26" i="2"/>
  <c r="K30" i="2"/>
  <c r="J30" i="2"/>
  <c r="L30" i="2"/>
  <c r="K34" i="2"/>
  <c r="J34" i="2"/>
  <c r="L34" i="2"/>
  <c r="K38" i="2"/>
  <c r="J38" i="2"/>
  <c r="L38" i="2"/>
  <c r="K40" i="9"/>
  <c r="K39" i="9"/>
  <c r="K3" i="7"/>
  <c r="DQ4" i="6"/>
  <c r="DP4" i="6"/>
  <c r="DO4" i="6"/>
  <c r="P3" i="7"/>
  <c r="FX4" i="6"/>
  <c r="FW4" i="6"/>
  <c r="FY4" i="6"/>
  <c r="T3" i="7"/>
  <c r="HT4" i="6"/>
  <c r="HU4" i="6"/>
  <c r="HS4" i="6"/>
  <c r="D5" i="7"/>
  <c r="AJ6" i="6"/>
  <c r="AK6" i="6"/>
  <c r="AI6" i="6"/>
  <c r="J6" i="7"/>
  <c r="DD7" i="6"/>
  <c r="DC7" i="6"/>
  <c r="DE7" i="6"/>
  <c r="L6" i="7"/>
  <c r="EB7" i="6"/>
  <c r="EA7" i="6"/>
  <c r="EC7" i="6"/>
  <c r="N6" i="7"/>
  <c r="EZ7" i="6"/>
  <c r="EY7" i="6"/>
  <c r="FA7" i="6"/>
  <c r="P6" i="7"/>
  <c r="FX7" i="6"/>
  <c r="FW7" i="6"/>
  <c r="FY7" i="6"/>
  <c r="R6" i="7"/>
  <c r="GV7" i="6"/>
  <c r="GU7" i="6"/>
  <c r="GW7" i="6"/>
  <c r="T6" i="7"/>
  <c r="HT7" i="6"/>
  <c r="HS7" i="6"/>
  <c r="HU7" i="6"/>
  <c r="V6" i="7"/>
  <c r="IR7" i="6"/>
  <c r="IQ7" i="6"/>
  <c r="IS7" i="6"/>
  <c r="J40" i="2"/>
  <c r="L40" i="2"/>
  <c r="K40" i="2"/>
  <c r="K46" i="2"/>
  <c r="L46" i="2"/>
  <c r="J46" i="2"/>
  <c r="K50" i="2"/>
  <c r="J50" i="2"/>
  <c r="L50" i="2"/>
  <c r="E3" i="7"/>
  <c r="AW4" i="6"/>
  <c r="AV4" i="6"/>
  <c r="AU4" i="6"/>
  <c r="X4" i="7"/>
  <c r="JP5" i="6"/>
  <c r="JQ5" i="6"/>
  <c r="JO5" i="6"/>
  <c r="L5" i="7"/>
  <c r="EB6" i="6"/>
  <c r="EA6" i="6"/>
  <c r="EC6" i="6"/>
  <c r="N5" i="7"/>
  <c r="EZ6" i="6"/>
  <c r="EY6" i="6"/>
  <c r="FA6" i="6"/>
  <c r="R5" i="7"/>
  <c r="GV6" i="6"/>
  <c r="GU6" i="6"/>
  <c r="GW6" i="6"/>
  <c r="T5" i="7"/>
  <c r="HT6" i="6"/>
  <c r="HS6" i="6"/>
  <c r="HU6" i="6"/>
  <c r="V5" i="7"/>
  <c r="IR6" i="6"/>
  <c r="IQ6" i="6"/>
  <c r="IS6" i="6"/>
  <c r="L44" i="2"/>
  <c r="K44" i="2"/>
  <c r="J44" i="2"/>
  <c r="J51" i="2"/>
  <c r="L51" i="2"/>
  <c r="K51" i="2"/>
  <c r="C3" i="7"/>
  <c r="Y4" i="6"/>
  <c r="X4" i="6"/>
  <c r="W4" i="6"/>
  <c r="X3" i="7"/>
  <c r="JP4" i="6"/>
  <c r="JQ4" i="6"/>
  <c r="JO4" i="6"/>
  <c r="L4" i="7"/>
  <c r="EB5" i="6"/>
  <c r="EA5" i="6"/>
  <c r="EC5" i="6"/>
  <c r="X6" i="7"/>
  <c r="JP7" i="6"/>
  <c r="JO7" i="6"/>
  <c r="JQ7" i="6"/>
  <c r="B9" i="7"/>
  <c r="L10" i="6"/>
  <c r="M10" i="6"/>
  <c r="K10" i="6"/>
  <c r="J7" i="2"/>
  <c r="L7" i="2"/>
  <c r="K7" i="2"/>
  <c r="J11" i="2"/>
  <c r="L11" i="2"/>
  <c r="K11" i="2"/>
  <c r="J15" i="2"/>
  <c r="L15" i="2"/>
  <c r="K15" i="2"/>
  <c r="J19" i="2"/>
  <c r="L19" i="2"/>
  <c r="K19" i="2"/>
  <c r="J23" i="2"/>
  <c r="K23" i="2"/>
  <c r="L23" i="2"/>
  <c r="J27" i="2"/>
  <c r="L27" i="2"/>
  <c r="K27" i="2"/>
  <c r="J31" i="2"/>
  <c r="L31" i="2"/>
  <c r="K31" i="2"/>
  <c r="J35" i="2"/>
  <c r="L35" i="2"/>
  <c r="K35" i="2"/>
  <c r="J39" i="2"/>
  <c r="K39" i="2"/>
  <c r="L39" i="2"/>
  <c r="K42" i="2"/>
  <c r="L42" i="2"/>
  <c r="J42" i="2"/>
  <c r="G3" i="7"/>
  <c r="BT4" i="6"/>
  <c r="BU4" i="6"/>
  <c r="BS4" i="6"/>
  <c r="I3" i="7"/>
  <c r="CR4" i="6"/>
  <c r="CS4" i="6"/>
  <c r="CQ4" i="6"/>
  <c r="D4" i="7"/>
  <c r="AJ5" i="6"/>
  <c r="AK5" i="6"/>
  <c r="AI5" i="6"/>
  <c r="R3" i="7"/>
  <c r="GV4" i="6"/>
  <c r="V3" i="7"/>
  <c r="IR4" i="6"/>
  <c r="R4" i="7"/>
  <c r="GV5" i="6"/>
  <c r="K5" i="7"/>
  <c r="DQ6" i="6"/>
  <c r="Q5" i="7"/>
  <c r="GK6" i="6"/>
  <c r="W5" i="7"/>
  <c r="JE6" i="6"/>
  <c r="J13" i="2"/>
  <c r="J21" i="2"/>
  <c r="J25" i="2"/>
  <c r="J33" i="2"/>
  <c r="J37" i="2"/>
  <c r="J41" i="2"/>
  <c r="J45" i="2"/>
  <c r="DN3" i="6"/>
  <c r="FJ3" i="6"/>
  <c r="ID3" i="6"/>
  <c r="JZ3" i="6"/>
  <c r="FK4" i="6"/>
  <c r="GU4" i="6"/>
  <c r="IQ4" i="6"/>
  <c r="JC4" i="6"/>
  <c r="HG5" i="6"/>
  <c r="DO6" i="6"/>
  <c r="EM6" i="6"/>
  <c r="FK6" i="6"/>
  <c r="GI6" i="6"/>
  <c r="IE6" i="6"/>
  <c r="JC6" i="6"/>
  <c r="K6" i="7"/>
  <c r="DQ7" i="6"/>
  <c r="M6" i="7"/>
  <c r="EO7" i="6"/>
  <c r="O6" i="7"/>
  <c r="FM7" i="6"/>
  <c r="W6" i="7"/>
  <c r="JE7" i="6"/>
  <c r="KA7" i="6"/>
  <c r="M7" i="7"/>
  <c r="EO8" i="6"/>
  <c r="EN8" i="6"/>
  <c r="AI9" i="6"/>
  <c r="Q8" i="7"/>
  <c r="GK9" i="6"/>
  <c r="GJ9" i="6"/>
  <c r="B10" i="7"/>
  <c r="L11" i="6"/>
  <c r="M11" i="6"/>
  <c r="K11" i="6"/>
  <c r="E10" i="7"/>
  <c r="AU11" i="6"/>
  <c r="AV11" i="6"/>
  <c r="G10" i="7"/>
  <c r="BS11" i="6"/>
  <c r="BU11" i="6"/>
  <c r="BT11" i="6"/>
  <c r="B11" i="7"/>
  <c r="M12" i="6"/>
  <c r="L12" i="6"/>
  <c r="K12" i="6"/>
  <c r="X12" i="7"/>
  <c r="JQ13" i="6"/>
  <c r="JP13" i="6"/>
  <c r="JO13" i="6"/>
  <c r="I13" i="7"/>
  <c r="CQ14" i="6"/>
  <c r="CR14" i="6"/>
  <c r="K13" i="7"/>
  <c r="DO14" i="6"/>
  <c r="DQ14" i="6"/>
  <c r="DP14" i="6"/>
  <c r="I15" i="7"/>
  <c r="CQ16" i="6"/>
  <c r="CS16" i="6"/>
  <c r="CR16" i="6"/>
  <c r="O15" i="7"/>
  <c r="FK16" i="6"/>
  <c r="FL16" i="6"/>
  <c r="Q15" i="7"/>
  <c r="GI16" i="6"/>
  <c r="GK16" i="6"/>
  <c r="GJ16" i="6"/>
  <c r="C16" i="7"/>
  <c r="W17" i="6"/>
  <c r="X17" i="6"/>
  <c r="E16" i="7"/>
  <c r="AU17" i="6"/>
  <c r="AW17" i="6"/>
  <c r="AV17" i="6"/>
  <c r="Y16" i="7"/>
  <c r="KA17" i="6"/>
  <c r="KC17" i="6"/>
  <c r="KB17" i="6"/>
  <c r="J18" i="7"/>
  <c r="DE19" i="6"/>
  <c r="DD19" i="6"/>
  <c r="DC19" i="6"/>
  <c r="O18" i="7"/>
  <c r="FK19" i="6"/>
  <c r="FM19" i="6"/>
  <c r="FL19" i="6"/>
  <c r="R18" i="7"/>
  <c r="GW19" i="6"/>
  <c r="GV19" i="6"/>
  <c r="GU19" i="6"/>
  <c r="W18" i="7"/>
  <c r="JC19" i="6"/>
  <c r="JE19" i="6"/>
  <c r="JD19" i="6"/>
  <c r="M19" i="7"/>
  <c r="EN20" i="6"/>
  <c r="EM20" i="6"/>
  <c r="EO20" i="6"/>
  <c r="S21" i="7"/>
  <c r="HH22" i="6"/>
  <c r="HG22" i="6"/>
  <c r="HI22" i="6"/>
  <c r="M22" i="7"/>
  <c r="EN23" i="6"/>
  <c r="EM23" i="6"/>
  <c r="EO23" i="6"/>
  <c r="S22" i="7"/>
  <c r="HH23" i="6"/>
  <c r="HG23" i="6"/>
  <c r="HI23" i="6"/>
  <c r="M23" i="7"/>
  <c r="EN24" i="6"/>
  <c r="EM24" i="6"/>
  <c r="EO24" i="6"/>
  <c r="S23" i="7"/>
  <c r="HH24" i="6"/>
  <c r="HG24" i="6"/>
  <c r="HI24" i="6"/>
  <c r="S25" i="7"/>
  <c r="HG26" i="6"/>
  <c r="HI26" i="6"/>
  <c r="HH26" i="6"/>
  <c r="I26" i="7"/>
  <c r="CQ27" i="6"/>
  <c r="CS27" i="6"/>
  <c r="CR27" i="6"/>
  <c r="J31" i="7"/>
  <c r="DE32" i="6"/>
  <c r="DC32" i="6"/>
  <c r="DD32" i="6"/>
  <c r="N31" i="7"/>
  <c r="FA32" i="6"/>
  <c r="EY32" i="6"/>
  <c r="EZ32" i="6"/>
  <c r="JQ32" i="6"/>
  <c r="X31" i="7"/>
  <c r="JO32" i="6"/>
  <c r="JP32" i="6"/>
  <c r="C32" i="7"/>
  <c r="W33" i="6"/>
  <c r="Y33" i="6"/>
  <c r="X33" i="6"/>
  <c r="K5" i="2"/>
  <c r="K9" i="2"/>
  <c r="K13" i="2"/>
  <c r="K17" i="2"/>
  <c r="K21" i="2"/>
  <c r="K25" i="2"/>
  <c r="K29" i="2"/>
  <c r="K33" i="2"/>
  <c r="K37" i="2"/>
  <c r="K41" i="2"/>
  <c r="K45" i="2"/>
  <c r="K49" i="2"/>
  <c r="K53" i="2"/>
  <c r="M4" i="6"/>
  <c r="AK4" i="6"/>
  <c r="BI4" i="6"/>
  <c r="DE4" i="6"/>
  <c r="EC4" i="6"/>
  <c r="FA4" i="6"/>
  <c r="FL4" i="6"/>
  <c r="GW4" i="6"/>
  <c r="HH4" i="6"/>
  <c r="IS4" i="6"/>
  <c r="JD4" i="6"/>
  <c r="KA4" i="6"/>
  <c r="Y5" i="6"/>
  <c r="AU5" i="6"/>
  <c r="BU5" i="6"/>
  <c r="DE5" i="6"/>
  <c r="DP5" i="6"/>
  <c r="FL5" i="6"/>
  <c r="GW5" i="6"/>
  <c r="HH5" i="6"/>
  <c r="JD5" i="6"/>
  <c r="KA5" i="6"/>
  <c r="Y6" i="6"/>
  <c r="AU6" i="6"/>
  <c r="BU6" i="6"/>
  <c r="DP6" i="6"/>
  <c r="GJ6" i="6"/>
  <c r="JD6" i="6"/>
  <c r="DO7" i="6"/>
  <c r="EM7" i="6"/>
  <c r="FK7" i="6"/>
  <c r="JC7" i="6"/>
  <c r="D7" i="7"/>
  <c r="AJ8" i="6"/>
  <c r="G7" i="7"/>
  <c r="BT8" i="6"/>
  <c r="BS8" i="6"/>
  <c r="J7" i="7"/>
  <c r="DD8" i="6"/>
  <c r="DC8" i="6"/>
  <c r="L7" i="7"/>
  <c r="EB8" i="6"/>
  <c r="EC8" i="6"/>
  <c r="EM8" i="6"/>
  <c r="R7" i="7"/>
  <c r="GV8" i="6"/>
  <c r="GU8" i="6"/>
  <c r="T7" i="7"/>
  <c r="HT8" i="6"/>
  <c r="HU8" i="6"/>
  <c r="X7" i="7"/>
  <c r="JP8" i="6"/>
  <c r="N8" i="7"/>
  <c r="EZ9" i="6"/>
  <c r="EY9" i="6"/>
  <c r="P8" i="7"/>
  <c r="FX9" i="6"/>
  <c r="FY9" i="6"/>
  <c r="GI9" i="6"/>
  <c r="V8" i="7"/>
  <c r="IR9" i="6"/>
  <c r="IQ9" i="6"/>
  <c r="JQ9" i="6"/>
  <c r="D9" i="7"/>
  <c r="AJ10" i="6"/>
  <c r="G9" i="7"/>
  <c r="BU10" i="6"/>
  <c r="BT10" i="6"/>
  <c r="BS10" i="6"/>
  <c r="N9" i="7"/>
  <c r="EZ10" i="6"/>
  <c r="FA10" i="6"/>
  <c r="EY10" i="6"/>
  <c r="AW11" i="6"/>
  <c r="J10" i="7"/>
  <c r="DE11" i="6"/>
  <c r="DD11" i="6"/>
  <c r="DC11" i="6"/>
  <c r="O10" i="7"/>
  <c r="FK11" i="6"/>
  <c r="FM11" i="6"/>
  <c r="FL11" i="6"/>
  <c r="R10" i="7"/>
  <c r="GW11" i="6"/>
  <c r="GV11" i="6"/>
  <c r="GU11" i="6"/>
  <c r="W10" i="7"/>
  <c r="JC11" i="6"/>
  <c r="JE11" i="6"/>
  <c r="JD11" i="6"/>
  <c r="I11" i="7"/>
  <c r="CQ12" i="6"/>
  <c r="CS12" i="6"/>
  <c r="CR12" i="6"/>
  <c r="O11" i="7"/>
  <c r="FK12" i="6"/>
  <c r="FL12" i="6"/>
  <c r="Q11" i="7"/>
  <c r="GI12" i="6"/>
  <c r="GK12" i="6"/>
  <c r="GJ12" i="6"/>
  <c r="W11" i="7"/>
  <c r="JC12" i="6"/>
  <c r="JD12" i="6"/>
  <c r="C12" i="7"/>
  <c r="W13" i="6"/>
  <c r="X13" i="6"/>
  <c r="E12" i="7"/>
  <c r="AU13" i="6"/>
  <c r="AW13" i="6"/>
  <c r="AV13" i="6"/>
  <c r="Y12" i="7"/>
  <c r="KA13" i="6"/>
  <c r="KC13" i="6"/>
  <c r="KB13" i="6"/>
  <c r="D13" i="7"/>
  <c r="AK14" i="6"/>
  <c r="AJ14" i="6"/>
  <c r="AI14" i="6"/>
  <c r="CS14" i="6"/>
  <c r="W13" i="7"/>
  <c r="JC14" i="6"/>
  <c r="JE14" i="6"/>
  <c r="JD14" i="6"/>
  <c r="J14" i="7"/>
  <c r="DE15" i="6"/>
  <c r="DD15" i="6"/>
  <c r="DC15" i="6"/>
  <c r="O14" i="7"/>
  <c r="FK15" i="6"/>
  <c r="FM15" i="6"/>
  <c r="FL15" i="6"/>
  <c r="R14" i="7"/>
  <c r="GW15" i="6"/>
  <c r="GV15" i="6"/>
  <c r="GU15" i="6"/>
  <c r="C15" i="7"/>
  <c r="W16" i="6"/>
  <c r="Y16" i="6"/>
  <c r="X16" i="6"/>
  <c r="F15" i="7"/>
  <c r="BI16" i="6"/>
  <c r="BH16" i="6"/>
  <c r="BG16" i="6"/>
  <c r="FM16" i="6"/>
  <c r="Y17" i="6"/>
  <c r="M16" i="7"/>
  <c r="EM17" i="6"/>
  <c r="EO17" i="6"/>
  <c r="EN17" i="6"/>
  <c r="P16" i="7"/>
  <c r="FY17" i="6"/>
  <c r="FX17" i="6"/>
  <c r="FW17" i="6"/>
  <c r="U16" i="7"/>
  <c r="IE17" i="6"/>
  <c r="IG17" i="6"/>
  <c r="IF17" i="6"/>
  <c r="M17" i="7"/>
  <c r="EM18" i="6"/>
  <c r="EN18" i="6"/>
  <c r="O17" i="7"/>
  <c r="FK18" i="6"/>
  <c r="FM18" i="6"/>
  <c r="FL18" i="6"/>
  <c r="U17" i="7"/>
  <c r="IE18" i="6"/>
  <c r="IF18" i="6"/>
  <c r="Y17" i="7"/>
  <c r="KA18" i="6"/>
  <c r="KB18" i="6"/>
  <c r="C18" i="7"/>
  <c r="W19" i="6"/>
  <c r="Y19" i="6"/>
  <c r="X19" i="6"/>
  <c r="C19" i="7"/>
  <c r="W20" i="6"/>
  <c r="Y20" i="6"/>
  <c r="X20" i="6"/>
  <c r="F19" i="7"/>
  <c r="BI20" i="6"/>
  <c r="BH20" i="6"/>
  <c r="BG20" i="6"/>
  <c r="K19" i="7"/>
  <c r="DP20" i="6"/>
  <c r="DO20" i="6"/>
  <c r="DQ20" i="6"/>
  <c r="W19" i="7"/>
  <c r="JD20" i="6"/>
  <c r="JC20" i="6"/>
  <c r="JE20" i="6"/>
  <c r="C20" i="7"/>
  <c r="X21" i="6"/>
  <c r="W21" i="6"/>
  <c r="Y21" i="6"/>
  <c r="Q20" i="7"/>
  <c r="GJ21" i="6"/>
  <c r="GI21" i="6"/>
  <c r="GK21" i="6"/>
  <c r="W20" i="7"/>
  <c r="JD21" i="6"/>
  <c r="JC21" i="6"/>
  <c r="JE21" i="6"/>
  <c r="E21" i="7"/>
  <c r="AV22" i="6"/>
  <c r="AU22" i="6"/>
  <c r="AW22" i="6"/>
  <c r="K21" i="7"/>
  <c r="DP22" i="6"/>
  <c r="DO22" i="6"/>
  <c r="DQ22" i="6"/>
  <c r="Q21" i="7"/>
  <c r="GJ22" i="6"/>
  <c r="GI22" i="6"/>
  <c r="GK22" i="6"/>
  <c r="G22" i="7"/>
  <c r="BT23" i="6"/>
  <c r="BS23" i="6"/>
  <c r="BU23" i="6"/>
  <c r="K22" i="7"/>
  <c r="DP23" i="6"/>
  <c r="DO23" i="6"/>
  <c r="DQ23" i="6"/>
  <c r="Q22" i="7"/>
  <c r="GJ23" i="6"/>
  <c r="GI23" i="6"/>
  <c r="GK23" i="6"/>
  <c r="W22" i="7"/>
  <c r="JD23" i="6"/>
  <c r="JC23" i="6"/>
  <c r="JE23" i="6"/>
  <c r="K23" i="7"/>
  <c r="DP24" i="6"/>
  <c r="DO24" i="6"/>
  <c r="DQ24" i="6"/>
  <c r="W23" i="7"/>
  <c r="JD24" i="6"/>
  <c r="JC24" i="6"/>
  <c r="JE24" i="6"/>
  <c r="C24" i="7"/>
  <c r="X25" i="6"/>
  <c r="W25" i="6"/>
  <c r="Y25" i="6"/>
  <c r="S24" i="7"/>
  <c r="HG25" i="6"/>
  <c r="HI25" i="6"/>
  <c r="HH25" i="6"/>
  <c r="R25" i="7"/>
  <c r="GW26" i="6"/>
  <c r="GV26" i="6"/>
  <c r="GU26" i="6"/>
  <c r="S26" i="7"/>
  <c r="HG27" i="6"/>
  <c r="HI27" i="6"/>
  <c r="HH27" i="6"/>
  <c r="L33" i="7"/>
  <c r="EC34" i="6"/>
  <c r="EA34" i="6"/>
  <c r="EB34" i="6"/>
  <c r="P33" i="7"/>
  <c r="FY34" i="6"/>
  <c r="FW34" i="6"/>
  <c r="FX34" i="6"/>
  <c r="T33" i="7"/>
  <c r="HU34" i="6"/>
  <c r="HS34" i="6"/>
  <c r="HT34" i="6"/>
  <c r="W33" i="7"/>
  <c r="JC34" i="6"/>
  <c r="JE34" i="6"/>
  <c r="JD34" i="6"/>
  <c r="Y33" i="7"/>
  <c r="KA34" i="6"/>
  <c r="KC34" i="6"/>
  <c r="KB34" i="6"/>
  <c r="F34" i="7"/>
  <c r="BG35" i="6"/>
  <c r="BI35" i="6"/>
  <c r="BH35" i="6"/>
  <c r="L41" i="7"/>
  <c r="EC42" i="6"/>
  <c r="EA42" i="6"/>
  <c r="EB42" i="6"/>
  <c r="P41" i="7"/>
  <c r="FY42" i="6"/>
  <c r="FW42" i="6"/>
  <c r="FX42" i="6"/>
  <c r="T41" i="7"/>
  <c r="HU42" i="6"/>
  <c r="HS42" i="6"/>
  <c r="HT42" i="6"/>
  <c r="W41" i="7"/>
  <c r="JC42" i="6"/>
  <c r="JE42" i="6"/>
  <c r="JD42" i="6"/>
  <c r="Y41" i="7"/>
  <c r="KA42" i="6"/>
  <c r="KC42" i="6"/>
  <c r="KB42" i="6"/>
  <c r="E42" i="7"/>
  <c r="AU43" i="6"/>
  <c r="AW43" i="6"/>
  <c r="AV43" i="6"/>
  <c r="N4" i="7"/>
  <c r="EZ5" i="6"/>
  <c r="V4" i="7"/>
  <c r="IR5" i="6"/>
  <c r="J5" i="7"/>
  <c r="DD6" i="6"/>
  <c r="O5" i="7"/>
  <c r="FM6" i="6"/>
  <c r="S5" i="7"/>
  <c r="HI6" i="6"/>
  <c r="U5" i="7"/>
  <c r="IG6" i="6"/>
  <c r="F6" i="7"/>
  <c r="BH7" i="6"/>
  <c r="BG7" i="6"/>
  <c r="J5" i="2"/>
  <c r="J9" i="2"/>
  <c r="J17" i="2"/>
  <c r="J29" i="2"/>
  <c r="J49" i="2"/>
  <c r="J53" i="2"/>
  <c r="CP3" i="6"/>
  <c r="EL3" i="6"/>
  <c r="GH3" i="6"/>
  <c r="HF3" i="6"/>
  <c r="JB3" i="6"/>
  <c r="HG4" i="6"/>
  <c r="DO5" i="6"/>
  <c r="EY5" i="6"/>
  <c r="FK5" i="6"/>
  <c r="GU5" i="6"/>
  <c r="IQ5" i="6"/>
  <c r="JC5" i="6"/>
  <c r="DC6" i="6"/>
  <c r="HG6" i="6"/>
  <c r="BI7" i="6"/>
  <c r="I6" i="7"/>
  <c r="CS7" i="6"/>
  <c r="Q6" i="7"/>
  <c r="GK7" i="6"/>
  <c r="S6" i="7"/>
  <c r="HI7" i="6"/>
  <c r="U6" i="7"/>
  <c r="IG7" i="6"/>
  <c r="U7" i="7"/>
  <c r="IG8" i="6"/>
  <c r="IF8" i="6"/>
  <c r="C8" i="7"/>
  <c r="X9" i="6"/>
  <c r="W9" i="6"/>
  <c r="I8" i="7"/>
  <c r="CS9" i="6"/>
  <c r="CR9" i="6"/>
  <c r="J9" i="7"/>
  <c r="DD10" i="6"/>
  <c r="DE10" i="6"/>
  <c r="DC10" i="6"/>
  <c r="X9" i="7"/>
  <c r="JP10" i="6"/>
  <c r="JO10" i="6"/>
  <c r="G11" i="7"/>
  <c r="BS12" i="6"/>
  <c r="BU12" i="6"/>
  <c r="BT12" i="6"/>
  <c r="I12" i="7"/>
  <c r="CQ13" i="6"/>
  <c r="CS13" i="6"/>
  <c r="CR13" i="6"/>
  <c r="L12" i="7"/>
  <c r="EC13" i="6"/>
  <c r="EB13" i="6"/>
  <c r="EA13" i="6"/>
  <c r="Q12" i="7"/>
  <c r="GI13" i="6"/>
  <c r="GK13" i="6"/>
  <c r="GJ13" i="6"/>
  <c r="T12" i="7"/>
  <c r="HU13" i="6"/>
  <c r="HT13" i="6"/>
  <c r="HS13" i="6"/>
  <c r="Q13" i="7"/>
  <c r="GI14" i="6"/>
  <c r="GJ14" i="6"/>
  <c r="S13" i="7"/>
  <c r="HG14" i="6"/>
  <c r="HI14" i="6"/>
  <c r="HH14" i="6"/>
  <c r="E14" i="7"/>
  <c r="AU15" i="6"/>
  <c r="AV15" i="6"/>
  <c r="G14" i="7"/>
  <c r="BS15" i="6"/>
  <c r="BU15" i="6"/>
  <c r="BT15" i="6"/>
  <c r="W14" i="7"/>
  <c r="JC15" i="6"/>
  <c r="JE15" i="6"/>
  <c r="JD15" i="6"/>
  <c r="W15" i="7"/>
  <c r="JC16" i="6"/>
  <c r="JD16" i="6"/>
  <c r="D17" i="7"/>
  <c r="AK18" i="6"/>
  <c r="AJ18" i="6"/>
  <c r="AI18" i="6"/>
  <c r="W17" i="7"/>
  <c r="JC18" i="6"/>
  <c r="JE18" i="6"/>
  <c r="JD18" i="6"/>
  <c r="S19" i="7"/>
  <c r="HH20" i="6"/>
  <c r="HG20" i="6"/>
  <c r="HI20" i="6"/>
  <c r="E23" i="7"/>
  <c r="AV24" i="6"/>
  <c r="AU24" i="6"/>
  <c r="AW24" i="6"/>
  <c r="T24" i="7"/>
  <c r="HU25" i="6"/>
  <c r="HT25" i="6"/>
  <c r="HS25" i="6"/>
  <c r="R31" i="7"/>
  <c r="GW32" i="6"/>
  <c r="GU32" i="6"/>
  <c r="GV32" i="6"/>
  <c r="V31" i="7"/>
  <c r="IS32" i="6"/>
  <c r="IQ32" i="6"/>
  <c r="IR32" i="6"/>
  <c r="G32" i="7"/>
  <c r="BS33" i="6"/>
  <c r="BU33" i="6"/>
  <c r="BT33" i="6"/>
  <c r="H28" i="9"/>
  <c r="B2" i="7"/>
  <c r="H30" i="9"/>
  <c r="D2" i="7"/>
  <c r="H32" i="9"/>
  <c r="F2" i="7"/>
  <c r="H36" i="9"/>
  <c r="J2" i="7"/>
  <c r="H38" i="9"/>
  <c r="L2" i="7"/>
  <c r="H40" i="9"/>
  <c r="N2" i="7"/>
  <c r="P2" i="7"/>
  <c r="H44" i="9"/>
  <c r="H46" i="9"/>
  <c r="T2" i="7"/>
  <c r="HS37" i="6"/>
  <c r="HS15" i="6"/>
  <c r="H48" i="9"/>
  <c r="V2" i="7"/>
  <c r="FM4" i="6"/>
  <c r="HI4" i="6"/>
  <c r="JE4" i="6"/>
  <c r="KB4" i="6"/>
  <c r="B4" i="7"/>
  <c r="L5" i="6"/>
  <c r="AV5" i="6"/>
  <c r="F4" i="7"/>
  <c r="BH5" i="6"/>
  <c r="DQ5" i="6"/>
  <c r="FM5" i="6"/>
  <c r="HI5" i="6"/>
  <c r="JE5" i="6"/>
  <c r="KB5" i="6"/>
  <c r="B5" i="7"/>
  <c r="L6" i="6"/>
  <c r="AV6" i="6"/>
  <c r="F5" i="7"/>
  <c r="BH6" i="6"/>
  <c r="Y5" i="7"/>
  <c r="KC6" i="6"/>
  <c r="C6" i="7"/>
  <c r="Y7" i="6"/>
  <c r="E6" i="7"/>
  <c r="AW7" i="6"/>
  <c r="G6" i="7"/>
  <c r="BU7" i="6"/>
  <c r="CR7" i="6"/>
  <c r="DP7" i="6"/>
  <c r="EN7" i="6"/>
  <c r="FL7" i="6"/>
  <c r="GJ7" i="6"/>
  <c r="HH7" i="6"/>
  <c r="IF7" i="6"/>
  <c r="JD7" i="6"/>
  <c r="C7" i="7"/>
  <c r="X8" i="6"/>
  <c r="W8" i="6"/>
  <c r="I7" i="7"/>
  <c r="CS8" i="6"/>
  <c r="CR8" i="6"/>
  <c r="Q7" i="7"/>
  <c r="GK8" i="6"/>
  <c r="GJ8" i="6"/>
  <c r="B8" i="7"/>
  <c r="L9" i="6"/>
  <c r="M9" i="6"/>
  <c r="K9" i="6"/>
  <c r="M8" i="7"/>
  <c r="EO9" i="6"/>
  <c r="EN9" i="6"/>
  <c r="U8" i="7"/>
  <c r="IG9" i="6"/>
  <c r="IF9" i="6"/>
  <c r="C9" i="7"/>
  <c r="X10" i="6"/>
  <c r="W10" i="6"/>
  <c r="R9" i="7"/>
  <c r="GV10" i="6"/>
  <c r="GW10" i="6"/>
  <c r="GU10" i="6"/>
  <c r="C10" i="7"/>
  <c r="W11" i="6"/>
  <c r="Y11" i="6"/>
  <c r="X11" i="6"/>
  <c r="C11" i="7"/>
  <c r="W12" i="6"/>
  <c r="Y12" i="6"/>
  <c r="X12" i="6"/>
  <c r="F11" i="7"/>
  <c r="BI12" i="6"/>
  <c r="BH12" i="6"/>
  <c r="BG12" i="6"/>
  <c r="M12" i="7"/>
  <c r="EM13" i="6"/>
  <c r="EO13" i="6"/>
  <c r="EN13" i="6"/>
  <c r="P12" i="7"/>
  <c r="FY13" i="6"/>
  <c r="FX13" i="6"/>
  <c r="FW13" i="6"/>
  <c r="U12" i="7"/>
  <c r="IE13" i="6"/>
  <c r="IG13" i="6"/>
  <c r="IF13" i="6"/>
  <c r="M13" i="7"/>
  <c r="EM14" i="6"/>
  <c r="EN14" i="6"/>
  <c r="O13" i="7"/>
  <c r="FK14" i="6"/>
  <c r="FM14" i="6"/>
  <c r="FL14" i="6"/>
  <c r="U13" i="7"/>
  <c r="IE14" i="6"/>
  <c r="IF14" i="6"/>
  <c r="Y13" i="7"/>
  <c r="KA14" i="6"/>
  <c r="KB14" i="6"/>
  <c r="C14" i="7"/>
  <c r="W15" i="6"/>
  <c r="Y15" i="6"/>
  <c r="X15" i="6"/>
  <c r="V14" i="7"/>
  <c r="IS15" i="6"/>
  <c r="IR15" i="6"/>
  <c r="IQ15" i="6"/>
  <c r="K15" i="7"/>
  <c r="DO16" i="6"/>
  <c r="DP16" i="6"/>
  <c r="M15" i="7"/>
  <c r="EM16" i="6"/>
  <c r="EO16" i="6"/>
  <c r="EN16" i="6"/>
  <c r="S15" i="7"/>
  <c r="HG16" i="6"/>
  <c r="HH16" i="6"/>
  <c r="U15" i="7"/>
  <c r="IE16" i="6"/>
  <c r="IG16" i="6"/>
  <c r="IF16" i="6"/>
  <c r="Y15" i="7"/>
  <c r="KA16" i="6"/>
  <c r="KC16" i="6"/>
  <c r="KB16" i="6"/>
  <c r="G16" i="7"/>
  <c r="BS17" i="6"/>
  <c r="BT17" i="6"/>
  <c r="E17" i="7"/>
  <c r="AU18" i="6"/>
  <c r="AW18" i="6"/>
  <c r="AV18" i="6"/>
  <c r="K18" i="7"/>
  <c r="DO19" i="6"/>
  <c r="DQ19" i="6"/>
  <c r="DP19" i="6"/>
  <c r="N18" i="7"/>
  <c r="FA19" i="6"/>
  <c r="EZ19" i="6"/>
  <c r="EY19" i="6"/>
  <c r="S18" i="7"/>
  <c r="HG19" i="6"/>
  <c r="HI19" i="6"/>
  <c r="HH19" i="6"/>
  <c r="V18" i="7"/>
  <c r="IS19" i="6"/>
  <c r="IR19" i="6"/>
  <c r="IQ19" i="6"/>
  <c r="Y19" i="7"/>
  <c r="KB20" i="6"/>
  <c r="KA20" i="6"/>
  <c r="KC20" i="6"/>
  <c r="G20" i="7"/>
  <c r="BT21" i="6"/>
  <c r="BS21" i="6"/>
  <c r="BU21" i="6"/>
  <c r="I20" i="7"/>
  <c r="CR21" i="6"/>
  <c r="CQ21" i="6"/>
  <c r="CS21" i="6"/>
  <c r="O20" i="7"/>
  <c r="FL21" i="6"/>
  <c r="FK21" i="6"/>
  <c r="FM21" i="6"/>
  <c r="U20" i="7"/>
  <c r="IF21" i="6"/>
  <c r="IE21" i="6"/>
  <c r="IG21" i="6"/>
  <c r="C21" i="7"/>
  <c r="X22" i="6"/>
  <c r="W22" i="6"/>
  <c r="Y22" i="6"/>
  <c r="I21" i="7"/>
  <c r="CR22" i="6"/>
  <c r="CQ22" i="6"/>
  <c r="CS22" i="6"/>
  <c r="O21" i="7"/>
  <c r="FL22" i="6"/>
  <c r="FK22" i="6"/>
  <c r="FM22" i="6"/>
  <c r="E22" i="7"/>
  <c r="AV23" i="6"/>
  <c r="AU23" i="6"/>
  <c r="AW23" i="6"/>
  <c r="I22" i="7"/>
  <c r="CR23" i="6"/>
  <c r="CQ23" i="6"/>
  <c r="CS23" i="6"/>
  <c r="Y23" i="7"/>
  <c r="KB24" i="6"/>
  <c r="KA24" i="6"/>
  <c r="KC24" i="6"/>
  <c r="G24" i="7"/>
  <c r="BT25" i="6"/>
  <c r="BS25" i="6"/>
  <c r="BU25" i="6"/>
  <c r="I24" i="7"/>
  <c r="CR25" i="6"/>
  <c r="CQ25" i="6"/>
  <c r="CS25" i="6"/>
  <c r="D25" i="7"/>
  <c r="AK26" i="6"/>
  <c r="AJ26" i="6"/>
  <c r="AI26" i="6"/>
  <c r="J27" i="7"/>
  <c r="DE28" i="6"/>
  <c r="DC28" i="6"/>
  <c r="DD28" i="6"/>
  <c r="N27" i="7"/>
  <c r="FA28" i="6"/>
  <c r="EY28" i="6"/>
  <c r="EZ28" i="6"/>
  <c r="R27" i="7"/>
  <c r="GW28" i="6"/>
  <c r="GU28" i="6"/>
  <c r="GV28" i="6"/>
  <c r="V27" i="7"/>
  <c r="IS28" i="6"/>
  <c r="IQ28" i="6"/>
  <c r="IR28" i="6"/>
  <c r="X27" i="7"/>
  <c r="JQ28" i="6"/>
  <c r="JO28" i="6"/>
  <c r="JP28" i="6"/>
  <c r="C28" i="7"/>
  <c r="W29" i="6"/>
  <c r="Y29" i="6"/>
  <c r="X29" i="6"/>
  <c r="G28" i="7"/>
  <c r="BS29" i="6"/>
  <c r="BU29" i="6"/>
  <c r="BT29" i="6"/>
  <c r="Q35" i="7"/>
  <c r="GI36" i="6"/>
  <c r="GK36" i="6"/>
  <c r="GJ36" i="6"/>
  <c r="X35" i="7"/>
  <c r="JQ36" i="6"/>
  <c r="JO36" i="6"/>
  <c r="JP36" i="6"/>
  <c r="C39" i="7"/>
  <c r="W40" i="6"/>
  <c r="Y40" i="6"/>
  <c r="X40" i="6"/>
  <c r="G39" i="7"/>
  <c r="BS40" i="6"/>
  <c r="BU40" i="6"/>
  <c r="BT40" i="6"/>
  <c r="J39" i="7"/>
  <c r="DE40" i="6"/>
  <c r="DC40" i="6"/>
  <c r="DD40" i="6"/>
  <c r="N39" i="7"/>
  <c r="FA40" i="6"/>
  <c r="EY40" i="6"/>
  <c r="EZ40" i="6"/>
  <c r="R39" i="7"/>
  <c r="GW40" i="6"/>
  <c r="GU40" i="6"/>
  <c r="GV40" i="6"/>
  <c r="V39" i="7"/>
  <c r="IS40" i="6"/>
  <c r="IQ40" i="6"/>
  <c r="IR40" i="6"/>
  <c r="J4" i="7"/>
  <c r="DD5" i="6"/>
  <c r="M5" i="7"/>
  <c r="EO6" i="6"/>
  <c r="X5" i="7"/>
  <c r="JP6" i="6"/>
  <c r="JO6" i="6"/>
  <c r="B6" i="7"/>
  <c r="L7" i="6"/>
  <c r="K7" i="6"/>
  <c r="D6" i="7"/>
  <c r="AJ7" i="6"/>
  <c r="AI7" i="6"/>
  <c r="Y6" i="7"/>
  <c r="KC7" i="6"/>
  <c r="F7" i="7"/>
  <c r="BH8" i="6"/>
  <c r="BI8" i="6"/>
  <c r="BG8" i="6"/>
  <c r="N7" i="7"/>
  <c r="EZ8" i="6"/>
  <c r="EY8" i="6"/>
  <c r="P7" i="7"/>
  <c r="FX8" i="6"/>
  <c r="FY8" i="6"/>
  <c r="V7" i="7"/>
  <c r="IR8" i="6"/>
  <c r="IQ8" i="6"/>
  <c r="D8" i="7"/>
  <c r="AJ9" i="6"/>
  <c r="G8" i="7"/>
  <c r="BT9" i="6"/>
  <c r="BS9" i="6"/>
  <c r="J8" i="7"/>
  <c r="DD9" i="6"/>
  <c r="DC9" i="6"/>
  <c r="L8" i="7"/>
  <c r="EB9" i="6"/>
  <c r="EC9" i="6"/>
  <c r="R8" i="7"/>
  <c r="GV9" i="6"/>
  <c r="GU9" i="6"/>
  <c r="T8" i="7"/>
  <c r="HT9" i="6"/>
  <c r="HU9" i="6"/>
  <c r="X8" i="7"/>
  <c r="JP9" i="6"/>
  <c r="F9" i="7"/>
  <c r="BH10" i="6"/>
  <c r="BI10" i="6"/>
  <c r="BG10" i="6"/>
  <c r="V9" i="7"/>
  <c r="IR10" i="6"/>
  <c r="IS10" i="6"/>
  <c r="IQ10" i="6"/>
  <c r="K10" i="7"/>
  <c r="DO11" i="6"/>
  <c r="DQ11" i="6"/>
  <c r="DP11" i="6"/>
  <c r="N10" i="7"/>
  <c r="FA11" i="6"/>
  <c r="EZ11" i="6"/>
  <c r="EY11" i="6"/>
  <c r="S10" i="7"/>
  <c r="HG11" i="6"/>
  <c r="HI11" i="6"/>
  <c r="HH11" i="6"/>
  <c r="V10" i="7"/>
  <c r="IS11" i="6"/>
  <c r="IR11" i="6"/>
  <c r="IQ11" i="6"/>
  <c r="K11" i="7"/>
  <c r="DO12" i="6"/>
  <c r="DP12" i="6"/>
  <c r="M11" i="7"/>
  <c r="EM12" i="6"/>
  <c r="EO12" i="6"/>
  <c r="EN12" i="6"/>
  <c r="S11" i="7"/>
  <c r="HG12" i="6"/>
  <c r="HH12" i="6"/>
  <c r="U11" i="7"/>
  <c r="IE12" i="6"/>
  <c r="IG12" i="6"/>
  <c r="IF12" i="6"/>
  <c r="Y11" i="7"/>
  <c r="KA12" i="6"/>
  <c r="KC12" i="6"/>
  <c r="KB12" i="6"/>
  <c r="G12" i="7"/>
  <c r="BS13" i="6"/>
  <c r="BT13" i="6"/>
  <c r="E13" i="7"/>
  <c r="AU14" i="6"/>
  <c r="AW14" i="6"/>
  <c r="AV14" i="6"/>
  <c r="K14" i="7"/>
  <c r="DO15" i="6"/>
  <c r="DQ15" i="6"/>
  <c r="DP15" i="6"/>
  <c r="N14" i="7"/>
  <c r="FA15" i="6"/>
  <c r="EZ15" i="6"/>
  <c r="EY15" i="6"/>
  <c r="S14" i="7"/>
  <c r="HG15" i="6"/>
  <c r="HI15" i="6"/>
  <c r="HH15" i="6"/>
  <c r="B15" i="7"/>
  <c r="M16" i="6"/>
  <c r="L16" i="6"/>
  <c r="K16" i="6"/>
  <c r="G15" i="7"/>
  <c r="BS16" i="6"/>
  <c r="BU16" i="6"/>
  <c r="BT16" i="6"/>
  <c r="I16" i="7"/>
  <c r="CQ17" i="6"/>
  <c r="CS17" i="6"/>
  <c r="CR17" i="6"/>
  <c r="L16" i="7"/>
  <c r="EC17" i="6"/>
  <c r="EB17" i="6"/>
  <c r="EA17" i="6"/>
  <c r="Q16" i="7"/>
  <c r="GI17" i="6"/>
  <c r="GK17" i="6"/>
  <c r="GJ17" i="6"/>
  <c r="T16" i="7"/>
  <c r="HU17" i="6"/>
  <c r="HT17" i="6"/>
  <c r="HS17" i="6"/>
  <c r="X16" i="7"/>
  <c r="JQ17" i="6"/>
  <c r="JP17" i="6"/>
  <c r="JO17" i="6"/>
  <c r="I17" i="7"/>
  <c r="CQ18" i="6"/>
  <c r="CR18" i="6"/>
  <c r="K17" i="7"/>
  <c r="DO18" i="6"/>
  <c r="DQ18" i="6"/>
  <c r="DP18" i="6"/>
  <c r="Q17" i="7"/>
  <c r="GI18" i="6"/>
  <c r="GJ18" i="6"/>
  <c r="S17" i="7"/>
  <c r="HG18" i="6"/>
  <c r="HI18" i="6"/>
  <c r="HH18" i="6"/>
  <c r="E18" i="7"/>
  <c r="AU19" i="6"/>
  <c r="AV19" i="6"/>
  <c r="G18" i="7"/>
  <c r="BS19" i="6"/>
  <c r="BU19" i="6"/>
  <c r="BT19" i="6"/>
  <c r="B19" i="7"/>
  <c r="M20" i="6"/>
  <c r="L20" i="6"/>
  <c r="K20" i="6"/>
  <c r="G19" i="7"/>
  <c r="BT20" i="6"/>
  <c r="BS20" i="6"/>
  <c r="BU20" i="6"/>
  <c r="O19" i="7"/>
  <c r="FL20" i="6"/>
  <c r="FK20" i="6"/>
  <c r="FM20" i="6"/>
  <c r="U19" i="7"/>
  <c r="IF20" i="6"/>
  <c r="IE20" i="6"/>
  <c r="IG20" i="6"/>
  <c r="M20" i="7"/>
  <c r="EN21" i="6"/>
  <c r="EM21" i="6"/>
  <c r="EO21" i="6"/>
  <c r="Y20" i="7"/>
  <c r="KB21" i="6"/>
  <c r="KA21" i="6"/>
  <c r="KC21" i="6"/>
  <c r="C22" i="7"/>
  <c r="X23" i="6"/>
  <c r="W23" i="6"/>
  <c r="Y23" i="6"/>
  <c r="U22" i="7"/>
  <c r="IF23" i="6"/>
  <c r="IE23" i="6"/>
  <c r="IG23" i="6"/>
  <c r="Y22" i="7"/>
  <c r="KB23" i="6"/>
  <c r="KA23" i="6"/>
  <c r="KC23" i="6"/>
  <c r="G23" i="7"/>
  <c r="BT24" i="6"/>
  <c r="BS24" i="6"/>
  <c r="BU24" i="6"/>
  <c r="O23" i="7"/>
  <c r="FL24" i="6"/>
  <c r="FK24" i="6"/>
  <c r="FM24" i="6"/>
  <c r="U23" i="7"/>
  <c r="IF24" i="6"/>
  <c r="IE24" i="6"/>
  <c r="IG24" i="6"/>
  <c r="M24" i="7"/>
  <c r="EN25" i="6"/>
  <c r="EM25" i="6"/>
  <c r="EO25" i="6"/>
  <c r="C25" i="7"/>
  <c r="W26" i="6"/>
  <c r="Y26" i="6"/>
  <c r="X26" i="6"/>
  <c r="K25" i="7"/>
  <c r="DO26" i="6"/>
  <c r="DQ26" i="6"/>
  <c r="DP26" i="6"/>
  <c r="W25" i="7"/>
  <c r="JC26" i="6"/>
  <c r="JE26" i="6"/>
  <c r="JD26" i="6"/>
  <c r="C26" i="7"/>
  <c r="W27" i="6"/>
  <c r="Y27" i="6"/>
  <c r="X27" i="6"/>
  <c r="G26" i="7"/>
  <c r="BS27" i="6"/>
  <c r="BU27" i="6"/>
  <c r="BT27" i="6"/>
  <c r="J26" i="7"/>
  <c r="DE27" i="6"/>
  <c r="DD27" i="6"/>
  <c r="DC27" i="6"/>
  <c r="L29" i="7"/>
  <c r="EC30" i="6"/>
  <c r="EA30" i="6"/>
  <c r="EB30" i="6"/>
  <c r="P29" i="7"/>
  <c r="FY30" i="6"/>
  <c r="FW30" i="6"/>
  <c r="FX30" i="6"/>
  <c r="T29" i="7"/>
  <c r="HU30" i="6"/>
  <c r="HT30" i="6"/>
  <c r="W29" i="7"/>
  <c r="JC30" i="6"/>
  <c r="JE30" i="6"/>
  <c r="JD30" i="6"/>
  <c r="Y29" i="7"/>
  <c r="KA30" i="6"/>
  <c r="KC30" i="6"/>
  <c r="KB30" i="6"/>
  <c r="E30" i="7"/>
  <c r="AU31" i="6"/>
  <c r="AW31" i="6"/>
  <c r="AV31" i="6"/>
  <c r="CR10" i="6"/>
  <c r="EN10" i="6"/>
  <c r="GJ10" i="6"/>
  <c r="IF10" i="6"/>
  <c r="D10" i="7"/>
  <c r="AK11" i="6"/>
  <c r="J11" i="7"/>
  <c r="DE12" i="6"/>
  <c r="N11" i="7"/>
  <c r="FA12" i="6"/>
  <c r="R11" i="7"/>
  <c r="GW12" i="6"/>
  <c r="V11" i="7"/>
  <c r="IS12" i="6"/>
  <c r="B12" i="7"/>
  <c r="M13" i="6"/>
  <c r="F12" i="7"/>
  <c r="BI13" i="6"/>
  <c r="L13" i="7"/>
  <c r="EC14" i="6"/>
  <c r="P13" i="7"/>
  <c r="FY14" i="6"/>
  <c r="T13" i="7"/>
  <c r="HU14" i="6"/>
  <c r="X13" i="7"/>
  <c r="JQ14" i="6"/>
  <c r="D14" i="7"/>
  <c r="AK15" i="6"/>
  <c r="J15" i="7"/>
  <c r="DE16" i="6"/>
  <c r="N15" i="7"/>
  <c r="FA16" i="6"/>
  <c r="R15" i="7"/>
  <c r="GW16" i="6"/>
  <c r="V15" i="7"/>
  <c r="IS16" i="6"/>
  <c r="B16" i="7"/>
  <c r="M17" i="6"/>
  <c r="F16" i="7"/>
  <c r="BI17" i="6"/>
  <c r="L17" i="7"/>
  <c r="EC18" i="6"/>
  <c r="P17" i="7"/>
  <c r="FY18" i="6"/>
  <c r="T17" i="7"/>
  <c r="HU18" i="6"/>
  <c r="X17" i="7"/>
  <c r="JQ18" i="6"/>
  <c r="D18" i="7"/>
  <c r="AK19" i="6"/>
  <c r="O24" i="7"/>
  <c r="FK25" i="6"/>
  <c r="FM25" i="6"/>
  <c r="P24" i="7"/>
  <c r="FY25" i="6"/>
  <c r="FX25" i="6"/>
  <c r="FW25" i="6"/>
  <c r="X24" i="7"/>
  <c r="JQ25" i="6"/>
  <c r="JP25" i="6"/>
  <c r="JO25" i="6"/>
  <c r="V25" i="7"/>
  <c r="IS26" i="6"/>
  <c r="IR26" i="6"/>
  <c r="O26" i="7"/>
  <c r="FK27" i="6"/>
  <c r="FL27" i="6"/>
  <c r="I27" i="7"/>
  <c r="CQ28" i="6"/>
  <c r="CS28" i="6"/>
  <c r="CR28" i="6"/>
  <c r="M27" i="7"/>
  <c r="EM28" i="6"/>
  <c r="EO28" i="6"/>
  <c r="EN28" i="6"/>
  <c r="Q27" i="7"/>
  <c r="GI28" i="6"/>
  <c r="GK28" i="6"/>
  <c r="GJ28" i="6"/>
  <c r="U27" i="7"/>
  <c r="IE28" i="6"/>
  <c r="IG28" i="6"/>
  <c r="IF28" i="6"/>
  <c r="B28" i="7"/>
  <c r="M29" i="6"/>
  <c r="K29" i="6"/>
  <c r="L29" i="6"/>
  <c r="F28" i="7"/>
  <c r="BI29" i="6"/>
  <c r="BG29" i="6"/>
  <c r="BH29" i="6"/>
  <c r="K29" i="7"/>
  <c r="DO30" i="6"/>
  <c r="DQ30" i="6"/>
  <c r="DP30" i="6"/>
  <c r="O29" i="7"/>
  <c r="FK30" i="6"/>
  <c r="FM30" i="6"/>
  <c r="FL30" i="6"/>
  <c r="S29" i="7"/>
  <c r="HG30" i="6"/>
  <c r="HI30" i="6"/>
  <c r="HH30" i="6"/>
  <c r="D30" i="7"/>
  <c r="AK31" i="6"/>
  <c r="AI31" i="6"/>
  <c r="AJ31" i="6"/>
  <c r="I31" i="7"/>
  <c r="CQ32" i="6"/>
  <c r="CS32" i="6"/>
  <c r="CR32" i="6"/>
  <c r="M31" i="7"/>
  <c r="EM32" i="6"/>
  <c r="EO32" i="6"/>
  <c r="EN32" i="6"/>
  <c r="Q31" i="7"/>
  <c r="GI32" i="6"/>
  <c r="GK32" i="6"/>
  <c r="GJ32" i="6"/>
  <c r="U31" i="7"/>
  <c r="IE32" i="6"/>
  <c r="IG32" i="6"/>
  <c r="IF32" i="6"/>
  <c r="B32" i="7"/>
  <c r="M33" i="6"/>
  <c r="K33" i="6"/>
  <c r="L33" i="6"/>
  <c r="F32" i="7"/>
  <c r="BI33" i="6"/>
  <c r="BG33" i="6"/>
  <c r="BH33" i="6"/>
  <c r="K33" i="7"/>
  <c r="DO34" i="6"/>
  <c r="DQ34" i="6"/>
  <c r="DP34" i="6"/>
  <c r="O33" i="7"/>
  <c r="FK34" i="6"/>
  <c r="FM34" i="6"/>
  <c r="FL34" i="6"/>
  <c r="S33" i="7"/>
  <c r="HG34" i="6"/>
  <c r="HI34" i="6"/>
  <c r="HH34" i="6"/>
  <c r="E34" i="7"/>
  <c r="AW35" i="6"/>
  <c r="AU35" i="6"/>
  <c r="AV35" i="6"/>
  <c r="J35" i="7"/>
  <c r="DE36" i="6"/>
  <c r="DC36" i="6"/>
  <c r="DD36" i="6"/>
  <c r="S36" i="7"/>
  <c r="HG37" i="6"/>
  <c r="HH37" i="6"/>
  <c r="HI37" i="6"/>
  <c r="Y36" i="7"/>
  <c r="KA37" i="6"/>
  <c r="KC37" i="6"/>
  <c r="KB37" i="6"/>
  <c r="E37" i="7"/>
  <c r="AU38" i="6"/>
  <c r="AW38" i="6"/>
  <c r="AV38" i="6"/>
  <c r="L37" i="7"/>
  <c r="EC38" i="6"/>
  <c r="EA38" i="6"/>
  <c r="EB38" i="6"/>
  <c r="P37" i="7"/>
  <c r="FY38" i="6"/>
  <c r="FW38" i="6"/>
  <c r="FX38" i="6"/>
  <c r="T37" i="7"/>
  <c r="HU38" i="6"/>
  <c r="HS38" i="6"/>
  <c r="HT38" i="6"/>
  <c r="W38" i="7"/>
  <c r="JC39" i="6"/>
  <c r="JE39" i="6"/>
  <c r="JD39" i="6"/>
  <c r="K43" i="7"/>
  <c r="DO44" i="6"/>
  <c r="DQ44" i="6"/>
  <c r="DP44" i="6"/>
  <c r="O43" i="7"/>
  <c r="FK44" i="6"/>
  <c r="FM44" i="6"/>
  <c r="FL44" i="6"/>
  <c r="S43" i="7"/>
  <c r="HG44" i="6"/>
  <c r="HI44" i="6"/>
  <c r="HH44" i="6"/>
  <c r="D44" i="7"/>
  <c r="AK45" i="6"/>
  <c r="AI45" i="6"/>
  <c r="AJ45" i="6"/>
  <c r="DO8" i="6"/>
  <c r="FK8" i="6"/>
  <c r="HG8" i="6"/>
  <c r="JC8" i="6"/>
  <c r="DO9" i="6"/>
  <c r="FK9" i="6"/>
  <c r="HG9" i="6"/>
  <c r="JC9" i="6"/>
  <c r="CS10" i="6"/>
  <c r="DO10" i="6"/>
  <c r="EO10" i="6"/>
  <c r="FK10" i="6"/>
  <c r="GK10" i="6"/>
  <c r="HG10" i="6"/>
  <c r="IG10" i="6"/>
  <c r="JC10" i="6"/>
  <c r="AI11" i="6"/>
  <c r="L10" i="7"/>
  <c r="EC11" i="6"/>
  <c r="P10" i="7"/>
  <c r="FY11" i="6"/>
  <c r="T10" i="7"/>
  <c r="HU11" i="6"/>
  <c r="X10" i="7"/>
  <c r="JQ11" i="6"/>
  <c r="D11" i="7"/>
  <c r="AK12" i="6"/>
  <c r="DC12" i="6"/>
  <c r="EY12" i="6"/>
  <c r="GU12" i="6"/>
  <c r="IQ12" i="6"/>
  <c r="K13" i="6"/>
  <c r="BG13" i="6"/>
  <c r="J12" i="7"/>
  <c r="DE13" i="6"/>
  <c r="N12" i="7"/>
  <c r="FA13" i="6"/>
  <c r="R12" i="7"/>
  <c r="GW13" i="6"/>
  <c r="V12" i="7"/>
  <c r="IS13" i="6"/>
  <c r="B13" i="7"/>
  <c r="M14" i="6"/>
  <c r="F13" i="7"/>
  <c r="BI14" i="6"/>
  <c r="EA14" i="6"/>
  <c r="FW14" i="6"/>
  <c r="HS14" i="6"/>
  <c r="JO14" i="6"/>
  <c r="AI15" i="6"/>
  <c r="L14" i="7"/>
  <c r="EC15" i="6"/>
  <c r="P14" i="7"/>
  <c r="FY15" i="6"/>
  <c r="T14" i="7"/>
  <c r="HU15" i="6"/>
  <c r="X14" i="7"/>
  <c r="JQ15" i="6"/>
  <c r="D15" i="7"/>
  <c r="AK16" i="6"/>
  <c r="DC16" i="6"/>
  <c r="EY16" i="6"/>
  <c r="GU16" i="6"/>
  <c r="IQ16" i="6"/>
  <c r="K17" i="6"/>
  <c r="BG17" i="6"/>
  <c r="N16" i="7"/>
  <c r="FA17" i="6"/>
  <c r="R16" i="7"/>
  <c r="GW17" i="6"/>
  <c r="V16" i="7"/>
  <c r="IS17" i="6"/>
  <c r="B17" i="7"/>
  <c r="M18" i="6"/>
  <c r="F17" i="7"/>
  <c r="BI18" i="6"/>
  <c r="EA18" i="6"/>
  <c r="FW18" i="6"/>
  <c r="HS18" i="6"/>
  <c r="JO18" i="6"/>
  <c r="AI19" i="6"/>
  <c r="L18" i="7"/>
  <c r="EC19" i="6"/>
  <c r="P18" i="7"/>
  <c r="FY19" i="6"/>
  <c r="T18" i="7"/>
  <c r="HU19" i="6"/>
  <c r="X18" i="7"/>
  <c r="JQ19" i="6"/>
  <c r="D19" i="7"/>
  <c r="AK20" i="6"/>
  <c r="FL25" i="6"/>
  <c r="U24" i="7"/>
  <c r="IE25" i="6"/>
  <c r="IF25" i="6"/>
  <c r="W24" i="7"/>
  <c r="JC25" i="6"/>
  <c r="JE25" i="6"/>
  <c r="E25" i="7"/>
  <c r="AU26" i="6"/>
  <c r="AV26" i="6"/>
  <c r="J25" i="7"/>
  <c r="DE26" i="6"/>
  <c r="DD26" i="6"/>
  <c r="IQ26" i="6"/>
  <c r="B26" i="7"/>
  <c r="M27" i="6"/>
  <c r="L27" i="6"/>
  <c r="K26" i="7"/>
  <c r="DO27" i="6"/>
  <c r="DP27" i="6"/>
  <c r="FM27" i="6"/>
  <c r="R26" i="7"/>
  <c r="GW27" i="6"/>
  <c r="GV27" i="6"/>
  <c r="GU27" i="6"/>
  <c r="L27" i="7"/>
  <c r="EC28" i="6"/>
  <c r="EA28" i="6"/>
  <c r="EB28" i="6"/>
  <c r="P27" i="7"/>
  <c r="FY28" i="6"/>
  <c r="FW28" i="6"/>
  <c r="FX28" i="6"/>
  <c r="T27" i="7"/>
  <c r="HU28" i="6"/>
  <c r="HS28" i="6"/>
  <c r="HT28" i="6"/>
  <c r="W27" i="7"/>
  <c r="JC28" i="6"/>
  <c r="JE28" i="6"/>
  <c r="JD28" i="6"/>
  <c r="Y27" i="7"/>
  <c r="KA28" i="6"/>
  <c r="KC28" i="6"/>
  <c r="KB28" i="6"/>
  <c r="E28" i="7"/>
  <c r="AU29" i="6"/>
  <c r="AW29" i="6"/>
  <c r="AV29" i="6"/>
  <c r="J29" i="7"/>
  <c r="DE30" i="6"/>
  <c r="DC30" i="6"/>
  <c r="DD30" i="6"/>
  <c r="N29" i="7"/>
  <c r="FA30" i="6"/>
  <c r="EY30" i="6"/>
  <c r="EZ30" i="6"/>
  <c r="R29" i="7"/>
  <c r="GW30" i="6"/>
  <c r="GU30" i="6"/>
  <c r="GV30" i="6"/>
  <c r="V29" i="7"/>
  <c r="IS30" i="6"/>
  <c r="IQ30" i="6"/>
  <c r="IR30" i="6"/>
  <c r="X29" i="7"/>
  <c r="JQ30" i="6"/>
  <c r="JO30" i="6"/>
  <c r="JP30" i="6"/>
  <c r="C30" i="7"/>
  <c r="W31" i="6"/>
  <c r="Y31" i="6"/>
  <c r="X31" i="6"/>
  <c r="G30" i="7"/>
  <c r="BS31" i="6"/>
  <c r="BU31" i="6"/>
  <c r="BT31" i="6"/>
  <c r="L31" i="7"/>
  <c r="EC32" i="6"/>
  <c r="EA32" i="6"/>
  <c r="EB32" i="6"/>
  <c r="P31" i="7"/>
  <c r="FY32" i="6"/>
  <c r="FW32" i="6"/>
  <c r="FX32" i="6"/>
  <c r="T31" i="7"/>
  <c r="HU32" i="6"/>
  <c r="HS32" i="6"/>
  <c r="HT32" i="6"/>
  <c r="W31" i="7"/>
  <c r="JC32" i="6"/>
  <c r="JE32" i="6"/>
  <c r="JD32" i="6"/>
  <c r="Y31" i="7"/>
  <c r="KA32" i="6"/>
  <c r="KC32" i="6"/>
  <c r="KB32" i="6"/>
  <c r="E32" i="7"/>
  <c r="AU33" i="6"/>
  <c r="AW33" i="6"/>
  <c r="AV33" i="6"/>
  <c r="J33" i="7"/>
  <c r="DE34" i="6"/>
  <c r="DC34" i="6"/>
  <c r="DD34" i="6"/>
  <c r="N33" i="7"/>
  <c r="FA34" i="6"/>
  <c r="EY34" i="6"/>
  <c r="EZ34" i="6"/>
  <c r="R33" i="7"/>
  <c r="GW34" i="6"/>
  <c r="GU34" i="6"/>
  <c r="GV34" i="6"/>
  <c r="V33" i="7"/>
  <c r="IS34" i="6"/>
  <c r="IQ34" i="6"/>
  <c r="IR34" i="6"/>
  <c r="X33" i="7"/>
  <c r="JQ34" i="6"/>
  <c r="JO34" i="6"/>
  <c r="JP34" i="6"/>
  <c r="D34" i="7"/>
  <c r="AI35" i="6"/>
  <c r="AK35" i="6"/>
  <c r="AJ35" i="6"/>
  <c r="I35" i="7"/>
  <c r="CS36" i="6"/>
  <c r="CQ36" i="6"/>
  <c r="CR36" i="6"/>
  <c r="W35" i="7"/>
  <c r="JC36" i="6"/>
  <c r="JE36" i="6"/>
  <c r="JD36" i="6"/>
  <c r="F36" i="7"/>
  <c r="BI37" i="6"/>
  <c r="BG37" i="6"/>
  <c r="BH37" i="6"/>
  <c r="D38" i="7"/>
  <c r="AK39" i="6"/>
  <c r="AI39" i="6"/>
  <c r="AJ39" i="6"/>
  <c r="K38" i="7"/>
  <c r="DO39" i="6"/>
  <c r="DQ39" i="6"/>
  <c r="DP39" i="6"/>
  <c r="O38" i="7"/>
  <c r="FK39" i="6"/>
  <c r="FM39" i="6"/>
  <c r="FL39" i="6"/>
  <c r="S38" i="7"/>
  <c r="HG39" i="6"/>
  <c r="HI39" i="6"/>
  <c r="HH39" i="6"/>
  <c r="B40" i="7"/>
  <c r="M41" i="6"/>
  <c r="K41" i="6"/>
  <c r="L41" i="6"/>
  <c r="F40" i="7"/>
  <c r="BI41" i="6"/>
  <c r="BG41" i="6"/>
  <c r="BH41" i="6"/>
  <c r="I40" i="7"/>
  <c r="CQ41" i="6"/>
  <c r="CS41" i="6"/>
  <c r="CR41" i="6"/>
  <c r="R48" i="7"/>
  <c r="GU49" i="6"/>
  <c r="GW49" i="6"/>
  <c r="GV49" i="6"/>
  <c r="L9" i="7"/>
  <c r="EB10" i="6"/>
  <c r="P9" i="7"/>
  <c r="FX10" i="6"/>
  <c r="T9" i="7"/>
  <c r="HT10" i="6"/>
  <c r="F10" i="7"/>
  <c r="BI11" i="6"/>
  <c r="I10" i="7"/>
  <c r="CQ11" i="6"/>
  <c r="M10" i="7"/>
  <c r="EM11" i="6"/>
  <c r="Q10" i="7"/>
  <c r="GI11" i="6"/>
  <c r="U10" i="7"/>
  <c r="IE11" i="6"/>
  <c r="Y10" i="7"/>
  <c r="KA11" i="6"/>
  <c r="E11" i="7"/>
  <c r="AU12" i="6"/>
  <c r="L11" i="7"/>
  <c r="EC12" i="6"/>
  <c r="P11" i="7"/>
  <c r="FY12" i="6"/>
  <c r="T11" i="7"/>
  <c r="HU12" i="6"/>
  <c r="X11" i="7"/>
  <c r="JQ12" i="6"/>
  <c r="D12" i="7"/>
  <c r="AK13" i="6"/>
  <c r="K12" i="7"/>
  <c r="DO13" i="6"/>
  <c r="O12" i="7"/>
  <c r="FK13" i="6"/>
  <c r="S12" i="7"/>
  <c r="HG13" i="6"/>
  <c r="W12" i="7"/>
  <c r="JC13" i="6"/>
  <c r="C13" i="7"/>
  <c r="W14" i="6"/>
  <c r="G13" i="7"/>
  <c r="BS14" i="6"/>
  <c r="J13" i="7"/>
  <c r="DE14" i="6"/>
  <c r="N13" i="7"/>
  <c r="FA14" i="6"/>
  <c r="R13" i="7"/>
  <c r="GW14" i="6"/>
  <c r="V13" i="7"/>
  <c r="IS14" i="6"/>
  <c r="B14" i="7"/>
  <c r="M15" i="6"/>
  <c r="F14" i="7"/>
  <c r="BI15" i="6"/>
  <c r="I14" i="7"/>
  <c r="CQ15" i="6"/>
  <c r="M14" i="7"/>
  <c r="EM15" i="6"/>
  <c r="Q14" i="7"/>
  <c r="GI15" i="6"/>
  <c r="U14" i="7"/>
  <c r="IE15" i="6"/>
  <c r="Y14" i="7"/>
  <c r="KA15" i="6"/>
  <c r="E15" i="7"/>
  <c r="AU16" i="6"/>
  <c r="L15" i="7"/>
  <c r="EC16" i="6"/>
  <c r="P15" i="7"/>
  <c r="FY16" i="6"/>
  <c r="T15" i="7"/>
  <c r="HU16" i="6"/>
  <c r="X15" i="7"/>
  <c r="JQ16" i="6"/>
  <c r="D16" i="7"/>
  <c r="AK17" i="6"/>
  <c r="K16" i="7"/>
  <c r="DO17" i="6"/>
  <c r="O16" i="7"/>
  <c r="FK17" i="6"/>
  <c r="S16" i="7"/>
  <c r="HG17" i="6"/>
  <c r="W16" i="7"/>
  <c r="JC17" i="6"/>
  <c r="C17" i="7"/>
  <c r="W18" i="6"/>
  <c r="G17" i="7"/>
  <c r="BS18" i="6"/>
  <c r="J17" i="7"/>
  <c r="DE18" i="6"/>
  <c r="N17" i="7"/>
  <c r="FA18" i="6"/>
  <c r="R17" i="7"/>
  <c r="GW18" i="6"/>
  <c r="V17" i="7"/>
  <c r="IS18" i="6"/>
  <c r="B18" i="7"/>
  <c r="M19" i="6"/>
  <c r="F18" i="7"/>
  <c r="BI19" i="6"/>
  <c r="I18" i="7"/>
  <c r="CQ19" i="6"/>
  <c r="M18" i="7"/>
  <c r="EM19" i="6"/>
  <c r="Q18" i="7"/>
  <c r="GI19" i="6"/>
  <c r="U18" i="7"/>
  <c r="IE19" i="6"/>
  <c r="Y18" i="7"/>
  <c r="KA19" i="6"/>
  <c r="E19" i="7"/>
  <c r="AU20" i="6"/>
  <c r="I19" i="7"/>
  <c r="CR20" i="6"/>
  <c r="CQ20" i="6"/>
  <c r="Q19" i="7"/>
  <c r="GJ20" i="6"/>
  <c r="GI20" i="6"/>
  <c r="E20" i="7"/>
  <c r="AV21" i="6"/>
  <c r="AU21" i="6"/>
  <c r="K20" i="7"/>
  <c r="DP21" i="6"/>
  <c r="DO21" i="6"/>
  <c r="S20" i="7"/>
  <c r="HH21" i="6"/>
  <c r="HG21" i="6"/>
  <c r="G21" i="7"/>
  <c r="BT22" i="6"/>
  <c r="BS22" i="6"/>
  <c r="M21" i="7"/>
  <c r="EN22" i="6"/>
  <c r="EM22" i="6"/>
  <c r="U21" i="7"/>
  <c r="IF22" i="6"/>
  <c r="IE22" i="6"/>
  <c r="W21" i="7"/>
  <c r="JD22" i="6"/>
  <c r="JC22" i="6"/>
  <c r="Y21" i="7"/>
  <c r="KB22" i="6"/>
  <c r="KA22" i="6"/>
  <c r="O22" i="7"/>
  <c r="FL23" i="6"/>
  <c r="FK23" i="6"/>
  <c r="C23" i="7"/>
  <c r="X24" i="6"/>
  <c r="W24" i="6"/>
  <c r="I23" i="7"/>
  <c r="CR24" i="6"/>
  <c r="CQ24" i="6"/>
  <c r="Q23" i="7"/>
  <c r="GJ24" i="6"/>
  <c r="GI24" i="6"/>
  <c r="E24" i="7"/>
  <c r="AV25" i="6"/>
  <c r="AU25" i="6"/>
  <c r="K24" i="7"/>
  <c r="DP25" i="6"/>
  <c r="DO25" i="6"/>
  <c r="Q24" i="7"/>
  <c r="GI25" i="6"/>
  <c r="GJ25" i="6"/>
  <c r="Y24" i="7"/>
  <c r="KA25" i="6"/>
  <c r="KB25" i="6"/>
  <c r="G25" i="7"/>
  <c r="BS26" i="6"/>
  <c r="BU26" i="6"/>
  <c r="N25" i="7"/>
  <c r="FA26" i="6"/>
  <c r="EZ26" i="6"/>
  <c r="O25" i="7"/>
  <c r="FK26" i="6"/>
  <c r="FM26" i="6"/>
  <c r="FL26" i="6"/>
  <c r="F26" i="7"/>
  <c r="BI27" i="6"/>
  <c r="BH27" i="6"/>
  <c r="DQ27" i="6"/>
  <c r="M26" i="7"/>
  <c r="EM27" i="6"/>
  <c r="EO27" i="6"/>
  <c r="N26" i="7"/>
  <c r="FA27" i="6"/>
  <c r="EZ27" i="6"/>
  <c r="EY27" i="6"/>
  <c r="K27" i="7"/>
  <c r="DO28" i="6"/>
  <c r="DQ28" i="6"/>
  <c r="DP28" i="6"/>
  <c r="O27" i="7"/>
  <c r="FK28" i="6"/>
  <c r="FM28" i="6"/>
  <c r="FL28" i="6"/>
  <c r="S27" i="7"/>
  <c r="HG28" i="6"/>
  <c r="HI28" i="6"/>
  <c r="HH28" i="6"/>
  <c r="D28" i="7"/>
  <c r="AK29" i="6"/>
  <c r="AI29" i="6"/>
  <c r="AJ29" i="6"/>
  <c r="I29" i="7"/>
  <c r="CQ30" i="6"/>
  <c r="CS30" i="6"/>
  <c r="CR30" i="6"/>
  <c r="M29" i="7"/>
  <c r="EM30" i="6"/>
  <c r="EO30" i="6"/>
  <c r="EN30" i="6"/>
  <c r="Q29" i="7"/>
  <c r="GI30" i="6"/>
  <c r="GK30" i="6"/>
  <c r="GJ30" i="6"/>
  <c r="U29" i="7"/>
  <c r="IE30" i="6"/>
  <c r="IG30" i="6"/>
  <c r="IF30" i="6"/>
  <c r="B30" i="7"/>
  <c r="M31" i="6"/>
  <c r="K31" i="6"/>
  <c r="L31" i="6"/>
  <c r="F30" i="7"/>
  <c r="BI31" i="6"/>
  <c r="BG31" i="6"/>
  <c r="BH31" i="6"/>
  <c r="K31" i="7"/>
  <c r="DO32" i="6"/>
  <c r="DQ32" i="6"/>
  <c r="DP32" i="6"/>
  <c r="O31" i="7"/>
  <c r="FK32" i="6"/>
  <c r="FM32" i="6"/>
  <c r="FL32" i="6"/>
  <c r="S31" i="7"/>
  <c r="HG32" i="6"/>
  <c r="HI32" i="6"/>
  <c r="HH32" i="6"/>
  <c r="D32" i="7"/>
  <c r="AK33" i="6"/>
  <c r="AI33" i="6"/>
  <c r="AJ33" i="6"/>
  <c r="I33" i="7"/>
  <c r="CQ34" i="6"/>
  <c r="CS34" i="6"/>
  <c r="CR34" i="6"/>
  <c r="M33" i="7"/>
  <c r="EM34" i="6"/>
  <c r="EO34" i="6"/>
  <c r="EN34" i="6"/>
  <c r="Q33" i="7"/>
  <c r="GI34" i="6"/>
  <c r="GK34" i="6"/>
  <c r="GJ34" i="6"/>
  <c r="U33" i="7"/>
  <c r="IE34" i="6"/>
  <c r="IG34" i="6"/>
  <c r="IF34" i="6"/>
  <c r="C34" i="7"/>
  <c r="Y35" i="6"/>
  <c r="W35" i="6"/>
  <c r="X35" i="6"/>
  <c r="G34" i="7"/>
  <c r="BU35" i="6"/>
  <c r="BS35" i="6"/>
  <c r="BT35" i="6"/>
  <c r="R35" i="7"/>
  <c r="GW36" i="6"/>
  <c r="GU36" i="6"/>
  <c r="GV36" i="6"/>
  <c r="E36" i="7"/>
  <c r="AU37" i="6"/>
  <c r="AW37" i="6"/>
  <c r="AV37" i="6"/>
  <c r="U36" i="7"/>
  <c r="IE37" i="6"/>
  <c r="IG37" i="6"/>
  <c r="IF37" i="6"/>
  <c r="X37" i="7"/>
  <c r="JQ38" i="6"/>
  <c r="JO38" i="6"/>
  <c r="JP38" i="6"/>
  <c r="J45" i="7"/>
  <c r="DE46" i="6"/>
  <c r="DC46" i="6"/>
  <c r="DD46" i="6"/>
  <c r="N45" i="7"/>
  <c r="FA46" i="6"/>
  <c r="EY46" i="6"/>
  <c r="EZ46" i="6"/>
  <c r="R45" i="7"/>
  <c r="GW46" i="6"/>
  <c r="GU46" i="6"/>
  <c r="GV46" i="6"/>
  <c r="V45" i="7"/>
  <c r="IS46" i="6"/>
  <c r="IQ46" i="6"/>
  <c r="IR46" i="6"/>
  <c r="X45" i="7"/>
  <c r="JQ46" i="6"/>
  <c r="JO46" i="6"/>
  <c r="JP46" i="6"/>
  <c r="C46" i="7"/>
  <c r="W47" i="6"/>
  <c r="Y47" i="6"/>
  <c r="X47" i="6"/>
  <c r="G46" i="7"/>
  <c r="BS47" i="6"/>
  <c r="BU47" i="6"/>
  <c r="BT47" i="6"/>
  <c r="DE20" i="6"/>
  <c r="EC20" i="6"/>
  <c r="FA20" i="6"/>
  <c r="FY20" i="6"/>
  <c r="GW20" i="6"/>
  <c r="HU20" i="6"/>
  <c r="IS20" i="6"/>
  <c r="JQ20" i="6"/>
  <c r="M21" i="6"/>
  <c r="AK21" i="6"/>
  <c r="BI21" i="6"/>
  <c r="DE21" i="6"/>
  <c r="EC21" i="6"/>
  <c r="FA21" i="6"/>
  <c r="FY21" i="6"/>
  <c r="GW21" i="6"/>
  <c r="HU21" i="6"/>
  <c r="IS21" i="6"/>
  <c r="JQ21" i="6"/>
  <c r="M22" i="6"/>
  <c r="AK22" i="6"/>
  <c r="BI22" i="6"/>
  <c r="DE22" i="6"/>
  <c r="EC22" i="6"/>
  <c r="FA22" i="6"/>
  <c r="FY22" i="6"/>
  <c r="GW22" i="6"/>
  <c r="HU22" i="6"/>
  <c r="IS22" i="6"/>
  <c r="JQ22" i="6"/>
  <c r="M23" i="6"/>
  <c r="AK23" i="6"/>
  <c r="BI23" i="6"/>
  <c r="DE23" i="6"/>
  <c r="EC23" i="6"/>
  <c r="FA23" i="6"/>
  <c r="FY23" i="6"/>
  <c r="GW23" i="6"/>
  <c r="HU23" i="6"/>
  <c r="IS23" i="6"/>
  <c r="JQ23" i="6"/>
  <c r="M24" i="6"/>
  <c r="AK24" i="6"/>
  <c r="BI24" i="6"/>
  <c r="DE24" i="6"/>
  <c r="EC24" i="6"/>
  <c r="FA24" i="6"/>
  <c r="FY24" i="6"/>
  <c r="GW24" i="6"/>
  <c r="HU24" i="6"/>
  <c r="IS24" i="6"/>
  <c r="JQ24" i="6"/>
  <c r="M25" i="6"/>
  <c r="AK25" i="6"/>
  <c r="BI25" i="6"/>
  <c r="DE25" i="6"/>
  <c r="EC25" i="6"/>
  <c r="L25" i="7"/>
  <c r="EC26" i="6"/>
  <c r="P25" i="7"/>
  <c r="FY26" i="6"/>
  <c r="T25" i="7"/>
  <c r="HU26" i="6"/>
  <c r="X25" i="7"/>
  <c r="JQ26" i="6"/>
  <c r="D26" i="7"/>
  <c r="AK27" i="6"/>
  <c r="O35" i="7"/>
  <c r="FK36" i="6"/>
  <c r="FM36" i="6"/>
  <c r="P35" i="7"/>
  <c r="FY36" i="6"/>
  <c r="FW36" i="6"/>
  <c r="W37" i="6"/>
  <c r="C36" i="7"/>
  <c r="Y37" i="6"/>
  <c r="D36" i="7"/>
  <c r="AK37" i="6"/>
  <c r="AI37" i="6"/>
  <c r="I36" i="7"/>
  <c r="CQ37" i="6"/>
  <c r="CR37" i="6"/>
  <c r="X36" i="7"/>
  <c r="JQ37" i="6"/>
  <c r="JO37" i="6"/>
  <c r="JP37" i="6"/>
  <c r="D37" i="7"/>
  <c r="AK38" i="6"/>
  <c r="AI38" i="6"/>
  <c r="AJ38" i="6"/>
  <c r="K37" i="7"/>
  <c r="DO38" i="6"/>
  <c r="DQ38" i="6"/>
  <c r="DP38" i="6"/>
  <c r="O37" i="7"/>
  <c r="FK38" i="6"/>
  <c r="FM38" i="6"/>
  <c r="FL38" i="6"/>
  <c r="S37" i="7"/>
  <c r="HG38" i="6"/>
  <c r="HI38" i="6"/>
  <c r="HH38" i="6"/>
  <c r="W37" i="7"/>
  <c r="JC38" i="6"/>
  <c r="JE38" i="6"/>
  <c r="JD38" i="6"/>
  <c r="C38" i="7"/>
  <c r="W39" i="6"/>
  <c r="Y39" i="6"/>
  <c r="X39" i="6"/>
  <c r="G38" i="7"/>
  <c r="BS39" i="6"/>
  <c r="BU39" i="6"/>
  <c r="BT39" i="6"/>
  <c r="J38" i="7"/>
  <c r="DE39" i="6"/>
  <c r="DC39" i="6"/>
  <c r="DD39" i="6"/>
  <c r="N38" i="7"/>
  <c r="FA39" i="6"/>
  <c r="EY39" i="6"/>
  <c r="EZ39" i="6"/>
  <c r="R38" i="7"/>
  <c r="GW39" i="6"/>
  <c r="GU39" i="6"/>
  <c r="GV39" i="6"/>
  <c r="V38" i="7"/>
  <c r="IS39" i="6"/>
  <c r="IQ39" i="6"/>
  <c r="IR39" i="6"/>
  <c r="B39" i="7"/>
  <c r="M40" i="6"/>
  <c r="K40" i="6"/>
  <c r="L40" i="6"/>
  <c r="F39" i="7"/>
  <c r="BI40" i="6"/>
  <c r="BG40" i="6"/>
  <c r="BH40" i="6"/>
  <c r="I39" i="7"/>
  <c r="CQ40" i="6"/>
  <c r="CS40" i="6"/>
  <c r="CR40" i="6"/>
  <c r="M39" i="7"/>
  <c r="EM40" i="6"/>
  <c r="EO40" i="6"/>
  <c r="EN40" i="6"/>
  <c r="Q39" i="7"/>
  <c r="GI40" i="6"/>
  <c r="GK40" i="6"/>
  <c r="GJ40" i="6"/>
  <c r="U39" i="7"/>
  <c r="IE40" i="6"/>
  <c r="IG40" i="6"/>
  <c r="IF40" i="6"/>
  <c r="Y39" i="7"/>
  <c r="KA40" i="6"/>
  <c r="KC40" i="6"/>
  <c r="KB40" i="6"/>
  <c r="E40" i="7"/>
  <c r="AU41" i="6"/>
  <c r="AW41" i="6"/>
  <c r="AV41" i="6"/>
  <c r="L40" i="7"/>
  <c r="EC41" i="6"/>
  <c r="EA41" i="6"/>
  <c r="EB41" i="6"/>
  <c r="K41" i="7"/>
  <c r="DO42" i="6"/>
  <c r="DQ42" i="6"/>
  <c r="DP42" i="6"/>
  <c r="O41" i="7"/>
  <c r="FK42" i="6"/>
  <c r="FM42" i="6"/>
  <c r="FL42" i="6"/>
  <c r="S41" i="7"/>
  <c r="HG42" i="6"/>
  <c r="HI42" i="6"/>
  <c r="HH42" i="6"/>
  <c r="D42" i="7"/>
  <c r="AK43" i="6"/>
  <c r="AI43" i="6"/>
  <c r="AJ43" i="6"/>
  <c r="J43" i="7"/>
  <c r="DE44" i="6"/>
  <c r="DC44" i="6"/>
  <c r="DD44" i="6"/>
  <c r="N43" i="7"/>
  <c r="FA44" i="6"/>
  <c r="EY44" i="6"/>
  <c r="EZ44" i="6"/>
  <c r="R43" i="7"/>
  <c r="GW44" i="6"/>
  <c r="GU44" i="6"/>
  <c r="GV44" i="6"/>
  <c r="V43" i="7"/>
  <c r="IS44" i="6"/>
  <c r="IQ44" i="6"/>
  <c r="IR44" i="6"/>
  <c r="X43" i="7"/>
  <c r="JQ44" i="6"/>
  <c r="JO44" i="6"/>
  <c r="JP44" i="6"/>
  <c r="C44" i="7"/>
  <c r="W45" i="6"/>
  <c r="Y45" i="6"/>
  <c r="X45" i="6"/>
  <c r="G44" i="7"/>
  <c r="BS45" i="6"/>
  <c r="BU45" i="6"/>
  <c r="BT45" i="6"/>
  <c r="I45" i="7"/>
  <c r="CQ46" i="6"/>
  <c r="CS46" i="6"/>
  <c r="CR46" i="6"/>
  <c r="M45" i="7"/>
  <c r="EM46" i="6"/>
  <c r="EO46" i="6"/>
  <c r="EN46" i="6"/>
  <c r="Q45" i="7"/>
  <c r="GI46" i="6"/>
  <c r="GK46" i="6"/>
  <c r="GJ46" i="6"/>
  <c r="U45" i="7"/>
  <c r="IE46" i="6"/>
  <c r="IG46" i="6"/>
  <c r="IF46" i="6"/>
  <c r="B46" i="7"/>
  <c r="M47" i="6"/>
  <c r="K47" i="6"/>
  <c r="L47" i="6"/>
  <c r="F46" i="7"/>
  <c r="BI47" i="6"/>
  <c r="BG47" i="6"/>
  <c r="BH47" i="6"/>
  <c r="N48" i="7"/>
  <c r="EY49" i="6"/>
  <c r="FA49" i="6"/>
  <c r="EZ49" i="6"/>
  <c r="N24" i="7"/>
  <c r="FA25" i="6"/>
  <c r="R24" i="7"/>
  <c r="GW25" i="6"/>
  <c r="V24" i="7"/>
  <c r="IS25" i="6"/>
  <c r="B25" i="7"/>
  <c r="M26" i="6"/>
  <c r="F25" i="7"/>
  <c r="BI26" i="6"/>
  <c r="I25" i="7"/>
  <c r="CQ26" i="6"/>
  <c r="M25" i="7"/>
  <c r="EM26" i="6"/>
  <c r="Q25" i="7"/>
  <c r="GI26" i="6"/>
  <c r="U25" i="7"/>
  <c r="IE26" i="6"/>
  <c r="Y25" i="7"/>
  <c r="KA26" i="6"/>
  <c r="E26" i="7"/>
  <c r="AU27" i="6"/>
  <c r="L26" i="7"/>
  <c r="EC27" i="6"/>
  <c r="P26" i="7"/>
  <c r="FY27" i="6"/>
  <c r="T26" i="7"/>
  <c r="HU27" i="6"/>
  <c r="HS27" i="6"/>
  <c r="U26" i="7"/>
  <c r="IE27" i="6"/>
  <c r="IG27" i="6"/>
  <c r="V26" i="7"/>
  <c r="IS27" i="6"/>
  <c r="IQ27" i="6"/>
  <c r="W26" i="7"/>
  <c r="JC27" i="6"/>
  <c r="JE27" i="6"/>
  <c r="X26" i="7"/>
  <c r="JQ27" i="6"/>
  <c r="JO27" i="6"/>
  <c r="Y26" i="7"/>
  <c r="KA27" i="6"/>
  <c r="KC27" i="6"/>
  <c r="B27" i="7"/>
  <c r="M28" i="6"/>
  <c r="K28" i="6"/>
  <c r="C27" i="7"/>
  <c r="W28" i="6"/>
  <c r="Y28" i="6"/>
  <c r="D27" i="7"/>
  <c r="AK28" i="6"/>
  <c r="AI28" i="6"/>
  <c r="E27" i="7"/>
  <c r="AU28" i="6"/>
  <c r="AW28" i="6"/>
  <c r="F27" i="7"/>
  <c r="BI28" i="6"/>
  <c r="BG28" i="6"/>
  <c r="G27" i="7"/>
  <c r="BS28" i="6"/>
  <c r="BU28" i="6"/>
  <c r="I28" i="7"/>
  <c r="CQ29" i="6"/>
  <c r="CS29" i="6"/>
  <c r="J28" i="7"/>
  <c r="DE29" i="6"/>
  <c r="DC29" i="6"/>
  <c r="K28" i="7"/>
  <c r="DO29" i="6"/>
  <c r="DQ29" i="6"/>
  <c r="L28" i="7"/>
  <c r="EC29" i="6"/>
  <c r="EA29" i="6"/>
  <c r="M28" i="7"/>
  <c r="EM29" i="6"/>
  <c r="EO29" i="6"/>
  <c r="N28" i="7"/>
  <c r="FA29" i="6"/>
  <c r="EY29" i="6"/>
  <c r="O28" i="7"/>
  <c r="FK29" i="6"/>
  <c r="FM29" i="6"/>
  <c r="P28" i="7"/>
  <c r="FY29" i="6"/>
  <c r="FW29" i="6"/>
  <c r="Q28" i="7"/>
  <c r="GI29" i="6"/>
  <c r="GK29" i="6"/>
  <c r="R28" i="7"/>
  <c r="GW29" i="6"/>
  <c r="GU29" i="6"/>
  <c r="S28" i="7"/>
  <c r="HG29" i="6"/>
  <c r="HI29" i="6"/>
  <c r="T28" i="7"/>
  <c r="HU29" i="6"/>
  <c r="HS29" i="6"/>
  <c r="U28" i="7"/>
  <c r="IE29" i="6"/>
  <c r="IG29" i="6"/>
  <c r="V28" i="7"/>
  <c r="IS29" i="6"/>
  <c r="IQ29" i="6"/>
  <c r="W28" i="7"/>
  <c r="JC29" i="6"/>
  <c r="JE29" i="6"/>
  <c r="X28" i="7"/>
  <c r="JQ29" i="6"/>
  <c r="JO29" i="6"/>
  <c r="Y28" i="7"/>
  <c r="KA29" i="6"/>
  <c r="KC29" i="6"/>
  <c r="B29" i="7"/>
  <c r="M30" i="6"/>
  <c r="K30" i="6"/>
  <c r="C29" i="7"/>
  <c r="W30" i="6"/>
  <c r="Y30" i="6"/>
  <c r="D29" i="7"/>
  <c r="AK30" i="6"/>
  <c r="AI30" i="6"/>
  <c r="E29" i="7"/>
  <c r="AU30" i="6"/>
  <c r="AW30" i="6"/>
  <c r="F29" i="7"/>
  <c r="BI30" i="6"/>
  <c r="BG30" i="6"/>
  <c r="G29" i="7"/>
  <c r="BS30" i="6"/>
  <c r="BU30" i="6"/>
  <c r="I30" i="7"/>
  <c r="CQ31" i="6"/>
  <c r="CS31" i="6"/>
  <c r="J30" i="7"/>
  <c r="DE31" i="6"/>
  <c r="DC31" i="6"/>
  <c r="K30" i="7"/>
  <c r="DO31" i="6"/>
  <c r="DQ31" i="6"/>
  <c r="L30" i="7"/>
  <c r="EC31" i="6"/>
  <c r="EA31" i="6"/>
  <c r="M30" i="7"/>
  <c r="EM31" i="6"/>
  <c r="EO31" i="6"/>
  <c r="N30" i="7"/>
  <c r="FA31" i="6"/>
  <c r="EY31" i="6"/>
  <c r="O30" i="7"/>
  <c r="FK31" i="6"/>
  <c r="FM31" i="6"/>
  <c r="P30" i="7"/>
  <c r="FY31" i="6"/>
  <c r="FW31" i="6"/>
  <c r="Q30" i="7"/>
  <c r="GI31" i="6"/>
  <c r="GK31" i="6"/>
  <c r="R30" i="7"/>
  <c r="GW31" i="6"/>
  <c r="GU31" i="6"/>
  <c r="S30" i="7"/>
  <c r="HG31" i="6"/>
  <c r="HI31" i="6"/>
  <c r="T30" i="7"/>
  <c r="HU31" i="6"/>
  <c r="HS31" i="6"/>
  <c r="U30" i="7"/>
  <c r="IE31" i="6"/>
  <c r="IG31" i="6"/>
  <c r="V30" i="7"/>
  <c r="IS31" i="6"/>
  <c r="IQ31" i="6"/>
  <c r="W30" i="7"/>
  <c r="JC31" i="6"/>
  <c r="JE31" i="6"/>
  <c r="X30" i="7"/>
  <c r="JQ31" i="6"/>
  <c r="JO31" i="6"/>
  <c r="Y30" i="7"/>
  <c r="KA31" i="6"/>
  <c r="KC31" i="6"/>
  <c r="B31" i="7"/>
  <c r="M32" i="6"/>
  <c r="K32" i="6"/>
  <c r="C31" i="7"/>
  <c r="W32" i="6"/>
  <c r="Y32" i="6"/>
  <c r="D31" i="7"/>
  <c r="AK32" i="6"/>
  <c r="AI32" i="6"/>
  <c r="E31" i="7"/>
  <c r="AU32" i="6"/>
  <c r="AW32" i="6"/>
  <c r="F31" i="7"/>
  <c r="BI32" i="6"/>
  <c r="BG32" i="6"/>
  <c r="G31" i="7"/>
  <c r="BS32" i="6"/>
  <c r="BU32" i="6"/>
  <c r="I32" i="7"/>
  <c r="CQ33" i="6"/>
  <c r="CS33" i="6"/>
  <c r="J32" i="7"/>
  <c r="DE33" i="6"/>
  <c r="DC33" i="6"/>
  <c r="K32" i="7"/>
  <c r="DO33" i="6"/>
  <c r="DQ33" i="6"/>
  <c r="L32" i="7"/>
  <c r="EC33" i="6"/>
  <c r="EA33" i="6"/>
  <c r="M32" i="7"/>
  <c r="EM33" i="6"/>
  <c r="EO33" i="6"/>
  <c r="N32" i="7"/>
  <c r="FA33" i="6"/>
  <c r="EY33" i="6"/>
  <c r="O32" i="7"/>
  <c r="FK33" i="6"/>
  <c r="FM33" i="6"/>
  <c r="P32" i="7"/>
  <c r="FY33" i="6"/>
  <c r="FW33" i="6"/>
  <c r="Q32" i="7"/>
  <c r="GI33" i="6"/>
  <c r="GK33" i="6"/>
  <c r="R32" i="7"/>
  <c r="GW33" i="6"/>
  <c r="GU33" i="6"/>
  <c r="S32" i="7"/>
  <c r="HG33" i="6"/>
  <c r="HI33" i="6"/>
  <c r="T32" i="7"/>
  <c r="HU33" i="6"/>
  <c r="HS33" i="6"/>
  <c r="U32" i="7"/>
  <c r="IE33" i="6"/>
  <c r="IG33" i="6"/>
  <c r="V32" i="7"/>
  <c r="IS33" i="6"/>
  <c r="IQ33" i="6"/>
  <c r="W32" i="7"/>
  <c r="JC33" i="6"/>
  <c r="JE33" i="6"/>
  <c r="X32" i="7"/>
  <c r="JQ33" i="6"/>
  <c r="JO33" i="6"/>
  <c r="Y32" i="7"/>
  <c r="KA33" i="6"/>
  <c r="KC33" i="6"/>
  <c r="B33" i="7"/>
  <c r="M34" i="6"/>
  <c r="K34" i="6"/>
  <c r="C33" i="7"/>
  <c r="W34" i="6"/>
  <c r="Y34" i="6"/>
  <c r="D33" i="7"/>
  <c r="AK34" i="6"/>
  <c r="AI34" i="6"/>
  <c r="E33" i="7"/>
  <c r="AU34" i="6"/>
  <c r="AW34" i="6"/>
  <c r="F33" i="7"/>
  <c r="BI34" i="6"/>
  <c r="BG34" i="6"/>
  <c r="G33" i="7"/>
  <c r="BS34" i="6"/>
  <c r="BU34" i="6"/>
  <c r="I34" i="7"/>
  <c r="CS35" i="6"/>
  <c r="CQ35" i="6"/>
  <c r="J34" i="7"/>
  <c r="DC35" i="6"/>
  <c r="DE35" i="6"/>
  <c r="K34" i="7"/>
  <c r="DQ35" i="6"/>
  <c r="DO35" i="6"/>
  <c r="L34" i="7"/>
  <c r="EA35" i="6"/>
  <c r="EC35" i="6"/>
  <c r="M34" i="7"/>
  <c r="EO35" i="6"/>
  <c r="EM35" i="6"/>
  <c r="N34" i="7"/>
  <c r="EY35" i="6"/>
  <c r="FA35" i="6"/>
  <c r="O34" i="7"/>
  <c r="FM35" i="6"/>
  <c r="FK35" i="6"/>
  <c r="P34" i="7"/>
  <c r="FW35" i="6"/>
  <c r="FY35" i="6"/>
  <c r="Q34" i="7"/>
  <c r="GK35" i="6"/>
  <c r="GI35" i="6"/>
  <c r="R34" i="7"/>
  <c r="GU35" i="6"/>
  <c r="GW35" i="6"/>
  <c r="S34" i="7"/>
  <c r="HI35" i="6"/>
  <c r="HG35" i="6"/>
  <c r="T34" i="7"/>
  <c r="HS35" i="6"/>
  <c r="HU35" i="6"/>
  <c r="U34" i="7"/>
  <c r="IG35" i="6"/>
  <c r="IE35" i="6"/>
  <c r="V34" i="7"/>
  <c r="IQ35" i="6"/>
  <c r="IS35" i="6"/>
  <c r="W34" i="7"/>
  <c r="JE35" i="6"/>
  <c r="JC35" i="6"/>
  <c r="X34" i="7"/>
  <c r="JO35" i="6"/>
  <c r="JQ35" i="6"/>
  <c r="Y34" i="7"/>
  <c r="KC35" i="6"/>
  <c r="KA35" i="6"/>
  <c r="B35" i="7"/>
  <c r="K36" i="6"/>
  <c r="M36" i="6"/>
  <c r="C35" i="7"/>
  <c r="Y36" i="6"/>
  <c r="W36" i="6"/>
  <c r="D35" i="7"/>
  <c r="AI36" i="6"/>
  <c r="AK36" i="6"/>
  <c r="E35" i="7"/>
  <c r="AW36" i="6"/>
  <c r="AU36" i="6"/>
  <c r="F35" i="7"/>
  <c r="BG36" i="6"/>
  <c r="BI36" i="6"/>
  <c r="G35" i="7"/>
  <c r="BU36" i="6"/>
  <c r="BS36" i="6"/>
  <c r="M35" i="7"/>
  <c r="EM36" i="6"/>
  <c r="EO36" i="6"/>
  <c r="N35" i="7"/>
  <c r="FA36" i="6"/>
  <c r="EY36" i="6"/>
  <c r="U35" i="7"/>
  <c r="IE36" i="6"/>
  <c r="IG36" i="6"/>
  <c r="V35" i="7"/>
  <c r="IS36" i="6"/>
  <c r="IQ36" i="6"/>
  <c r="Y35" i="7"/>
  <c r="KA36" i="6"/>
  <c r="KC36" i="6"/>
  <c r="B36" i="7"/>
  <c r="M37" i="6"/>
  <c r="K37" i="6"/>
  <c r="K36" i="7"/>
  <c r="DO37" i="6"/>
  <c r="DP37" i="6"/>
  <c r="M36" i="7"/>
  <c r="EM37" i="6"/>
  <c r="EN37" i="6"/>
  <c r="W36" i="7"/>
  <c r="JC37" i="6"/>
  <c r="JE37" i="6"/>
  <c r="JD37" i="6"/>
  <c r="C37" i="7"/>
  <c r="W38" i="6"/>
  <c r="Y38" i="6"/>
  <c r="X38" i="6"/>
  <c r="G37" i="7"/>
  <c r="BS38" i="6"/>
  <c r="BU38" i="6"/>
  <c r="BT38" i="6"/>
  <c r="J37" i="7"/>
  <c r="DE38" i="6"/>
  <c r="DC38" i="6"/>
  <c r="DD38" i="6"/>
  <c r="N37" i="7"/>
  <c r="FA38" i="6"/>
  <c r="EY38" i="6"/>
  <c r="EZ38" i="6"/>
  <c r="R37" i="7"/>
  <c r="GW38" i="6"/>
  <c r="GU38" i="6"/>
  <c r="GV38" i="6"/>
  <c r="V37" i="7"/>
  <c r="IS38" i="6"/>
  <c r="IQ38" i="6"/>
  <c r="IR38" i="6"/>
  <c r="B38" i="7"/>
  <c r="M39" i="6"/>
  <c r="K39" i="6"/>
  <c r="L39" i="6"/>
  <c r="F38" i="7"/>
  <c r="BI39" i="6"/>
  <c r="BG39" i="6"/>
  <c r="BH39" i="6"/>
  <c r="I38" i="7"/>
  <c r="CQ39" i="6"/>
  <c r="CS39" i="6"/>
  <c r="CR39" i="6"/>
  <c r="M38" i="7"/>
  <c r="EM39" i="6"/>
  <c r="EO39" i="6"/>
  <c r="EN39" i="6"/>
  <c r="Q38" i="7"/>
  <c r="GI39" i="6"/>
  <c r="GK39" i="6"/>
  <c r="GJ39" i="6"/>
  <c r="U38" i="7"/>
  <c r="IE39" i="6"/>
  <c r="IG39" i="6"/>
  <c r="IF39" i="6"/>
  <c r="Y38" i="7"/>
  <c r="KA39" i="6"/>
  <c r="KC39" i="6"/>
  <c r="KB39" i="6"/>
  <c r="E39" i="7"/>
  <c r="AU40" i="6"/>
  <c r="AW40" i="6"/>
  <c r="AV40" i="6"/>
  <c r="L39" i="7"/>
  <c r="EC40" i="6"/>
  <c r="EA40" i="6"/>
  <c r="EB40" i="6"/>
  <c r="P39" i="7"/>
  <c r="FY40" i="6"/>
  <c r="FW40" i="6"/>
  <c r="FX40" i="6"/>
  <c r="T39" i="7"/>
  <c r="HU40" i="6"/>
  <c r="HS40" i="6"/>
  <c r="HT40" i="6"/>
  <c r="X39" i="7"/>
  <c r="JQ40" i="6"/>
  <c r="JO40" i="6"/>
  <c r="JP40" i="6"/>
  <c r="D40" i="7"/>
  <c r="AK41" i="6"/>
  <c r="AI41" i="6"/>
  <c r="AJ41" i="6"/>
  <c r="K40" i="7"/>
  <c r="DO41" i="6"/>
  <c r="DQ41" i="6"/>
  <c r="DP41" i="6"/>
  <c r="J41" i="7"/>
  <c r="DE42" i="6"/>
  <c r="DC42" i="6"/>
  <c r="DD42" i="6"/>
  <c r="N41" i="7"/>
  <c r="FA42" i="6"/>
  <c r="EY42" i="6"/>
  <c r="EZ42" i="6"/>
  <c r="R41" i="7"/>
  <c r="GW42" i="6"/>
  <c r="GU42" i="6"/>
  <c r="GV42" i="6"/>
  <c r="V41" i="7"/>
  <c r="IS42" i="6"/>
  <c r="IQ42" i="6"/>
  <c r="IR42" i="6"/>
  <c r="X41" i="7"/>
  <c r="JQ42" i="6"/>
  <c r="JO42" i="6"/>
  <c r="JP42" i="6"/>
  <c r="C42" i="7"/>
  <c r="W43" i="6"/>
  <c r="Y43" i="6"/>
  <c r="X43" i="6"/>
  <c r="G42" i="7"/>
  <c r="BS43" i="6"/>
  <c r="BU43" i="6"/>
  <c r="BT43" i="6"/>
  <c r="I43" i="7"/>
  <c r="CQ44" i="6"/>
  <c r="CS44" i="6"/>
  <c r="CR44" i="6"/>
  <c r="M43" i="7"/>
  <c r="EM44" i="6"/>
  <c r="EO44" i="6"/>
  <c r="EN44" i="6"/>
  <c r="Q43" i="7"/>
  <c r="GI44" i="6"/>
  <c r="GK44" i="6"/>
  <c r="GJ44" i="6"/>
  <c r="U43" i="7"/>
  <c r="IE44" i="6"/>
  <c r="IG44" i="6"/>
  <c r="IF44" i="6"/>
  <c r="B44" i="7"/>
  <c r="M45" i="6"/>
  <c r="K45" i="6"/>
  <c r="L45" i="6"/>
  <c r="F44" i="7"/>
  <c r="BI45" i="6"/>
  <c r="BG45" i="6"/>
  <c r="BH45" i="6"/>
  <c r="L45" i="7"/>
  <c r="EC46" i="6"/>
  <c r="EA46" i="6"/>
  <c r="EB46" i="6"/>
  <c r="P45" i="7"/>
  <c r="FY46" i="6"/>
  <c r="FW46" i="6"/>
  <c r="FX46" i="6"/>
  <c r="T45" i="7"/>
  <c r="HU46" i="6"/>
  <c r="HS46" i="6"/>
  <c r="HT46" i="6"/>
  <c r="W45" i="7"/>
  <c r="JC46" i="6"/>
  <c r="JE46" i="6"/>
  <c r="JD46" i="6"/>
  <c r="Y45" i="7"/>
  <c r="KA46" i="6"/>
  <c r="KC46" i="6"/>
  <c r="KB46" i="6"/>
  <c r="E46" i="7"/>
  <c r="AU47" i="6"/>
  <c r="AW47" i="6"/>
  <c r="AV47" i="6"/>
  <c r="J48" i="7"/>
  <c r="DC49" i="6"/>
  <c r="DE49" i="6"/>
  <c r="DD49" i="6"/>
  <c r="Q26" i="7"/>
  <c r="GI27" i="6"/>
  <c r="K35" i="7"/>
  <c r="DO36" i="6"/>
  <c r="DQ36" i="6"/>
  <c r="L35" i="7"/>
  <c r="EC36" i="6"/>
  <c r="EA36" i="6"/>
  <c r="S35" i="7"/>
  <c r="HG36" i="6"/>
  <c r="HI36" i="6"/>
  <c r="T35" i="7"/>
  <c r="HU36" i="6"/>
  <c r="HS36" i="6"/>
  <c r="G36" i="7"/>
  <c r="BS37" i="6"/>
  <c r="BU37" i="6"/>
  <c r="O36" i="7"/>
  <c r="FK37" i="6"/>
  <c r="FL37" i="6"/>
  <c r="Q36" i="7"/>
  <c r="GI37" i="6"/>
  <c r="GJ37" i="6"/>
  <c r="V36" i="7"/>
  <c r="IS37" i="6"/>
  <c r="IQ37" i="6"/>
  <c r="IR37" i="6"/>
  <c r="B37" i="7"/>
  <c r="M38" i="6"/>
  <c r="K38" i="6"/>
  <c r="L38" i="6"/>
  <c r="F37" i="7"/>
  <c r="BI38" i="6"/>
  <c r="BG38" i="6"/>
  <c r="BH38" i="6"/>
  <c r="I37" i="7"/>
  <c r="CQ38" i="6"/>
  <c r="CS38" i="6"/>
  <c r="CR38" i="6"/>
  <c r="M37" i="7"/>
  <c r="EM38" i="6"/>
  <c r="EO38" i="6"/>
  <c r="EN38" i="6"/>
  <c r="Q37" i="7"/>
  <c r="GI38" i="6"/>
  <c r="GK38" i="6"/>
  <c r="GJ38" i="6"/>
  <c r="U37" i="7"/>
  <c r="IE38" i="6"/>
  <c r="IG38" i="6"/>
  <c r="IF38" i="6"/>
  <c r="Y37" i="7"/>
  <c r="KA38" i="6"/>
  <c r="KC38" i="6"/>
  <c r="KB38" i="6"/>
  <c r="E38" i="7"/>
  <c r="AU39" i="6"/>
  <c r="AW39" i="6"/>
  <c r="AV39" i="6"/>
  <c r="L38" i="7"/>
  <c r="EC39" i="6"/>
  <c r="EA39" i="6"/>
  <c r="EB39" i="6"/>
  <c r="P38" i="7"/>
  <c r="FY39" i="6"/>
  <c r="FW39" i="6"/>
  <c r="FX39" i="6"/>
  <c r="T38" i="7"/>
  <c r="HU39" i="6"/>
  <c r="HS39" i="6"/>
  <c r="HT39" i="6"/>
  <c r="X38" i="7"/>
  <c r="JQ39" i="6"/>
  <c r="JO39" i="6"/>
  <c r="JP39" i="6"/>
  <c r="D39" i="7"/>
  <c r="AK40" i="6"/>
  <c r="AI40" i="6"/>
  <c r="AJ40" i="6"/>
  <c r="K39" i="7"/>
  <c r="DO40" i="6"/>
  <c r="DQ40" i="6"/>
  <c r="DP40" i="6"/>
  <c r="O39" i="7"/>
  <c r="FK40" i="6"/>
  <c r="FM40" i="6"/>
  <c r="FL40" i="6"/>
  <c r="S39" i="7"/>
  <c r="HG40" i="6"/>
  <c r="HI40" i="6"/>
  <c r="HH40" i="6"/>
  <c r="W39" i="7"/>
  <c r="JC40" i="6"/>
  <c r="JE40" i="6"/>
  <c r="JD40" i="6"/>
  <c r="C40" i="7"/>
  <c r="W41" i="6"/>
  <c r="Y41" i="6"/>
  <c r="X41" i="6"/>
  <c r="G40" i="7"/>
  <c r="BS41" i="6"/>
  <c r="BU41" i="6"/>
  <c r="BT41" i="6"/>
  <c r="J40" i="7"/>
  <c r="DE41" i="6"/>
  <c r="DC41" i="6"/>
  <c r="DD41" i="6"/>
  <c r="I41" i="7"/>
  <c r="CQ42" i="6"/>
  <c r="CS42" i="6"/>
  <c r="CR42" i="6"/>
  <c r="M41" i="7"/>
  <c r="EM42" i="6"/>
  <c r="EO42" i="6"/>
  <c r="EN42" i="6"/>
  <c r="Q41" i="7"/>
  <c r="GI42" i="6"/>
  <c r="GK42" i="6"/>
  <c r="GJ42" i="6"/>
  <c r="U41" i="7"/>
  <c r="IE42" i="6"/>
  <c r="IG42" i="6"/>
  <c r="IF42" i="6"/>
  <c r="B42" i="7"/>
  <c r="M43" i="6"/>
  <c r="K43" i="6"/>
  <c r="L43" i="6"/>
  <c r="F42" i="7"/>
  <c r="BI43" i="6"/>
  <c r="BG43" i="6"/>
  <c r="BH43" i="6"/>
  <c r="L43" i="7"/>
  <c r="EC44" i="6"/>
  <c r="EA44" i="6"/>
  <c r="EB44" i="6"/>
  <c r="P43" i="7"/>
  <c r="FY44" i="6"/>
  <c r="FW44" i="6"/>
  <c r="FX44" i="6"/>
  <c r="T43" i="7"/>
  <c r="HU44" i="6"/>
  <c r="HS44" i="6"/>
  <c r="HT44" i="6"/>
  <c r="W43" i="7"/>
  <c r="JC44" i="6"/>
  <c r="JE44" i="6"/>
  <c r="JD44" i="6"/>
  <c r="Y43" i="7"/>
  <c r="KA44" i="6"/>
  <c r="KC44" i="6"/>
  <c r="KB44" i="6"/>
  <c r="E44" i="7"/>
  <c r="AU45" i="6"/>
  <c r="AW45" i="6"/>
  <c r="AV45" i="6"/>
  <c r="K45" i="7"/>
  <c r="DO46" i="6"/>
  <c r="DQ46" i="6"/>
  <c r="DP46" i="6"/>
  <c r="O45" i="7"/>
  <c r="FK46" i="6"/>
  <c r="FM46" i="6"/>
  <c r="FL46" i="6"/>
  <c r="S45" i="7"/>
  <c r="HG46" i="6"/>
  <c r="HI46" i="6"/>
  <c r="HH46" i="6"/>
  <c r="D46" i="7"/>
  <c r="AK47" i="6"/>
  <c r="AI47" i="6"/>
  <c r="AJ47" i="6"/>
  <c r="F47" i="7"/>
  <c r="BI48" i="6"/>
  <c r="BH48" i="6"/>
  <c r="BG48" i="6"/>
  <c r="L47" i="7"/>
  <c r="EC48" i="6"/>
  <c r="EB48" i="6"/>
  <c r="EA48" i="6"/>
  <c r="T47" i="7"/>
  <c r="HU48" i="6"/>
  <c r="HT48" i="6"/>
  <c r="HS48" i="6"/>
  <c r="BI56" i="6"/>
  <c r="BH56" i="6"/>
  <c r="BG56" i="6"/>
  <c r="CR56" i="6"/>
  <c r="CQ56" i="6"/>
  <c r="CS56" i="6"/>
  <c r="CR60" i="6"/>
  <c r="CS60" i="6"/>
  <c r="CQ60" i="6"/>
  <c r="L36" i="7"/>
  <c r="EC37" i="6"/>
  <c r="P36" i="7"/>
  <c r="FY37" i="6"/>
  <c r="T36" i="7"/>
  <c r="HU37" i="6"/>
  <c r="D47" i="7"/>
  <c r="AK48" i="6"/>
  <c r="AJ48" i="6"/>
  <c r="AI48" i="6"/>
  <c r="J47" i="7"/>
  <c r="DE48" i="6"/>
  <c r="DD48" i="6"/>
  <c r="DC48" i="6"/>
  <c r="R47" i="7"/>
  <c r="GW48" i="6"/>
  <c r="GV48" i="6"/>
  <c r="GU48" i="6"/>
  <c r="B48" i="7"/>
  <c r="K49" i="6"/>
  <c r="M49" i="6"/>
  <c r="L49" i="6"/>
  <c r="F48" i="7"/>
  <c r="BG49" i="6"/>
  <c r="BI49" i="6"/>
  <c r="BH49" i="6"/>
  <c r="BT55" i="6"/>
  <c r="BS55" i="6"/>
  <c r="AV58" i="6"/>
  <c r="AU58" i="6"/>
  <c r="AW58" i="6"/>
  <c r="M40" i="7"/>
  <c r="EM41" i="6"/>
  <c r="EO41" i="6"/>
  <c r="N40" i="7"/>
  <c r="FA41" i="6"/>
  <c r="EY41" i="6"/>
  <c r="O40" i="7"/>
  <c r="FK41" i="6"/>
  <c r="FM41" i="6"/>
  <c r="P40" i="7"/>
  <c r="FY41" i="6"/>
  <c r="FW41" i="6"/>
  <c r="Q40" i="7"/>
  <c r="GI41" i="6"/>
  <c r="GK41" i="6"/>
  <c r="R40" i="7"/>
  <c r="GW41" i="6"/>
  <c r="GU41" i="6"/>
  <c r="S40" i="7"/>
  <c r="HG41" i="6"/>
  <c r="HI41" i="6"/>
  <c r="T40" i="7"/>
  <c r="HU41" i="6"/>
  <c r="HS41" i="6"/>
  <c r="U40" i="7"/>
  <c r="IE41" i="6"/>
  <c r="IG41" i="6"/>
  <c r="V40" i="7"/>
  <c r="IS41" i="6"/>
  <c r="IQ41" i="6"/>
  <c r="W40" i="7"/>
  <c r="JC41" i="6"/>
  <c r="JE41" i="6"/>
  <c r="X40" i="7"/>
  <c r="JQ41" i="6"/>
  <c r="JO41" i="6"/>
  <c r="Y40" i="7"/>
  <c r="KA41" i="6"/>
  <c r="KC41" i="6"/>
  <c r="B41" i="7"/>
  <c r="M42" i="6"/>
  <c r="K42" i="6"/>
  <c r="C41" i="7"/>
  <c r="W42" i="6"/>
  <c r="Y42" i="6"/>
  <c r="D41" i="7"/>
  <c r="AK42" i="6"/>
  <c r="AI42" i="6"/>
  <c r="E41" i="7"/>
  <c r="AU42" i="6"/>
  <c r="AW42" i="6"/>
  <c r="F41" i="7"/>
  <c r="BI42" i="6"/>
  <c r="BG42" i="6"/>
  <c r="G41" i="7"/>
  <c r="BS42" i="6"/>
  <c r="BU42" i="6"/>
  <c r="I42" i="7"/>
  <c r="CQ43" i="6"/>
  <c r="CS43" i="6"/>
  <c r="J42" i="7"/>
  <c r="DE43" i="6"/>
  <c r="DC43" i="6"/>
  <c r="K42" i="7"/>
  <c r="DO43" i="6"/>
  <c r="DQ43" i="6"/>
  <c r="L42" i="7"/>
  <c r="EC43" i="6"/>
  <c r="EA43" i="6"/>
  <c r="M42" i="7"/>
  <c r="EM43" i="6"/>
  <c r="EO43" i="6"/>
  <c r="N42" i="7"/>
  <c r="FA43" i="6"/>
  <c r="EY43" i="6"/>
  <c r="O42" i="7"/>
  <c r="FK43" i="6"/>
  <c r="FM43" i="6"/>
  <c r="P42" i="7"/>
  <c r="FY43" i="6"/>
  <c r="FW43" i="6"/>
  <c r="Q42" i="7"/>
  <c r="GI43" i="6"/>
  <c r="GK43" i="6"/>
  <c r="R42" i="7"/>
  <c r="GW43" i="6"/>
  <c r="GU43" i="6"/>
  <c r="S42" i="7"/>
  <c r="HG43" i="6"/>
  <c r="HI43" i="6"/>
  <c r="T42" i="7"/>
  <c r="HU43" i="6"/>
  <c r="HS43" i="6"/>
  <c r="U42" i="7"/>
  <c r="IE43" i="6"/>
  <c r="IG43" i="6"/>
  <c r="V42" i="7"/>
  <c r="IS43" i="6"/>
  <c r="IQ43" i="6"/>
  <c r="W42" i="7"/>
  <c r="JC43" i="6"/>
  <c r="JE43" i="6"/>
  <c r="X42" i="7"/>
  <c r="JQ43" i="6"/>
  <c r="JO43" i="6"/>
  <c r="Y42" i="7"/>
  <c r="KA43" i="6"/>
  <c r="KC43" i="6"/>
  <c r="B43" i="7"/>
  <c r="M44" i="6"/>
  <c r="K44" i="6"/>
  <c r="C43" i="7"/>
  <c r="W44" i="6"/>
  <c r="Y44" i="6"/>
  <c r="D43" i="7"/>
  <c r="AK44" i="6"/>
  <c r="AI44" i="6"/>
  <c r="E43" i="7"/>
  <c r="AU44" i="6"/>
  <c r="AW44" i="6"/>
  <c r="F43" i="7"/>
  <c r="BI44" i="6"/>
  <c r="BG44" i="6"/>
  <c r="G43" i="7"/>
  <c r="BS44" i="6"/>
  <c r="BU44" i="6"/>
  <c r="I44" i="7"/>
  <c r="CQ45" i="6"/>
  <c r="CS45" i="6"/>
  <c r="J44" i="7"/>
  <c r="DE45" i="6"/>
  <c r="DC45" i="6"/>
  <c r="K44" i="7"/>
  <c r="DO45" i="6"/>
  <c r="DQ45" i="6"/>
  <c r="L44" i="7"/>
  <c r="EC45" i="6"/>
  <c r="EA45" i="6"/>
  <c r="M44" i="7"/>
  <c r="EM45" i="6"/>
  <c r="EO45" i="6"/>
  <c r="N44" i="7"/>
  <c r="FA45" i="6"/>
  <c r="EY45" i="6"/>
  <c r="O44" i="7"/>
  <c r="FK45" i="6"/>
  <c r="FM45" i="6"/>
  <c r="P44" i="7"/>
  <c r="FY45" i="6"/>
  <c r="FW45" i="6"/>
  <c r="Q44" i="7"/>
  <c r="GI45" i="6"/>
  <c r="GK45" i="6"/>
  <c r="GW45" i="6"/>
  <c r="R44" i="7"/>
  <c r="GU45" i="6"/>
  <c r="S44" i="7"/>
  <c r="HG45" i="6"/>
  <c r="HI45" i="6"/>
  <c r="T44" i="7"/>
  <c r="HU45" i="6"/>
  <c r="HS45" i="6"/>
  <c r="U44" i="7"/>
  <c r="IE45" i="6"/>
  <c r="IG45" i="6"/>
  <c r="V44" i="7"/>
  <c r="IS45" i="6"/>
  <c r="IQ45" i="6"/>
  <c r="W44" i="7"/>
  <c r="JC45" i="6"/>
  <c r="JE45" i="6"/>
  <c r="X44" i="7"/>
  <c r="JQ45" i="6"/>
  <c r="JO45" i="6"/>
  <c r="Y44" i="7"/>
  <c r="KA45" i="6"/>
  <c r="KC45" i="6"/>
  <c r="B45" i="7"/>
  <c r="M46" i="6"/>
  <c r="K46" i="6"/>
  <c r="C45" i="7"/>
  <c r="W46" i="6"/>
  <c r="Y46" i="6"/>
  <c r="D45" i="7"/>
  <c r="AK46" i="6"/>
  <c r="AI46" i="6"/>
  <c r="E45" i="7"/>
  <c r="AU46" i="6"/>
  <c r="AW46" i="6"/>
  <c r="F45" i="7"/>
  <c r="BI46" i="6"/>
  <c r="BG46" i="6"/>
  <c r="G45" i="7"/>
  <c r="BS46" i="6"/>
  <c r="BU46" i="6"/>
  <c r="I46" i="7"/>
  <c r="CQ47" i="6"/>
  <c r="CS47" i="6"/>
  <c r="J46" i="7"/>
  <c r="DE47" i="6"/>
  <c r="DC47" i="6"/>
  <c r="K46" i="7"/>
  <c r="DO47" i="6"/>
  <c r="DQ47" i="6"/>
  <c r="L46" i="7"/>
  <c r="EC47" i="6"/>
  <c r="EA47" i="6"/>
  <c r="M46" i="7"/>
  <c r="EM47" i="6"/>
  <c r="EO47" i="6"/>
  <c r="N46" i="7"/>
  <c r="FA47" i="6"/>
  <c r="EY47" i="6"/>
  <c r="O46" i="7"/>
  <c r="FK47" i="6"/>
  <c r="FM47" i="6"/>
  <c r="P46" i="7"/>
  <c r="FY47" i="6"/>
  <c r="FW47" i="6"/>
  <c r="Q46" i="7"/>
  <c r="GI47" i="6"/>
  <c r="GK47" i="6"/>
  <c r="R46" i="7"/>
  <c r="GW47" i="6"/>
  <c r="GU47" i="6"/>
  <c r="S46" i="7"/>
  <c r="HG47" i="6"/>
  <c r="HI47" i="6"/>
  <c r="T46" i="7"/>
  <c r="HU47" i="6"/>
  <c r="HS47" i="6"/>
  <c r="U46" i="7"/>
  <c r="IE47" i="6"/>
  <c r="IG47" i="6"/>
  <c r="V46" i="7"/>
  <c r="IS47" i="6"/>
  <c r="IQ47" i="6"/>
  <c r="W46" i="7"/>
  <c r="JC47" i="6"/>
  <c r="JE47" i="6"/>
  <c r="X46" i="7"/>
  <c r="JQ47" i="6"/>
  <c r="JO47" i="6"/>
  <c r="B47" i="7"/>
  <c r="M48" i="6"/>
  <c r="L48" i="6"/>
  <c r="K48" i="6"/>
  <c r="P47" i="7"/>
  <c r="FY48" i="6"/>
  <c r="FX48" i="6"/>
  <c r="FW48" i="6"/>
  <c r="I48" i="7"/>
  <c r="CS49" i="6"/>
  <c r="CR49" i="6"/>
  <c r="CQ49" i="6"/>
  <c r="L48" i="7"/>
  <c r="EA49" i="6"/>
  <c r="EC49" i="6"/>
  <c r="M48" i="7"/>
  <c r="EO49" i="6"/>
  <c r="EN49" i="6"/>
  <c r="EM49" i="6"/>
  <c r="P48" i="7"/>
  <c r="FW49" i="6"/>
  <c r="FY49" i="6"/>
  <c r="Q48" i="7"/>
  <c r="GK49" i="6"/>
  <c r="GJ49" i="6"/>
  <c r="GI49" i="6"/>
  <c r="T48" i="7"/>
  <c r="HS49" i="6"/>
  <c r="HU49" i="6"/>
  <c r="AV57" i="6"/>
  <c r="AU57" i="6"/>
  <c r="AW57" i="6"/>
  <c r="J36" i="7"/>
  <c r="DE37" i="6"/>
  <c r="EB37" i="6"/>
  <c r="N36" i="7"/>
  <c r="FA37" i="6"/>
  <c r="FX37" i="6"/>
  <c r="R36" i="7"/>
  <c r="GW37" i="6"/>
  <c r="HT37" i="6"/>
  <c r="EN41" i="6"/>
  <c r="EZ41" i="6"/>
  <c r="FL41" i="6"/>
  <c r="FX41" i="6"/>
  <c r="GJ41" i="6"/>
  <c r="GV41" i="6"/>
  <c r="HH41" i="6"/>
  <c r="HT41" i="6"/>
  <c r="IF41" i="6"/>
  <c r="IR41" i="6"/>
  <c r="JD41" i="6"/>
  <c r="JP41" i="6"/>
  <c r="KB41" i="6"/>
  <c r="L42" i="6"/>
  <c r="X42" i="6"/>
  <c r="AJ42" i="6"/>
  <c r="AV42" i="6"/>
  <c r="BH42" i="6"/>
  <c r="BT42" i="6"/>
  <c r="CR43" i="6"/>
  <c r="DD43" i="6"/>
  <c r="DP43" i="6"/>
  <c r="EB43" i="6"/>
  <c r="EN43" i="6"/>
  <c r="EZ43" i="6"/>
  <c r="FL43" i="6"/>
  <c r="FX43" i="6"/>
  <c r="GJ43" i="6"/>
  <c r="GV43" i="6"/>
  <c r="HH43" i="6"/>
  <c r="HT43" i="6"/>
  <c r="IF43" i="6"/>
  <c r="IR43" i="6"/>
  <c r="JD43" i="6"/>
  <c r="JP43" i="6"/>
  <c r="KB43" i="6"/>
  <c r="L44" i="6"/>
  <c r="X44" i="6"/>
  <c r="AJ44" i="6"/>
  <c r="AV44" i="6"/>
  <c r="BH44" i="6"/>
  <c r="BT44" i="6"/>
  <c r="CR45" i="6"/>
  <c r="DD45" i="6"/>
  <c r="DP45" i="6"/>
  <c r="EB45" i="6"/>
  <c r="EN45" i="6"/>
  <c r="EZ45" i="6"/>
  <c r="FL45" i="6"/>
  <c r="FX45" i="6"/>
  <c r="GJ45" i="6"/>
  <c r="GV45" i="6"/>
  <c r="HH45" i="6"/>
  <c r="HT45" i="6"/>
  <c r="IF45" i="6"/>
  <c r="IR45" i="6"/>
  <c r="JD45" i="6"/>
  <c r="JP45" i="6"/>
  <c r="KB45" i="6"/>
  <c r="L46" i="6"/>
  <c r="X46" i="6"/>
  <c r="AJ46" i="6"/>
  <c r="AV46" i="6"/>
  <c r="BH46" i="6"/>
  <c r="BT46" i="6"/>
  <c r="CR47" i="6"/>
  <c r="DD47" i="6"/>
  <c r="DP47" i="6"/>
  <c r="EB47" i="6"/>
  <c r="EN47" i="6"/>
  <c r="EZ47" i="6"/>
  <c r="FL47" i="6"/>
  <c r="FX47" i="6"/>
  <c r="GJ47" i="6"/>
  <c r="GV47" i="6"/>
  <c r="HH47" i="6"/>
  <c r="HT47" i="6"/>
  <c r="IF47" i="6"/>
  <c r="IR47" i="6"/>
  <c r="JD47" i="6"/>
  <c r="JP47" i="6"/>
  <c r="N47" i="7"/>
  <c r="FA48" i="6"/>
  <c r="EZ48" i="6"/>
  <c r="EY48" i="6"/>
  <c r="V47" i="7"/>
  <c r="IQ48" i="6"/>
  <c r="IS48" i="6"/>
  <c r="IR48" i="6"/>
  <c r="EB49" i="6"/>
  <c r="FX49" i="6"/>
  <c r="HT49" i="6"/>
  <c r="Y55" i="6"/>
  <c r="X55" i="6"/>
  <c r="W55" i="6"/>
  <c r="KC47" i="6"/>
  <c r="Y48" i="6"/>
  <c r="AW48" i="6"/>
  <c r="BU48" i="6"/>
  <c r="CS48" i="6"/>
  <c r="DQ48" i="6"/>
  <c r="EO48" i="6"/>
  <c r="FM48" i="6"/>
  <c r="GK48" i="6"/>
  <c r="HI48" i="6"/>
  <c r="IG48" i="6"/>
  <c r="W47" i="7"/>
  <c r="JE48" i="6"/>
  <c r="C48" i="7"/>
  <c r="Y49" i="6"/>
  <c r="G48" i="7"/>
  <c r="BU49" i="6"/>
  <c r="I49" i="7"/>
  <c r="CS50" i="6"/>
  <c r="CQ50" i="6"/>
  <c r="J49" i="7"/>
  <c r="DC50" i="6"/>
  <c r="DE50" i="6"/>
  <c r="K49" i="7"/>
  <c r="DQ50" i="6"/>
  <c r="DO50" i="6"/>
  <c r="L49" i="7"/>
  <c r="EA50" i="6"/>
  <c r="EC50" i="6"/>
  <c r="M49" i="7"/>
  <c r="EO50" i="6"/>
  <c r="EM50" i="6"/>
  <c r="N49" i="7"/>
  <c r="EY50" i="6"/>
  <c r="FA50" i="6"/>
  <c r="O49" i="7"/>
  <c r="FM50" i="6"/>
  <c r="FK50" i="6"/>
  <c r="P49" i="7"/>
  <c r="FW50" i="6"/>
  <c r="FY50" i="6"/>
  <c r="Q49" i="7"/>
  <c r="GK50" i="6"/>
  <c r="GI50" i="6"/>
  <c r="R49" i="7"/>
  <c r="GU50" i="6"/>
  <c r="GW50" i="6"/>
  <c r="S49" i="7"/>
  <c r="HI50" i="6"/>
  <c r="HG50" i="6"/>
  <c r="T49" i="7"/>
  <c r="HS50" i="6"/>
  <c r="HU50" i="6"/>
  <c r="U49" i="7"/>
  <c r="IG50" i="6"/>
  <c r="IE50" i="6"/>
  <c r="V49" i="7"/>
  <c r="IQ50" i="6"/>
  <c r="IS50" i="6"/>
  <c r="W49" i="7"/>
  <c r="JE50" i="6"/>
  <c r="JC50" i="6"/>
  <c r="X49" i="7"/>
  <c r="JO50" i="6"/>
  <c r="JQ50" i="6"/>
  <c r="Y49" i="7"/>
  <c r="KC50" i="6"/>
  <c r="KA50" i="6"/>
  <c r="B50" i="7"/>
  <c r="K51" i="6"/>
  <c r="M51" i="6"/>
  <c r="Y51" i="6"/>
  <c r="C50" i="7"/>
  <c r="W51" i="6"/>
  <c r="D50" i="7"/>
  <c r="AI51" i="6"/>
  <c r="AK51" i="6"/>
  <c r="E50" i="7"/>
  <c r="AW51" i="6"/>
  <c r="AU51" i="6"/>
  <c r="F50" i="7"/>
  <c r="BG51" i="6"/>
  <c r="BI51" i="6"/>
  <c r="G50" i="7"/>
  <c r="BU51" i="6"/>
  <c r="BS51" i="6"/>
  <c r="I51" i="7"/>
  <c r="CS52" i="6"/>
  <c r="CQ52" i="6"/>
  <c r="J51" i="7"/>
  <c r="DC52" i="6"/>
  <c r="DE52" i="6"/>
  <c r="K51" i="7"/>
  <c r="DQ52" i="6"/>
  <c r="DO52" i="6"/>
  <c r="L51" i="7"/>
  <c r="EA52" i="6"/>
  <c r="EC52" i="6"/>
  <c r="M51" i="7"/>
  <c r="EO52" i="6"/>
  <c r="EM52" i="6"/>
  <c r="N51" i="7"/>
  <c r="EY52" i="6"/>
  <c r="FA52" i="6"/>
  <c r="O51" i="7"/>
  <c r="FM52" i="6"/>
  <c r="FK52" i="6"/>
  <c r="P51" i="7"/>
  <c r="FW52" i="6"/>
  <c r="FY52" i="6"/>
  <c r="Q51" i="7"/>
  <c r="GK52" i="6"/>
  <c r="GI52" i="6"/>
  <c r="R51" i="7"/>
  <c r="GU52" i="6"/>
  <c r="GW52" i="6"/>
  <c r="S51" i="7"/>
  <c r="HI52" i="6"/>
  <c r="HG52" i="6"/>
  <c r="T51" i="7"/>
  <c r="HS52" i="6"/>
  <c r="HU52" i="6"/>
  <c r="U51" i="7"/>
  <c r="IG52" i="6"/>
  <c r="IE52" i="6"/>
  <c r="V51" i="7"/>
  <c r="IQ52" i="6"/>
  <c r="IS52" i="6"/>
  <c r="W51" i="7"/>
  <c r="JE52" i="6"/>
  <c r="JC52" i="6"/>
  <c r="X51" i="7"/>
  <c r="JO52" i="6"/>
  <c r="JQ52" i="6"/>
  <c r="Y51" i="7"/>
  <c r="KC52" i="6"/>
  <c r="KA52" i="6"/>
  <c r="K53" i="6"/>
  <c r="M53" i="6"/>
  <c r="C52" i="7"/>
  <c r="AE52" i="7" s="1"/>
  <c r="Y53" i="6"/>
  <c r="W53" i="6"/>
  <c r="AI53" i="6"/>
  <c r="AK53" i="6"/>
  <c r="AW53" i="6"/>
  <c r="AU53" i="6"/>
  <c r="BG53" i="6"/>
  <c r="BI53" i="6"/>
  <c r="L55" i="6"/>
  <c r="K55" i="6"/>
  <c r="BH55" i="6"/>
  <c r="BG55" i="6"/>
  <c r="AK56" i="6"/>
  <c r="AJ56" i="6"/>
  <c r="AI56" i="6"/>
  <c r="AK57" i="6"/>
  <c r="AJ57" i="6"/>
  <c r="CS57" i="6"/>
  <c r="CR57" i="6"/>
  <c r="CQ57" i="6"/>
  <c r="AK58" i="6"/>
  <c r="AJ58" i="6"/>
  <c r="AV59" i="6"/>
  <c r="AW59" i="6"/>
  <c r="AU59" i="6"/>
  <c r="X47" i="7"/>
  <c r="JO48" i="6"/>
  <c r="D48" i="7"/>
  <c r="AI49" i="6"/>
  <c r="K48" i="7"/>
  <c r="DQ49" i="6"/>
  <c r="O48" i="7"/>
  <c r="FM49" i="6"/>
  <c r="S48" i="7"/>
  <c r="HI49" i="6"/>
  <c r="HU53" i="6"/>
  <c r="HS53" i="6"/>
  <c r="K54" i="6"/>
  <c r="M54" i="6"/>
  <c r="Y54" i="6"/>
  <c r="W54" i="6"/>
  <c r="AI54" i="6"/>
  <c r="AK54" i="6"/>
  <c r="AW54" i="6"/>
  <c r="AU54" i="6"/>
  <c r="BG54" i="6"/>
  <c r="BI54" i="6"/>
  <c r="BT54" i="6"/>
  <c r="BS54" i="6"/>
  <c r="CS54" i="6"/>
  <c r="CR54" i="6"/>
  <c r="AW55" i="6"/>
  <c r="AV55" i="6"/>
  <c r="M56" i="6"/>
  <c r="L56" i="6"/>
  <c r="K56" i="6"/>
  <c r="X57" i="6"/>
  <c r="W57" i="6"/>
  <c r="BT57" i="6"/>
  <c r="BS57" i="6"/>
  <c r="L58" i="6"/>
  <c r="K58" i="6"/>
  <c r="CE58" i="6"/>
  <c r="CG58" i="6"/>
  <c r="CF58" i="6"/>
  <c r="CF60" i="6"/>
  <c r="CG60" i="6"/>
  <c r="CE60" i="6"/>
  <c r="KA47" i="6"/>
  <c r="W48" i="6"/>
  <c r="AU48" i="6"/>
  <c r="BS48" i="6"/>
  <c r="CQ48" i="6"/>
  <c r="DO48" i="6"/>
  <c r="EM48" i="6"/>
  <c r="FK48" i="6"/>
  <c r="GI48" i="6"/>
  <c r="HG48" i="6"/>
  <c r="IE48" i="6"/>
  <c r="JD48" i="6"/>
  <c r="JP48" i="6"/>
  <c r="Y47" i="7"/>
  <c r="KC48" i="6"/>
  <c r="X49" i="6"/>
  <c r="AJ49" i="6"/>
  <c r="E48" i="7"/>
  <c r="AW49" i="6"/>
  <c r="BT49" i="6"/>
  <c r="DO49" i="6"/>
  <c r="FK49" i="6"/>
  <c r="HG49" i="6"/>
  <c r="U48" i="7"/>
  <c r="IG49" i="6"/>
  <c r="IE49" i="6"/>
  <c r="V48" i="7"/>
  <c r="IQ49" i="6"/>
  <c r="IS49" i="6"/>
  <c r="W48" i="7"/>
  <c r="JE49" i="6"/>
  <c r="JC49" i="6"/>
  <c r="X48" i="7"/>
  <c r="JO49" i="6"/>
  <c r="JQ49" i="6"/>
  <c r="Y48" i="7"/>
  <c r="KC49" i="6"/>
  <c r="KA49" i="6"/>
  <c r="B49" i="7"/>
  <c r="K50" i="6"/>
  <c r="M50" i="6"/>
  <c r="C49" i="7"/>
  <c r="Y50" i="6"/>
  <c r="W50" i="6"/>
  <c r="D49" i="7"/>
  <c r="AI50" i="6"/>
  <c r="AK50" i="6"/>
  <c r="E49" i="7"/>
  <c r="AW50" i="6"/>
  <c r="AU50" i="6"/>
  <c r="F49" i="7"/>
  <c r="BG50" i="6"/>
  <c r="BI50" i="6"/>
  <c r="G49" i="7"/>
  <c r="BU50" i="6"/>
  <c r="BS50" i="6"/>
  <c r="I50" i="7"/>
  <c r="CS51" i="6"/>
  <c r="CQ51" i="6"/>
  <c r="J50" i="7"/>
  <c r="DC51" i="6"/>
  <c r="DE51" i="6"/>
  <c r="K50" i="7"/>
  <c r="DQ51" i="6"/>
  <c r="DO51" i="6"/>
  <c r="L50" i="7"/>
  <c r="EA51" i="6"/>
  <c r="EC51" i="6"/>
  <c r="M50" i="7"/>
  <c r="EO51" i="6"/>
  <c r="EM51" i="6"/>
  <c r="N50" i="7"/>
  <c r="EY51" i="6"/>
  <c r="FA51" i="6"/>
  <c r="O50" i="7"/>
  <c r="FM51" i="6"/>
  <c r="FK51" i="6"/>
  <c r="P50" i="7"/>
  <c r="FW51" i="6"/>
  <c r="FY51" i="6"/>
  <c r="Q50" i="7"/>
  <c r="GK51" i="6"/>
  <c r="GI51" i="6"/>
  <c r="R50" i="7"/>
  <c r="GU51" i="6"/>
  <c r="GW51" i="6"/>
  <c r="S50" i="7"/>
  <c r="HI51" i="6"/>
  <c r="HG51" i="6"/>
  <c r="T50" i="7"/>
  <c r="HS51" i="6"/>
  <c r="HU51" i="6"/>
  <c r="U50" i="7"/>
  <c r="IG51" i="6"/>
  <c r="IE51" i="6"/>
  <c r="V50" i="7"/>
  <c r="IQ51" i="6"/>
  <c r="IS51" i="6"/>
  <c r="W50" i="7"/>
  <c r="JE51" i="6"/>
  <c r="JC51" i="6"/>
  <c r="X50" i="7"/>
  <c r="JO51" i="6"/>
  <c r="JQ51" i="6"/>
  <c r="Y50" i="7"/>
  <c r="KC51" i="6"/>
  <c r="KA51" i="6"/>
  <c r="B51" i="7"/>
  <c r="K52" i="6"/>
  <c r="M52" i="6"/>
  <c r="C51" i="7"/>
  <c r="Y52" i="6"/>
  <c r="W52" i="6"/>
  <c r="D51" i="7"/>
  <c r="AI52" i="6"/>
  <c r="AK52" i="6"/>
  <c r="E51" i="7"/>
  <c r="AW52" i="6"/>
  <c r="AU52" i="6"/>
  <c r="F51" i="7"/>
  <c r="BG52" i="6"/>
  <c r="BI52" i="6"/>
  <c r="G51" i="7"/>
  <c r="BU52" i="6"/>
  <c r="BS52" i="6"/>
  <c r="CQ53" i="6"/>
  <c r="HT53" i="6"/>
  <c r="L54" i="6"/>
  <c r="X54" i="6"/>
  <c r="AJ54" i="6"/>
  <c r="AV54" i="6"/>
  <c r="BH54" i="6"/>
  <c r="CQ54" i="6"/>
  <c r="AJ55" i="6"/>
  <c r="AI55" i="6"/>
  <c r="AU55" i="6"/>
  <c r="M57" i="6"/>
  <c r="L57" i="6"/>
  <c r="Y57" i="6"/>
  <c r="BI57" i="6"/>
  <c r="BH57" i="6"/>
  <c r="BT58" i="6"/>
  <c r="BS58" i="6"/>
  <c r="BI59" i="6"/>
  <c r="BH59" i="6"/>
  <c r="BG59" i="6"/>
  <c r="CS55" i="6"/>
  <c r="Y56" i="6"/>
  <c r="AW56" i="6"/>
  <c r="CG57" i="6"/>
  <c r="BI58" i="6"/>
  <c r="AK59" i="6"/>
  <c r="BI60" i="6"/>
  <c r="BG60" i="6"/>
  <c r="CR58" i="6"/>
  <c r="BS59" i="6"/>
  <c r="CF59" i="6"/>
  <c r="CS59" i="6"/>
  <c r="CQ59" i="6"/>
  <c r="CG56" i="6"/>
  <c r="CE56" i="6"/>
  <c r="CF56" i="6"/>
  <c r="CD3" i="6"/>
  <c r="CG3" i="6" s="1"/>
  <c r="K34" i="9" s="1"/>
  <c r="CG55" i="6"/>
  <c r="CG54" i="6"/>
  <c r="CF54" i="6"/>
  <c r="CG53" i="6"/>
  <c r="CF53" i="6"/>
  <c r="CG52" i="6"/>
  <c r="CF52" i="6"/>
  <c r="CF51" i="6"/>
  <c r="H50" i="7"/>
  <c r="CG51" i="6"/>
  <c r="CG50" i="6"/>
  <c r="CF50" i="6"/>
  <c r="CG49" i="6"/>
  <c r="H48" i="7"/>
  <c r="CG48" i="6"/>
  <c r="CF48" i="6"/>
  <c r="CF47" i="6"/>
  <c r="H46" i="7"/>
  <c r="CG47" i="6"/>
  <c r="CG46" i="6"/>
  <c r="CF46" i="6"/>
  <c r="CF45" i="6"/>
  <c r="H44" i="7"/>
  <c r="CG45" i="6"/>
  <c r="CE45" i="6"/>
  <c r="CE44" i="6"/>
  <c r="CG44" i="6"/>
  <c r="CF44" i="6"/>
  <c r="CF43" i="6"/>
  <c r="H42" i="7"/>
  <c r="CG43" i="6"/>
  <c r="H41" i="7"/>
  <c r="CF42" i="6"/>
  <c r="CG42" i="6"/>
  <c r="CF41" i="6"/>
  <c r="H40" i="7"/>
  <c r="CG41" i="6"/>
  <c r="H39" i="7"/>
  <c r="CF40" i="6"/>
  <c r="CG40" i="6"/>
  <c r="CF39" i="6"/>
  <c r="H38" i="7"/>
  <c r="CG39" i="6"/>
  <c r="H37" i="7"/>
  <c r="CF38" i="6"/>
  <c r="CG38" i="6"/>
  <c r="CF37" i="6"/>
  <c r="H36" i="7"/>
  <c r="CG37" i="6"/>
  <c r="H35" i="7"/>
  <c r="CF36" i="6"/>
  <c r="CG36" i="6"/>
  <c r="CG35" i="6"/>
  <c r="H34" i="7"/>
  <c r="CG34" i="6"/>
  <c r="CF34" i="6"/>
  <c r="CF33" i="6"/>
  <c r="H32" i="7"/>
  <c r="CG33" i="6"/>
  <c r="CG32" i="6"/>
  <c r="CF32" i="6"/>
  <c r="CF31" i="6"/>
  <c r="H30" i="7"/>
  <c r="CG31" i="6"/>
  <c r="CG30" i="6"/>
  <c r="CF30" i="6"/>
  <c r="CF29" i="6"/>
  <c r="H28" i="7"/>
  <c r="CG29" i="6"/>
  <c r="H27" i="7"/>
  <c r="CF28" i="6"/>
  <c r="CG28" i="6"/>
  <c r="CF27" i="6"/>
  <c r="H26" i="7"/>
  <c r="CG27" i="6"/>
  <c r="H25" i="7"/>
  <c r="CF26" i="6"/>
  <c r="CG26" i="6"/>
  <c r="CF25" i="6"/>
  <c r="H24" i="7"/>
  <c r="CG25" i="6"/>
  <c r="H23" i="7"/>
  <c r="CF24" i="6"/>
  <c r="CG24" i="6"/>
  <c r="CF23" i="6"/>
  <c r="H22" i="7"/>
  <c r="CG23" i="6"/>
  <c r="H21" i="7"/>
  <c r="CF22" i="6"/>
  <c r="CG22" i="6"/>
  <c r="CF21" i="6"/>
  <c r="H20" i="7"/>
  <c r="CG21" i="6"/>
  <c r="H19" i="7"/>
  <c r="CF20" i="6"/>
  <c r="CG20" i="6"/>
  <c r="CF19" i="6"/>
  <c r="H18" i="7"/>
  <c r="CG19" i="6"/>
  <c r="H17" i="7"/>
  <c r="CF18" i="6"/>
  <c r="CG18" i="6"/>
  <c r="CF17" i="6"/>
  <c r="H16" i="7"/>
  <c r="CG17" i="6"/>
  <c r="H15" i="7"/>
  <c r="CF16" i="6"/>
  <c r="CG16" i="6"/>
  <c r="CF15" i="6"/>
  <c r="H14" i="7"/>
  <c r="CG15" i="6"/>
  <c r="H13" i="7"/>
  <c r="CF14" i="6"/>
  <c r="CG14" i="6"/>
  <c r="CF13" i="6"/>
  <c r="CG13" i="6"/>
  <c r="H12" i="7"/>
  <c r="H11" i="7"/>
  <c r="CF12" i="6"/>
  <c r="CG12" i="6"/>
  <c r="CF11" i="6"/>
  <c r="H10" i="7"/>
  <c r="CG11" i="6"/>
  <c r="CF10" i="6"/>
  <c r="CG10" i="6"/>
  <c r="CF9" i="6"/>
  <c r="H8" i="7"/>
  <c r="CF8" i="6"/>
  <c r="CG8" i="6"/>
  <c r="CF7" i="6"/>
  <c r="H6" i="7"/>
  <c r="CF6" i="6"/>
  <c r="CG6" i="6"/>
  <c r="CF5" i="6"/>
  <c r="H4" i="7"/>
  <c r="CF4" i="6"/>
  <c r="CG4" i="6"/>
  <c r="AE9" i="7" l="1"/>
  <c r="AD43" i="7"/>
  <c r="AD29" i="7"/>
  <c r="AE3" i="7"/>
  <c r="Z5" i="7"/>
  <c r="AD7" i="7"/>
  <c r="X2" i="7"/>
  <c r="HS30" i="6"/>
  <c r="AD51" i="7"/>
  <c r="AE47" i="7"/>
  <c r="AE45" i="7"/>
  <c r="Z43" i="7"/>
  <c r="AB43" i="7" s="1"/>
  <c r="Z33" i="7"/>
  <c r="AB33" i="7" s="1"/>
  <c r="AE31" i="7"/>
  <c r="AE29" i="7"/>
  <c r="AE5" i="7"/>
  <c r="AD3" i="7"/>
  <c r="Z7" i="7"/>
  <c r="FY3" i="6"/>
  <c r="K42" i="9" s="1"/>
  <c r="FW3" i="6"/>
  <c r="I42" i="9" s="1"/>
  <c r="FX3" i="6"/>
  <c r="J42" i="9" s="1"/>
  <c r="M3" i="6"/>
  <c r="L3" i="6"/>
  <c r="K3" i="6"/>
  <c r="I28" i="9" s="1"/>
  <c r="JQ3" i="6"/>
  <c r="K50" i="9" s="1"/>
  <c r="JP3" i="6"/>
  <c r="J50" i="9" s="1"/>
  <c r="JO3" i="6"/>
  <c r="I50" i="9" s="1"/>
  <c r="Z51" i="7"/>
  <c r="AB51" i="7" s="1"/>
  <c r="Z49" i="7"/>
  <c r="AB49" i="7" s="1"/>
  <c r="AD9" i="7"/>
  <c r="BI3" i="6"/>
  <c r="K32" i="9" s="1"/>
  <c r="BH3" i="6"/>
  <c r="J32" i="9" s="1"/>
  <c r="BG3" i="6"/>
  <c r="I32" i="9" s="1"/>
  <c r="GW3" i="6"/>
  <c r="K44" i="9" s="1"/>
  <c r="GU3" i="6"/>
  <c r="I44" i="9" s="1"/>
  <c r="GV3" i="6"/>
  <c r="J44" i="9" s="1"/>
  <c r="HU3" i="6"/>
  <c r="K46" i="9" s="1"/>
  <c r="HT3" i="6"/>
  <c r="J46" i="9" s="1"/>
  <c r="HS3" i="6"/>
  <c r="I46" i="9" s="1"/>
  <c r="DE3" i="6"/>
  <c r="K36" i="9" s="1"/>
  <c r="DC3" i="6"/>
  <c r="I36" i="9" s="1"/>
  <c r="DD3" i="6"/>
  <c r="J36" i="9" s="1"/>
  <c r="EC3" i="6"/>
  <c r="K38" i="9" s="1"/>
  <c r="EB3" i="6"/>
  <c r="J38" i="9" s="1"/>
  <c r="EA3" i="6"/>
  <c r="I38" i="9" s="1"/>
  <c r="AD5" i="7"/>
  <c r="AE51" i="7"/>
  <c r="AE33" i="7"/>
  <c r="Z9" i="7"/>
  <c r="AC9" i="7" s="1"/>
  <c r="Z31" i="7"/>
  <c r="AB31" i="7" s="1"/>
  <c r="AD33" i="7"/>
  <c r="AD49" i="7"/>
  <c r="Z3" i="7"/>
  <c r="AB3" i="7" s="1"/>
  <c r="Z47" i="7"/>
  <c r="AB47" i="7" s="1"/>
  <c r="AE7" i="7"/>
  <c r="Z29" i="7"/>
  <c r="AC29" i="7" s="1"/>
  <c r="AD31" i="7"/>
  <c r="Z45" i="7"/>
  <c r="AB45" i="7" s="1"/>
  <c r="H39" i="9"/>
  <c r="M2" i="7"/>
  <c r="EN3" i="6"/>
  <c r="J39" i="9" s="1"/>
  <c r="EO3" i="6"/>
  <c r="EM3" i="6"/>
  <c r="I39" i="9" s="1"/>
  <c r="H47" i="9"/>
  <c r="U2" i="7"/>
  <c r="IF3" i="6"/>
  <c r="J47" i="9" s="1"/>
  <c r="IE3" i="6"/>
  <c r="I47" i="9" s="1"/>
  <c r="IG3" i="6"/>
  <c r="K47" i="9" s="1"/>
  <c r="H29" i="9"/>
  <c r="C2" i="7"/>
  <c r="Y3" i="6"/>
  <c r="K29" i="9" s="1"/>
  <c r="X3" i="6"/>
  <c r="J29" i="9" s="1"/>
  <c r="W3" i="6"/>
  <c r="I29" i="9" s="1"/>
  <c r="H49" i="9"/>
  <c r="W2" i="7"/>
  <c r="JE3" i="6"/>
  <c r="K49" i="9" s="1"/>
  <c r="JD3" i="6"/>
  <c r="J49" i="9" s="1"/>
  <c r="JC3" i="6"/>
  <c r="I49" i="9" s="1"/>
  <c r="H35" i="9"/>
  <c r="I2" i="7"/>
  <c r="CR3" i="6"/>
  <c r="J35" i="9" s="1"/>
  <c r="CQ3" i="6"/>
  <c r="I35" i="9" s="1"/>
  <c r="CS3" i="6"/>
  <c r="K35" i="9" s="1"/>
  <c r="H41" i="9"/>
  <c r="O2" i="7"/>
  <c r="FL3" i="6"/>
  <c r="J41" i="9" s="1"/>
  <c r="FK3" i="6"/>
  <c r="I41" i="9" s="1"/>
  <c r="FM3" i="6"/>
  <c r="K41" i="9" s="1"/>
  <c r="AD45" i="7"/>
  <c r="AD47" i="7"/>
  <c r="AE43" i="7"/>
  <c r="AE49" i="7"/>
  <c r="H45" i="9"/>
  <c r="S2" i="7"/>
  <c r="HH3" i="6"/>
  <c r="J45" i="9" s="1"/>
  <c r="HI3" i="6"/>
  <c r="K45" i="9" s="1"/>
  <c r="HG3" i="6"/>
  <c r="I45" i="9" s="1"/>
  <c r="H33" i="9"/>
  <c r="G2" i="7"/>
  <c r="BT3" i="6"/>
  <c r="J33" i="9" s="1"/>
  <c r="BU3" i="6"/>
  <c r="K33" i="9" s="1"/>
  <c r="BS3" i="6"/>
  <c r="I33" i="9" s="1"/>
  <c r="H37" i="9"/>
  <c r="K2" i="7"/>
  <c r="DP3" i="6"/>
  <c r="J37" i="9" s="1"/>
  <c r="DO3" i="6"/>
  <c r="I37" i="9" s="1"/>
  <c r="DQ3" i="6"/>
  <c r="K37" i="9" s="1"/>
  <c r="H43" i="9"/>
  <c r="Q2" i="7"/>
  <c r="GJ3" i="6"/>
  <c r="J43" i="9" s="1"/>
  <c r="GK3" i="6"/>
  <c r="K43" i="9" s="1"/>
  <c r="GI3" i="6"/>
  <c r="I43" i="9" s="1"/>
  <c r="Y2" i="7"/>
  <c r="KC3" i="6"/>
  <c r="K51" i="9" s="1"/>
  <c r="KB3" i="6"/>
  <c r="J51" i="9" s="1"/>
  <c r="H51" i="9"/>
  <c r="KA3" i="6"/>
  <c r="I51" i="9" s="1"/>
  <c r="H31" i="9"/>
  <c r="E2" i="7"/>
  <c r="AW3" i="6"/>
  <c r="K31" i="9" s="1"/>
  <c r="AV3" i="6"/>
  <c r="J31" i="9" s="1"/>
  <c r="AU3" i="6"/>
  <c r="I31" i="9" s="1"/>
  <c r="H34" i="9"/>
  <c r="CE5" i="6"/>
  <c r="CE7" i="6"/>
  <c r="CE8" i="6"/>
  <c r="CE11" i="6"/>
  <c r="CE12" i="6"/>
  <c r="CE13" i="6"/>
  <c r="CE14" i="6"/>
  <c r="CE15" i="6"/>
  <c r="CE16" i="6"/>
  <c r="CE17" i="6"/>
  <c r="CE18" i="6"/>
  <c r="CE19" i="6"/>
  <c r="CE20" i="6"/>
  <c r="CE21" i="6"/>
  <c r="CE22" i="6"/>
  <c r="CE23" i="6"/>
  <c r="CE24" i="6"/>
  <c r="CE25" i="6"/>
  <c r="CE26" i="6"/>
  <c r="CE27" i="6"/>
  <c r="CE28" i="6"/>
  <c r="CE29" i="6"/>
  <c r="CE30" i="6"/>
  <c r="CE31" i="6"/>
  <c r="CE32" i="6"/>
  <c r="CE33" i="6"/>
  <c r="CE34" i="6"/>
  <c r="CE35" i="6"/>
  <c r="CE54" i="6"/>
  <c r="CF3" i="6"/>
  <c r="J34" i="9" s="1"/>
  <c r="CE4" i="6"/>
  <c r="CE42" i="6"/>
  <c r="CE50" i="6"/>
  <c r="CE51" i="6"/>
  <c r="CE52" i="6"/>
  <c r="CE55" i="6"/>
  <c r="CE3" i="6"/>
  <c r="I34" i="9" s="1"/>
  <c r="H2" i="7"/>
  <c r="CE6" i="6"/>
  <c r="CE9" i="6"/>
  <c r="CE10" i="6"/>
  <c r="CE36" i="6"/>
  <c r="CE37" i="6"/>
  <c r="CE38" i="6"/>
  <c r="CE39" i="6"/>
  <c r="CE40" i="6"/>
  <c r="CE41" i="6"/>
  <c r="CE43" i="6"/>
  <c r="CE46" i="6"/>
  <c r="CE47" i="6"/>
  <c r="CE48" i="6"/>
  <c r="CE49" i="6"/>
  <c r="CE53" i="6"/>
  <c r="AE50" i="7"/>
  <c r="AD50" i="7"/>
  <c r="Z50" i="7"/>
  <c r="AC49" i="7"/>
  <c r="AE48" i="7"/>
  <c r="AD48" i="7"/>
  <c r="Z48" i="7"/>
  <c r="AE46" i="7"/>
  <c r="AD46" i="7"/>
  <c r="Z46" i="7"/>
  <c r="AE44" i="7"/>
  <c r="AD44" i="7"/>
  <c r="Z44" i="7"/>
  <c r="AE42" i="7"/>
  <c r="AD42" i="7"/>
  <c r="Z42" i="7"/>
  <c r="AD41" i="7"/>
  <c r="Z41" i="7"/>
  <c r="AE41" i="7"/>
  <c r="AE40" i="7"/>
  <c r="AD40" i="7"/>
  <c r="Z40" i="7"/>
  <c r="AD39" i="7"/>
  <c r="Z39" i="7"/>
  <c r="AE39" i="7"/>
  <c r="AE38" i="7"/>
  <c r="AD38" i="7"/>
  <c r="Z38" i="7"/>
  <c r="AD37" i="7"/>
  <c r="Z37" i="7"/>
  <c r="AE37" i="7"/>
  <c r="AE36" i="7"/>
  <c r="AD36" i="7"/>
  <c r="Z36" i="7"/>
  <c r="AD35" i="7"/>
  <c r="Z35" i="7"/>
  <c r="AE35" i="7"/>
  <c r="AE34" i="7"/>
  <c r="AD34" i="7"/>
  <c r="Z34" i="7"/>
  <c r="AE32" i="7"/>
  <c r="AD32" i="7"/>
  <c r="Z32" i="7"/>
  <c r="AE30" i="7"/>
  <c r="AD30" i="7"/>
  <c r="Z30" i="7"/>
  <c r="AE28" i="7"/>
  <c r="AD28" i="7"/>
  <c r="Z28" i="7"/>
  <c r="AD27" i="7"/>
  <c r="Z27" i="7"/>
  <c r="AE27" i="7"/>
  <c r="AE26" i="7"/>
  <c r="AD26" i="7"/>
  <c r="Z26" i="7"/>
  <c r="AD25" i="7"/>
  <c r="Z25" i="7"/>
  <c r="AE25" i="7"/>
  <c r="AE24" i="7"/>
  <c r="AD24" i="7"/>
  <c r="Z24" i="7"/>
  <c r="AD23" i="7"/>
  <c r="Z23" i="7"/>
  <c r="AE23" i="7"/>
  <c r="AE22" i="7"/>
  <c r="AD22" i="7"/>
  <c r="Z22" i="7"/>
  <c r="AD21" i="7"/>
  <c r="Z21" i="7"/>
  <c r="AE21" i="7"/>
  <c r="AE20" i="7"/>
  <c r="AD20" i="7"/>
  <c r="Z20" i="7"/>
  <c r="AD19" i="7"/>
  <c r="Z19" i="7"/>
  <c r="AE19" i="7"/>
  <c r="AE18" i="7"/>
  <c r="AD18" i="7"/>
  <c r="Z18" i="7"/>
  <c r="AD17" i="7"/>
  <c r="Z17" i="7"/>
  <c r="AE17" i="7"/>
  <c r="AE16" i="7"/>
  <c r="AD16" i="7"/>
  <c r="Z16" i="7"/>
  <c r="AD15" i="7"/>
  <c r="Z15" i="7"/>
  <c r="AE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E8" i="7"/>
  <c r="AD8" i="7"/>
  <c r="Z8" i="7"/>
  <c r="AB7" i="7"/>
  <c r="AC7" i="7"/>
  <c r="AE6" i="7"/>
  <c r="AD6" i="7"/>
  <c r="Z6" i="7"/>
  <c r="AB5" i="7"/>
  <c r="AC5" i="7"/>
  <c r="AE4" i="7"/>
  <c r="AD4" i="7"/>
  <c r="Z4" i="7"/>
  <c r="AB29" i="7" l="1"/>
  <c r="AC45" i="7"/>
  <c r="AC31" i="7"/>
  <c r="AC47" i="7"/>
  <c r="AC3" i="7"/>
  <c r="AC33" i="7"/>
  <c r="J28" i="9"/>
  <c r="AB9" i="7"/>
  <c r="K28" i="9"/>
  <c r="AC43" i="7"/>
  <c r="AC51" i="7"/>
  <c r="AE2" i="7"/>
  <c r="AF51" i="7" s="1"/>
  <c r="I65" i="9" a="1"/>
  <c r="I65" i="9" s="1"/>
  <c r="I61" i="9" a="1"/>
  <c r="I61" i="9" s="1"/>
  <c r="I58" i="9" a="1"/>
  <c r="I58" i="9" s="1"/>
  <c r="B15" i="9"/>
  <c r="I63" i="9" a="1"/>
  <c r="I63" i="9" s="1"/>
  <c r="I64" i="9" a="1"/>
  <c r="I64" i="9" s="1"/>
  <c r="I59" i="9" a="1"/>
  <c r="I59" i="9" s="1"/>
  <c r="I62" i="9" a="1"/>
  <c r="I62" i="9" s="1"/>
  <c r="B16" i="9"/>
  <c r="I60" i="9" a="1"/>
  <c r="I60" i="9" s="1"/>
  <c r="AD2" i="7"/>
  <c r="M20" i="9" s="1"/>
  <c r="Z2" i="7"/>
  <c r="AC2" i="7" s="1"/>
  <c r="M19" i="9" s="1"/>
  <c r="AC50" i="7"/>
  <c r="AB50" i="7"/>
  <c r="AC48" i="7"/>
  <c r="AB48" i="7"/>
  <c r="AC46" i="7"/>
  <c r="AB46" i="7"/>
  <c r="AC44" i="7"/>
  <c r="AB44" i="7"/>
  <c r="AC42" i="7"/>
  <c r="AB42" i="7"/>
  <c r="AB41" i="7"/>
  <c r="AC41" i="7"/>
  <c r="AC40" i="7"/>
  <c r="AB40" i="7"/>
  <c r="AB39" i="7"/>
  <c r="AC39" i="7"/>
  <c r="AC38" i="7"/>
  <c r="AB38" i="7"/>
  <c r="AB37" i="7"/>
  <c r="AC37" i="7"/>
  <c r="AC36" i="7"/>
  <c r="AB36" i="7"/>
  <c r="AB35" i="7"/>
  <c r="AC35" i="7"/>
  <c r="AC34" i="7"/>
  <c r="AB34" i="7"/>
  <c r="AC32" i="7"/>
  <c r="AB32" i="7"/>
  <c r="AC30" i="7"/>
  <c r="AB30" i="7"/>
  <c r="AC28" i="7"/>
  <c r="AB28" i="7"/>
  <c r="AB27" i="7"/>
  <c r="AC27" i="7"/>
  <c r="AC26" i="7"/>
  <c r="AB26" i="7"/>
  <c r="AB25" i="7"/>
  <c r="AC25" i="7"/>
  <c r="AC24" i="7"/>
  <c r="AB24" i="7"/>
  <c r="AB23" i="7"/>
  <c r="AC23" i="7"/>
  <c r="AC22" i="7"/>
  <c r="AB22" i="7"/>
  <c r="AB21" i="7"/>
  <c r="AC21" i="7"/>
  <c r="AC20" i="7"/>
  <c r="AB20" i="7"/>
  <c r="AB19" i="7"/>
  <c r="AC19" i="7"/>
  <c r="AC18" i="7"/>
  <c r="AB18" i="7"/>
  <c r="AB17" i="7"/>
  <c r="AC17" i="7"/>
  <c r="AC16" i="7"/>
  <c r="AB16" i="7"/>
  <c r="AB15" i="7"/>
  <c r="AC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M21" i="9"/>
  <c r="AF44" i="7"/>
  <c r="AF12" i="7" l="1"/>
  <c r="AF20" i="7"/>
  <c r="AF28" i="7"/>
  <c r="AF4" i="7"/>
  <c r="AF36" i="7"/>
  <c r="AF21" i="7"/>
  <c r="AF37" i="7"/>
  <c r="AF52" i="7"/>
  <c r="AF40" i="7"/>
  <c r="AF5" i="7"/>
  <c r="AF13" i="7"/>
  <c r="AF29" i="7"/>
  <c r="AF45" i="7"/>
  <c r="AF8" i="7"/>
  <c r="AF16" i="7"/>
  <c r="AF24" i="7"/>
  <c r="AF32" i="7"/>
  <c r="AF48" i="7"/>
  <c r="AF9" i="7"/>
  <c r="AF17" i="7"/>
  <c r="AF25" i="7"/>
  <c r="AF33" i="7"/>
  <c r="AF41" i="7"/>
  <c r="AF49" i="7"/>
  <c r="AF2" i="7"/>
  <c r="M26" i="9" s="1"/>
  <c r="AF6" i="7"/>
  <c r="AF10" i="7"/>
  <c r="AF14" i="7"/>
  <c r="AF18" i="7"/>
  <c r="AF22" i="7"/>
  <c r="AF26" i="7"/>
  <c r="AF30" i="7"/>
  <c r="AF34" i="7"/>
  <c r="AF38" i="7"/>
  <c r="AF42" i="7"/>
  <c r="AF46" i="7"/>
  <c r="AF50" i="7"/>
  <c r="AB2" i="7"/>
  <c r="AF3" i="7"/>
  <c r="AF7" i="7"/>
  <c r="AF11" i="7"/>
  <c r="AF15" i="7"/>
  <c r="AF19" i="7"/>
  <c r="AF23" i="7"/>
  <c r="AF27" i="7"/>
  <c r="AF31" i="7"/>
  <c r="AF35" i="7"/>
  <c r="AF39" i="7"/>
  <c r="AF43" i="7"/>
  <c r="AF47" i="7"/>
  <c r="E67" i="9"/>
  <c r="M13" i="9"/>
</calcChain>
</file>

<file path=xl/sharedStrings.xml><?xml version="1.0" encoding="utf-8"?>
<sst xmlns="http://schemas.openxmlformats.org/spreadsheetml/2006/main" count="880" uniqueCount="230">
  <si>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</si>
  <si>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</si>
  <si>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</si>
  <si>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</si>
  <si>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</si>
  <si>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</si>
  <si>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</si>
  <si>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</si>
  <si>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</si>
  <si>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</si>
  <si>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</si>
  <si>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</si>
  <si>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</si>
  <si>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</si>
  <si>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</si>
  <si>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</si>
  <si>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</si>
  <si>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</si>
  <si>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</si>
  <si>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</si>
  <si>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</si>
  <si>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</si>
  <si>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</si>
  <si>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</si>
  <si>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</si>
  <si>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</si>
  <si>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</si>
  <si>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</si>
  <si>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</si>
  <si>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</si>
  <si>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</si>
  <si>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</si>
  <si>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</si>
  <si>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</si>
  <si>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</si>
  <si>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</si>
  <si>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</si>
  <si>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</si>
  <si>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</si>
  <si>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</si>
  <si>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</si>
  <si>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</si>
  <si>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</si>
  <si>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</si>
  <si>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</si>
  <si>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</si>
  <si>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</si>
  <si>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</si>
  <si>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</si>
  <si>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</si>
  <si>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</si>
  <si>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</si>
  <si>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</si>
  <si>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</si>
  <si>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</si>
  <si>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</si>
  <si>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</si>
  <si>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</si>
  <si>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</si>
  <si>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</si>
  <si>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</si>
  <si>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</si>
  <si>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</si>
  <si>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</si>
  <si>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</si>
  <si>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</si>
  <si>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</si>
  <si>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</si>
  <si>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</si>
  <si>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</si>
  <si>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</si>
  <si>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</si>
  <si>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</si>
  <si>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</si>
  <si>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</si>
  <si>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</si>
  <si>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</si>
  <si>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</si>
  <si>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</si>
  <si>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</si>
  <si>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</si>
  <si>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</si>
  <si>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</si>
  <si>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</si>
  <si>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</si>
  <si>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</si>
  <si>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</si>
  <si>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</si>
  <si>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</si>
  <si>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</si>
  <si>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</si>
  <si>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</si>
  <si>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</si>
  <si>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</si>
  <si>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</si>
  <si>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</si>
  <si>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</si>
  <si>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</si>
  <si>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</si>
  <si>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</si>
  <si>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</si>
  <si>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</si>
  <si>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</si>
  <si>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</si>
  <si>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</si>
  <si>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</si>
  <si>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</si>
  <si>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</si>
  <si>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</si>
  <si>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</si>
  <si>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</si>
  <si>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</si>
  <si>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</si>
  <si>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</si>
  <si>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</si>
  <si>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</si>
  <si>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</si>
  <si>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</si>
  <si>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</si>
  <si>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</si>
  <si>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</si>
  <si>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</si>
  <si>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</si>
  <si>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</si>
  <si>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</si>
  <si>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</si>
  <si>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</si>
  <si>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</si>
  <si>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</si>
  <si>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</si>
  <si>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</si>
  <si>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</si>
  <si>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</si>
  <si>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</si>
  <si>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</si>
  <si>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</si>
  <si>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 xml:space="preserve">Borno </t>
  </si>
  <si>
    <t>Imo</t>
  </si>
  <si>
    <t>Dharzaro</t>
  </si>
  <si>
    <t>MMC</t>
  </si>
  <si>
    <t>Kwayakusar</t>
  </si>
  <si>
    <t xml:space="preserve">Adamawa </t>
  </si>
  <si>
    <t>Gombi</t>
  </si>
  <si>
    <t xml:space="preserve">Askira Uba </t>
  </si>
  <si>
    <t>Dikwa</t>
  </si>
  <si>
    <t>Biu</t>
  </si>
  <si>
    <t>Ibado South</t>
  </si>
  <si>
    <t>Hawul</t>
  </si>
  <si>
    <t>Gubio</t>
  </si>
  <si>
    <t>Madagali</t>
  </si>
  <si>
    <t>Kaga</t>
  </si>
  <si>
    <t>Island</t>
  </si>
  <si>
    <t>Ogun</t>
  </si>
  <si>
    <t>Lagos</t>
  </si>
  <si>
    <t>Jere</t>
  </si>
  <si>
    <t>Gwoza</t>
  </si>
  <si>
    <t>Maryam Abba Tijjani</t>
  </si>
  <si>
    <t>Maryam Kadafur</t>
  </si>
  <si>
    <t>Mercy Ebuwoluwa Abraham</t>
  </si>
  <si>
    <t xml:space="preserve">Nana Aisha Mohammed </t>
  </si>
  <si>
    <t xml:space="preserve">Patience James </t>
  </si>
  <si>
    <t xml:space="preserve">Precious Yakubu Balami </t>
  </si>
  <si>
    <t>Ruqayya Tijjani Gubio</t>
  </si>
  <si>
    <t xml:space="preserve">Sohia George </t>
  </si>
  <si>
    <t>Zainab Ali Benisheik</t>
  </si>
  <si>
    <t>Deborah Adeola Showole</t>
  </si>
  <si>
    <t>Konduga</t>
  </si>
  <si>
    <t>Chibok</t>
  </si>
  <si>
    <t>Damboa</t>
  </si>
  <si>
    <t>Jimeta</t>
  </si>
  <si>
    <t>Fika</t>
  </si>
  <si>
    <t>Ganye</t>
  </si>
  <si>
    <t>Mafa</t>
  </si>
  <si>
    <t>Ngala</t>
  </si>
  <si>
    <t>Shani</t>
  </si>
  <si>
    <t>Bama</t>
  </si>
  <si>
    <t>Girei</t>
  </si>
  <si>
    <t>Gulani</t>
  </si>
  <si>
    <t>Hong</t>
  </si>
  <si>
    <t>Yobe</t>
  </si>
  <si>
    <t>1st</t>
  </si>
  <si>
    <t>Shuabu Ayuba</t>
  </si>
  <si>
    <t>Mohammed yakubu Abbagana</t>
  </si>
  <si>
    <t>Admission_No</t>
  </si>
  <si>
    <t>Password</t>
  </si>
  <si>
    <t>16th January, 2026</t>
  </si>
  <si>
    <t xml:space="preserve">ABBA FIRA ALINGADTHER </t>
  </si>
  <si>
    <t xml:space="preserve">AMINU MUHAMMED AL MUSTAPHA </t>
  </si>
  <si>
    <t xml:space="preserve">AMOS ANJILI STANLEY </t>
  </si>
  <si>
    <t>BABAKURA ABUBAKAR YUSUF</t>
  </si>
  <si>
    <t>BUKAR MOHAMMED KADI</t>
  </si>
  <si>
    <t xml:space="preserve">BUKAR MUSTAPHA AJI </t>
  </si>
  <si>
    <t>GADZAMA IJUDIGAL JOHN</t>
  </si>
  <si>
    <t xml:space="preserve">IBRAHIM EMMANUEL </t>
  </si>
  <si>
    <t xml:space="preserve">ISHAKU JOSHUA KWARI </t>
  </si>
  <si>
    <t xml:space="preserve">PETER SIMON WANDIYAHEL </t>
  </si>
  <si>
    <t>SAMUEL JOHN ABBAS</t>
  </si>
  <si>
    <t>SHETTIMA AHMED MOHAMMED</t>
  </si>
  <si>
    <t xml:space="preserve">SHUIABU FARUK UMAR </t>
  </si>
  <si>
    <t>STEPHEN HARUNA MALGWI</t>
  </si>
  <si>
    <t xml:space="preserve">SUNDAY SUCCESS </t>
  </si>
  <si>
    <t>USMAN UGULDE IBRAHIM</t>
  </si>
  <si>
    <t xml:space="preserve">USMAN YAHAYA ABUBAKAR </t>
  </si>
  <si>
    <t>WANANGU DAWA</t>
  </si>
  <si>
    <t xml:space="preserve">YAKUBU ALHAJI ALIYU </t>
  </si>
  <si>
    <t xml:space="preserve">ABBA AISHA YUSUF </t>
  </si>
  <si>
    <t xml:space="preserve">ABEDNEGO JOSEPH JANICE </t>
  </si>
  <si>
    <t xml:space="preserve">ABUBAKAR FATIMA </t>
  </si>
  <si>
    <t xml:space="preserve">ADAMU KAHDIJA ALIYU </t>
  </si>
  <si>
    <t xml:space="preserve">AHMED KHADIJA SHETTIMA </t>
  </si>
  <si>
    <t xml:space="preserve">BABAGONI FATIMA SHETTIMA </t>
  </si>
  <si>
    <t xml:space="preserve">BASHIR FATIMA </t>
  </si>
  <si>
    <t>BELLO AMINA ABDULLAHI</t>
  </si>
  <si>
    <t xml:space="preserve">BUKAR MARYARM UMAR </t>
  </si>
  <si>
    <t xml:space="preserve">DALA FATIMA AHMED </t>
  </si>
  <si>
    <t>DAUDA MARYAM UMMI</t>
  </si>
  <si>
    <t>DULOMI ZAINAB</t>
  </si>
  <si>
    <t>GADAU FATIMA ALI</t>
  </si>
  <si>
    <t xml:space="preserve">HUSSANI HADIZA MUSA </t>
  </si>
  <si>
    <t>HUSSANI ZAINAB A</t>
  </si>
  <si>
    <t xml:space="preserve">IDRIS HAJJARA MUHD </t>
  </si>
  <si>
    <t xml:space="preserve">JACOB PATIENCE </t>
  </si>
  <si>
    <t xml:space="preserve">JAPHETH MARTINA </t>
  </si>
  <si>
    <t>JOSEPH FAITH AKAN</t>
  </si>
  <si>
    <t xml:space="preserve">LAWAN NGAMA AMINA </t>
  </si>
  <si>
    <t xml:space="preserve">SAMSON CHIEMEZUO PRECIOUS  </t>
  </si>
  <si>
    <t>ABDULMUMINU MUHAMMAD USMAN</t>
  </si>
  <si>
    <t>SS 2C</t>
  </si>
  <si>
    <t>Email</t>
  </si>
  <si>
    <t>auadams020@gmail.com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</si>
</sst>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>
    <font>
      <sz val="11"/>
      <name val="Calibri"/>
    </font>
    <font>
      <sz val="11"/>
      <color rgb="FF000000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u/>
      <sz val="11"/>
      <color rgb="FF0463C1"/>
      <name val="Calibri"/>
      <family val="2"/>
    </font>
    <font>
      <b/>
      <sz val="10"/>
      <name val="Times New Roman"/>
      <family val="1"/>
    </font>
    <font>
      <sz val="11"/>
      <color rgb="FF000000"/>
      <name val="Calibri"/>
    </font>
    <font>
      <sz val="12"/>
      <color rgb="FF000000"/>
      <name val="Calibri"/>
    </font>
    <font>
      <sz val="10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6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7" fillId="0" borderId="0">
      <protection locked="0"/>
    </xf>
    <xf numFmtId="0" fontId="5" fillId="0" borderId="0">
      <protection locked="0"/>
    </xf>
    <xf numFmtId="0" fontId="29" fillId="0" borderId="0">
      <alignment vertical="top"/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1" fillId="0" borderId="0">
      <protection locked="0"/>
    </xf>
  </cellStyleXfs>
  <cellXfs count="323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8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0" fillId="0" borderId="1" xfId="4" applyFont="1" applyBorder="1" applyAlignment="1" applyProtection="1">
      <alignment vertical="center"/>
    </xf>
    <xf numFmtId="0" fontId="11" fillId="0" borderId="1" xfId="5" applyFont="1" applyBorder="1" applyAlignment="1" applyProtection="1">
      <alignment vertical="center"/>
    </xf>
    <xf numFmtId="0" fontId="9" fillId="0" borderId="0" xfId="0" applyFont="1" applyAlignment="1"/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/>
    <xf numFmtId="0" fontId="12" fillId="0" borderId="1" xfId="0" applyFont="1" applyBorder="1" applyAlignment="1"/>
    <xf numFmtId="0" fontId="13" fillId="0" borderId="1" xfId="0" applyFont="1" applyFill="1" applyBorder="1" applyAlignment="1"/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textRotation="90"/>
    </xf>
    <xf numFmtId="0" fontId="9" fillId="2" borderId="1" xfId="0" applyFont="1" applyFill="1" applyBorder="1" applyAlignment="1">
      <alignment horizontal="left" vertical="center" textRotation="90" wrapText="1"/>
    </xf>
    <xf numFmtId="0" fontId="9" fillId="3" borderId="1" xfId="0" applyFont="1" applyFill="1" applyBorder="1">
      <alignment vertical="center"/>
    </xf>
    <xf numFmtId="0" fontId="9" fillId="3" borderId="1" xfId="0" applyFont="1" applyFill="1" applyBorder="1" applyAlignment="1">
      <alignment vertical="center" textRotation="90"/>
    </xf>
    <xf numFmtId="0" fontId="9" fillId="3" borderId="1" xfId="0" applyFont="1" applyFill="1" applyBorder="1" applyAlignment="1">
      <alignment horizontal="left" vertical="center" textRotation="90" wrapText="1"/>
    </xf>
    <xf numFmtId="0" fontId="9" fillId="4" borderId="1" xfId="0" applyFont="1" applyFill="1" applyBorder="1">
      <alignment vertical="center"/>
    </xf>
    <xf numFmtId="0" fontId="9" fillId="4" borderId="1" xfId="0" applyFont="1" applyFill="1" applyBorder="1" applyAlignment="1">
      <alignment vertical="center" textRotation="90"/>
    </xf>
    <xf numFmtId="0" fontId="9" fillId="4" borderId="1" xfId="0" applyFont="1" applyFill="1" applyBorder="1" applyAlignment="1">
      <alignment horizontal="left" vertical="center" textRotation="90" wrapText="1"/>
    </xf>
    <xf numFmtId="0" fontId="9" fillId="5" borderId="1" xfId="0" applyFont="1" applyFill="1" applyBorder="1">
      <alignment vertical="center"/>
    </xf>
    <xf numFmtId="0" fontId="9" fillId="5" borderId="1" xfId="0" applyFont="1" applyFill="1" applyBorder="1" applyAlignment="1">
      <alignment vertical="center" textRotation="90"/>
    </xf>
    <xf numFmtId="0" fontId="9" fillId="5" borderId="1" xfId="0" applyFont="1" applyFill="1" applyBorder="1" applyAlignment="1">
      <alignment horizontal="left" vertical="center" textRotation="90" wrapText="1"/>
    </xf>
    <xf numFmtId="0" fontId="9" fillId="6" borderId="1" xfId="0" applyFont="1" applyFill="1" applyBorder="1">
      <alignment vertical="center"/>
    </xf>
    <xf numFmtId="0" fontId="9" fillId="6" borderId="1" xfId="0" applyFont="1" applyFill="1" applyBorder="1" applyAlignment="1">
      <alignment vertical="center" textRotation="90"/>
    </xf>
    <xf numFmtId="0" fontId="9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textRotation="90"/>
    </xf>
    <xf numFmtId="0" fontId="9" fillId="7" borderId="1" xfId="0" applyFont="1" applyFill="1" applyBorder="1" applyAlignment="1">
      <alignment horizontal="center" vertical="center" textRotation="90" wrapText="1"/>
    </xf>
    <xf numFmtId="0" fontId="9" fillId="8" borderId="1" xfId="0" applyFont="1" applyFill="1" applyBorder="1">
      <alignment vertical="center"/>
    </xf>
    <xf numFmtId="0" fontId="9" fillId="8" borderId="1" xfId="0" applyFont="1" applyFill="1" applyBorder="1" applyAlignment="1">
      <alignment vertical="center" textRotation="90"/>
    </xf>
    <xf numFmtId="0" fontId="9" fillId="8" borderId="1" xfId="0" applyFont="1" applyFill="1" applyBorder="1" applyAlignment="1">
      <alignment horizontal="left" vertical="center" textRotation="90" wrapText="1"/>
    </xf>
    <xf numFmtId="0" fontId="9" fillId="9" borderId="1" xfId="0" applyFont="1" applyFill="1" applyBorder="1">
      <alignment vertical="center"/>
    </xf>
    <xf numFmtId="0" fontId="9" fillId="9" borderId="1" xfId="0" applyFont="1" applyFill="1" applyBorder="1" applyAlignment="1">
      <alignment vertical="center" textRotation="90"/>
    </xf>
    <xf numFmtId="0" fontId="9" fillId="9" borderId="1" xfId="0" applyFont="1" applyFill="1" applyBorder="1" applyAlignment="1">
      <alignment horizontal="left" vertical="center" textRotation="90" wrapText="1"/>
    </xf>
    <xf numFmtId="0" fontId="9" fillId="10" borderId="1" xfId="0" applyFont="1" applyFill="1" applyBorder="1">
      <alignment vertical="center"/>
    </xf>
    <xf numFmtId="0" fontId="9" fillId="10" borderId="1" xfId="0" applyFont="1" applyFill="1" applyBorder="1" applyAlignment="1">
      <alignment vertical="center" textRotation="90"/>
    </xf>
    <xf numFmtId="0" fontId="9" fillId="10" borderId="1" xfId="0" applyFont="1" applyFill="1" applyBorder="1" applyAlignment="1">
      <alignment horizontal="left" vertical="center" textRotation="90" wrapText="1"/>
    </xf>
    <xf numFmtId="0" fontId="9" fillId="11" borderId="1" xfId="0" applyFont="1" applyFill="1" applyBorder="1">
      <alignment vertical="center"/>
    </xf>
    <xf numFmtId="0" fontId="9" fillId="11" borderId="1" xfId="0" applyFont="1" applyFill="1" applyBorder="1" applyAlignment="1">
      <alignment vertical="center" textRotation="90"/>
    </xf>
    <xf numFmtId="0" fontId="9" fillId="11" borderId="1" xfId="0" applyFont="1" applyFill="1" applyBorder="1" applyAlignment="1">
      <alignment horizontal="left" vertical="center" textRotation="90" wrapText="1"/>
    </xf>
    <xf numFmtId="0" fontId="9" fillId="12" borderId="1" xfId="0" applyFont="1" applyFill="1" applyBorder="1">
      <alignment vertical="center"/>
    </xf>
    <xf numFmtId="0" fontId="9" fillId="12" borderId="1" xfId="0" applyFont="1" applyFill="1" applyBorder="1" applyAlignment="1">
      <alignment vertical="center" textRotation="90"/>
    </xf>
    <xf numFmtId="0" fontId="9" fillId="12" borderId="1" xfId="0" applyFont="1" applyFill="1" applyBorder="1" applyAlignment="1">
      <alignment horizontal="left" vertical="center" textRotation="90" wrapText="1"/>
    </xf>
    <xf numFmtId="0" fontId="14" fillId="13" borderId="1" xfId="0" applyFont="1" applyFill="1" applyBorder="1">
      <alignment vertical="center"/>
    </xf>
    <xf numFmtId="0" fontId="14" fillId="13" borderId="1" xfId="0" applyFont="1" applyFill="1" applyBorder="1" applyAlignment="1">
      <alignment vertical="center" textRotation="90"/>
    </xf>
    <xf numFmtId="0" fontId="14" fillId="13" borderId="1" xfId="0" applyFont="1" applyFill="1" applyBorder="1" applyAlignment="1">
      <alignment horizontal="left" vertical="center" textRotation="90" wrapText="1"/>
    </xf>
    <xf numFmtId="0" fontId="9" fillId="14" borderId="1" xfId="0" applyFont="1" applyFill="1" applyBorder="1">
      <alignment vertical="center"/>
    </xf>
    <xf numFmtId="0" fontId="9" fillId="14" borderId="1" xfId="0" applyFont="1" applyFill="1" applyBorder="1" applyAlignment="1">
      <alignment vertical="center" textRotation="90"/>
    </xf>
    <xf numFmtId="0" fontId="9" fillId="14" borderId="1" xfId="0" applyFont="1" applyFill="1" applyBorder="1" applyAlignment="1">
      <alignment horizontal="left" vertical="center" textRotation="90" wrapText="1"/>
    </xf>
    <xf numFmtId="0" fontId="9" fillId="15" borderId="1" xfId="0" applyFont="1" applyFill="1" applyBorder="1">
      <alignment vertical="center"/>
    </xf>
    <xf numFmtId="0" fontId="9" fillId="15" borderId="1" xfId="0" applyFont="1" applyFill="1" applyBorder="1" applyAlignment="1">
      <alignment vertical="center" textRotation="90"/>
    </xf>
    <xf numFmtId="0" fontId="9" fillId="15" borderId="1" xfId="0" applyFont="1" applyFill="1" applyBorder="1" applyAlignment="1">
      <alignment horizontal="left" vertical="center" textRotation="90" wrapText="1"/>
    </xf>
    <xf numFmtId="0" fontId="9" fillId="16" borderId="1" xfId="0" applyFont="1" applyFill="1" applyBorder="1">
      <alignment vertical="center"/>
    </xf>
    <xf numFmtId="0" fontId="9" fillId="16" borderId="1" xfId="0" applyFont="1" applyFill="1" applyBorder="1" applyAlignment="1">
      <alignment vertical="center" textRotation="90"/>
    </xf>
    <xf numFmtId="0" fontId="9" fillId="16" borderId="1" xfId="0" applyFont="1" applyFill="1" applyBorder="1" applyAlignment="1">
      <alignment horizontal="left" vertical="center" textRotation="90" wrapText="1"/>
    </xf>
    <xf numFmtId="0" fontId="9" fillId="7" borderId="1" xfId="0" applyFont="1" applyFill="1" applyBorder="1">
      <alignment vertical="center"/>
    </xf>
    <xf numFmtId="0" fontId="9" fillId="7" borderId="1" xfId="0" applyFont="1" applyFill="1" applyBorder="1" applyAlignment="1">
      <alignment vertical="center" textRotation="90"/>
    </xf>
    <xf numFmtId="0" fontId="9" fillId="7" borderId="1" xfId="0" applyFont="1" applyFill="1" applyBorder="1" applyAlignment="1">
      <alignment horizontal="left" vertical="center" textRotation="90" wrapText="1"/>
    </xf>
    <xf numFmtId="0" fontId="9" fillId="13" borderId="1" xfId="0" applyFont="1" applyFill="1" applyBorder="1">
      <alignment vertical="center"/>
    </xf>
    <xf numFmtId="0" fontId="9" fillId="13" borderId="1" xfId="0" applyFont="1" applyFill="1" applyBorder="1" applyAlignment="1">
      <alignment vertical="center" textRotation="90"/>
    </xf>
    <xf numFmtId="0" fontId="9" fillId="13" borderId="1" xfId="0" applyFont="1" applyFill="1" applyBorder="1" applyAlignment="1">
      <alignment horizontal="left" vertical="center" textRotation="90" wrapText="1"/>
    </xf>
    <xf numFmtId="0" fontId="9" fillId="17" borderId="1" xfId="0" applyFont="1" applyFill="1" applyBorder="1">
      <alignment vertical="center"/>
    </xf>
    <xf numFmtId="0" fontId="9" fillId="17" borderId="1" xfId="0" applyFont="1" applyFill="1" applyBorder="1" applyAlignment="1">
      <alignment vertical="center" textRotation="90"/>
    </xf>
    <xf numFmtId="0" fontId="9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5" fillId="0" borderId="1" xfId="6" applyFont="1" applyBorder="1" applyAlignment="1" applyProtection="1">
      <alignment horizontal="left" vertical="center"/>
    </xf>
    <xf numFmtId="0" fontId="7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7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5" fillId="0" borderId="1" xfId="7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5" fillId="0" borderId="1" xfId="8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6" fillId="0" borderId="1" xfId="6" applyFont="1" applyBorder="1" applyAlignment="1" applyProtection="1">
      <alignment horizontal="left" vertical="center"/>
    </xf>
    <xf numFmtId="0" fontId="15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7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3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7" fillId="15" borderId="1" xfId="0" applyFont="1" applyFill="1" applyBorder="1">
      <alignment vertical="center"/>
    </xf>
    <xf numFmtId="0" fontId="18" fillId="0" borderId="7" xfId="9" applyFont="1" applyBorder="1" applyAlignment="1" applyProtection="1"/>
    <xf numFmtId="0" fontId="7" fillId="3" borderId="1" xfId="10" applyFont="1" applyFill="1" applyBorder="1" applyAlignment="1" applyProtection="1">
      <alignment vertical="center"/>
    </xf>
    <xf numFmtId="0" fontId="7" fillId="3" borderId="1" xfId="11" applyFont="1" applyFill="1" applyBorder="1" applyAlignment="1" applyProtection="1">
      <alignment vertical="center"/>
    </xf>
    <xf numFmtId="0" fontId="7" fillId="0" borderId="1" xfId="0" applyFont="1" applyFill="1" applyBorder="1" applyAlignment="1">
      <alignment horizontal="left" vertical="top"/>
    </xf>
    <xf numFmtId="0" fontId="5" fillId="0" borderId="1" xfId="7" applyBorder="1" applyAlignment="1" applyProtection="1">
      <alignment horizontal="left" vertical="top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8" xfId="0" applyFont="1" applyBorder="1" applyAlignment="1">
      <alignment horizontal="left" vertical="top"/>
    </xf>
    <xf numFmtId="0" fontId="18" fillId="0" borderId="1" xfId="9" applyFont="1" applyBorder="1" applyAlignment="1" applyProtection="1"/>
    <xf numFmtId="0" fontId="19" fillId="16" borderId="1" xfId="0" applyFont="1" applyFill="1" applyBorder="1">
      <alignment vertical="center"/>
    </xf>
    <xf numFmtId="0" fontId="7" fillId="15" borderId="1" xfId="0" applyFont="1" applyFill="1" applyBorder="1">
      <alignment vertical="center"/>
    </xf>
    <xf numFmtId="0" fontId="7" fillId="10" borderId="1" xfId="0" applyFont="1" applyFill="1" applyBorder="1">
      <alignment vertical="center"/>
    </xf>
    <xf numFmtId="0" fontId="7" fillId="11" borderId="1" xfId="12" applyFont="1" applyFill="1" applyBorder="1" applyAlignment="1" applyProtection="1">
      <alignment vertical="center"/>
    </xf>
    <xf numFmtId="0" fontId="7" fillId="11" borderId="1" xfId="8" applyFont="1" applyFill="1" applyBorder="1" applyAlignment="1" applyProtection="1">
      <alignment vertical="center"/>
    </xf>
    <xf numFmtId="0" fontId="5" fillId="11" borderId="1" xfId="8" applyFill="1" applyBorder="1" applyAlignment="1" applyProtection="1">
      <alignment vertical="center"/>
    </xf>
    <xf numFmtId="0" fontId="20" fillId="0" borderId="0" xfId="0" applyFont="1">
      <alignment vertical="center"/>
    </xf>
    <xf numFmtId="0" fontId="1" fillId="13" borderId="9" xfId="0" applyFont="1" applyFill="1" applyBorder="1">
      <alignment vertical="center"/>
    </xf>
    <xf numFmtId="0" fontId="5" fillId="0" borderId="0" xfId="10" applyAlignment="1" applyProtection="1"/>
    <xf numFmtId="0" fontId="21" fillId="0" borderId="1" xfId="0" applyFont="1" applyBorder="1" applyAlignment="1"/>
    <xf numFmtId="164" fontId="1" fillId="0" borderId="1" xfId="0" applyNumberFormat="1" applyFont="1" applyBorder="1" applyAlignment="1"/>
    <xf numFmtId="0" fontId="22" fillId="0" borderId="1" xfId="13" applyFont="1" applyBorder="1" applyAlignment="1" applyProtection="1">
      <alignment vertical="center"/>
    </xf>
    <xf numFmtId="0" fontId="23" fillId="0" borderId="1" xfId="13" applyFont="1" applyBorder="1" applyAlignment="1" applyProtection="1">
      <alignment vertical="center"/>
    </xf>
    <xf numFmtId="0" fontId="18" fillId="0" borderId="7" xfId="13" applyFont="1" applyBorder="1" applyAlignment="1" applyProtection="1"/>
    <xf numFmtId="0" fontId="18" fillId="0" borderId="1" xfId="13" applyFont="1" applyBorder="1" applyAlignment="1" applyProtection="1"/>
    <xf numFmtId="0" fontId="18" fillId="18" borderId="1" xfId="13" applyFont="1" applyFill="1" applyBorder="1" applyAlignment="1" applyProtection="1"/>
    <xf numFmtId="0" fontId="24" fillId="0" borderId="0" xfId="14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2" fillId="0" borderId="0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7" xfId="0" applyFont="1" applyBorder="1" applyAlignment="1" applyProtection="1">
      <protection locked="0"/>
    </xf>
    <xf numFmtId="0" fontId="9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protection locked="0"/>
    </xf>
    <xf numFmtId="0" fontId="1" fillId="0" borderId="19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49" fontId="28" fillId="0" borderId="1" xfId="0" applyNumberFormat="1" applyFont="1" applyBorder="1" applyAlignment="1" applyProtection="1">
      <protection locked="0"/>
    </xf>
    <xf numFmtId="49" fontId="9" fillId="0" borderId="1" xfId="0" applyNumberFormat="1" applyFont="1" applyBorder="1" applyAlignment="1" applyProtection="1">
      <alignment textRotation="90" wrapText="1"/>
      <protection locked="0"/>
    </xf>
    <xf numFmtId="49" fontId="9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4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" fillId="0" borderId="27" xfId="0" applyFont="1" applyBorder="1" applyAlignment="1" applyProtection="1">
      <protection locked="0"/>
    </xf>
    <xf numFmtId="0" fontId="1" fillId="0" borderId="31" xfId="0" applyFont="1" applyBorder="1" applyAlignment="1" applyProtection="1">
      <protection locked="0"/>
    </xf>
    <xf numFmtId="0" fontId="12" fillId="0" borderId="24" xfId="0" applyFont="1" applyBorder="1" applyAlignment="1" applyProtection="1">
      <protection locked="0"/>
    </xf>
    <xf numFmtId="0" fontId="27" fillId="0" borderId="2" xfId="0" applyFont="1" applyBorder="1" applyAlignment="1" applyProtection="1">
      <protection locked="0"/>
    </xf>
    <xf numFmtId="0" fontId="12" fillId="0" borderId="26" xfId="0" applyFont="1" applyBorder="1" applyAlignment="1" applyProtection="1">
      <protection locked="0"/>
    </xf>
    <xf numFmtId="0" fontId="12" fillId="0" borderId="1" xfId="0" applyFont="1" applyBorder="1" applyAlignment="1" applyProtection="1">
      <protection locked="0"/>
    </xf>
    <xf numFmtId="0" fontId="12" fillId="0" borderId="0" xfId="0" applyFont="1" applyAlignment="1" applyProtection="1">
      <protection locked="0"/>
    </xf>
    <xf numFmtId="0" fontId="12" fillId="0" borderId="6" xfId="0" applyFont="1" applyBorder="1" applyAlignment="1" applyProtection="1">
      <protection locked="0"/>
    </xf>
    <xf numFmtId="0" fontId="12" fillId="0" borderId="2" xfId="0" applyFont="1" applyBorder="1" applyAlignment="1" applyProtection="1">
      <protection locked="0"/>
    </xf>
    <xf numFmtId="0" fontId="27" fillId="0" borderId="0" xfId="0" applyFont="1" applyAlignment="1" applyProtection="1">
      <protection locked="0"/>
    </xf>
    <xf numFmtId="0" fontId="27" fillId="0" borderId="0" xfId="0" applyFont="1" applyAlignment="1" applyProtection="1">
      <alignment horizontal="left"/>
      <protection locked="0"/>
    </xf>
    <xf numFmtId="0" fontId="27" fillId="0" borderId="0" xfId="0" applyFont="1" applyAlignment="1" applyProtection="1">
      <alignment horizontal="center"/>
      <protection locked="0"/>
    </xf>
    <xf numFmtId="0" fontId="12" fillId="0" borderId="0" xfId="0" applyFont="1" applyProtection="1">
      <alignment vertic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2" xfId="0" applyFont="1" applyBorder="1" applyAlignment="1" applyProtection="1">
      <protection locked="0"/>
    </xf>
    <xf numFmtId="0" fontId="1" fillId="0" borderId="2" xfId="0" applyFont="1" applyBorder="1" applyAlignment="1"/>
    <xf numFmtId="0" fontId="1" fillId="0" borderId="1" xfId="0" applyFont="1" applyBorder="1" applyAlignment="1">
      <alignment horizontal="left"/>
    </xf>
    <xf numFmtId="0" fontId="9" fillId="21" borderId="34" xfId="0" applyFont="1" applyFill="1" applyBorder="1" applyAlignment="1">
      <alignment horizontal="left"/>
    </xf>
    <xf numFmtId="0" fontId="1" fillId="22" borderId="33" xfId="0" applyFont="1" applyFill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9" fillId="21" borderId="3" xfId="0" applyFont="1" applyFill="1" applyBorder="1" applyAlignment="1">
      <alignment horizontal="left" wrapText="1"/>
    </xf>
    <xf numFmtId="0" fontId="1" fillId="22" borderId="35" xfId="15" applyNumberFormat="1" applyFont="1" applyFill="1" applyBorder="1" applyAlignment="1" applyProtection="1">
      <alignment horizontal="left"/>
    </xf>
    <xf numFmtId="0" fontId="1" fillId="22" borderId="36" xfId="15" applyNumberFormat="1" applyFont="1" applyFill="1" applyBorder="1" applyAlignment="1" applyProtection="1">
      <alignment horizontal="left"/>
    </xf>
    <xf numFmtId="0" fontId="2" fillId="0" borderId="1" xfId="1" applyFont="1" applyFill="1" applyBorder="1" applyAlignment="1" applyProtection="1">
      <alignment horizontal="left" wrapText="1"/>
    </xf>
    <xf numFmtId="0" fontId="0" fillId="0" borderId="0" xfId="0" applyAlignment="1">
      <alignment horizontal="left"/>
    </xf>
    <xf numFmtId="0" fontId="3" fillId="0" borderId="1" xfId="2" applyFont="1" applyFill="1" applyBorder="1" applyAlignment="1" applyProtection="1">
      <alignment horizontal="left"/>
    </xf>
    <xf numFmtId="0" fontId="4" fillId="0" borderId="1" xfId="3" applyFont="1" applyBorder="1" applyAlignment="1" applyProtection="1">
      <alignment horizontal="left"/>
    </xf>
    <xf numFmtId="0" fontId="5" fillId="0" borderId="1" xfId="3" applyBorder="1" applyAlignment="1" applyProtection="1">
      <alignment horizontal="left"/>
    </xf>
    <xf numFmtId="0" fontId="6" fillId="0" borderId="1" xfId="3" applyFont="1" applyBorder="1" applyAlignment="1" applyProtection="1">
      <alignment horizontal="left"/>
    </xf>
    <xf numFmtId="0" fontId="3" fillId="0" borderId="1" xfId="0" applyFont="1" applyFill="1" applyBorder="1" applyAlignment="1">
      <alignment horizontal="left"/>
    </xf>
    <xf numFmtId="0" fontId="6" fillId="0" borderId="1" xfId="2" applyFont="1" applyBorder="1" applyAlignment="1" applyProtection="1">
      <alignment horizontal="left"/>
    </xf>
    <xf numFmtId="0" fontId="6" fillId="0" borderId="1" xfId="0" applyFont="1" applyBorder="1" applyAlignment="1">
      <alignment horizontal="left"/>
    </xf>
    <xf numFmtId="0" fontId="6" fillId="0" borderId="1" xfId="1" applyFont="1" applyBorder="1" applyAlignment="1" applyProtection="1">
      <alignment horizontal="left"/>
    </xf>
    <xf numFmtId="0" fontId="7" fillId="0" borderId="2" xfId="0" applyFont="1" applyFill="1" applyBorder="1" applyAlignment="1"/>
    <xf numFmtId="0" fontId="9" fillId="21" borderId="8" xfId="0" applyFont="1" applyFill="1" applyBorder="1" applyAlignment="1">
      <alignment horizontal="left" wrapText="1"/>
    </xf>
    <xf numFmtId="0" fontId="9" fillId="0" borderId="7" xfId="0" applyFont="1" applyBorder="1" applyAlignment="1"/>
    <xf numFmtId="0" fontId="9" fillId="0" borderId="22" xfId="0" applyFont="1" applyBorder="1" applyAlignment="1"/>
    <xf numFmtId="0" fontId="9" fillId="21" borderId="37" xfId="0" applyFont="1" applyFill="1" applyBorder="1" applyAlignment="1">
      <alignment horizontal="left" wrapText="1"/>
    </xf>
    <xf numFmtId="0" fontId="7" fillId="0" borderId="27" xfId="0" applyFont="1" applyFill="1" applyBorder="1">
      <alignment vertical="center"/>
    </xf>
    <xf numFmtId="0" fontId="7" fillId="0" borderId="28" xfId="0" applyFont="1" applyFill="1" applyBorder="1" applyAlignment="1"/>
    <xf numFmtId="0" fontId="7" fillId="0" borderId="2" xfId="0" applyFont="1" applyFill="1" applyBorder="1" applyAlignment="1">
      <alignment wrapText="1"/>
    </xf>
    <xf numFmtId="0" fontId="1" fillId="0" borderId="27" xfId="0" applyFont="1" applyBorder="1" applyAlignment="1"/>
    <xf numFmtId="0" fontId="1" fillId="0" borderId="28" xfId="0" applyFont="1" applyBorder="1" applyAlignment="1"/>
    <xf numFmtId="0" fontId="12" fillId="0" borderId="2" xfId="0" applyFont="1" applyBorder="1" applyAlignment="1"/>
    <xf numFmtId="0" fontId="13" fillId="0" borderId="2" xfId="0" applyFont="1" applyFill="1" applyBorder="1" applyAlignment="1"/>
    <xf numFmtId="0" fontId="9" fillId="21" borderId="38" xfId="0" applyFont="1" applyFill="1" applyBorder="1" applyAlignment="1">
      <alignment horizontal="left" wrapText="1"/>
    </xf>
    <xf numFmtId="0" fontId="2" fillId="0" borderId="1" xfId="15" applyFont="1" applyBorder="1" applyAlignment="1" applyProtection="1">
      <alignment vertical="center" wrapText="1"/>
    </xf>
    <xf numFmtId="0" fontId="30" fillId="0" borderId="1" xfId="15" applyFont="1" applyBorder="1" applyAlignment="1" applyProtection="1">
      <alignment vertical="center" wrapText="1"/>
    </xf>
    <xf numFmtId="0" fontId="1" fillId="0" borderId="1" xfId="15" applyBorder="1" applyProtection="1"/>
    <xf numFmtId="0" fontId="1" fillId="0" borderId="1" xfId="2" applyFont="1" applyFill="1" applyBorder="1" applyAlignment="1" applyProtection="1">
      <alignment horizontal="left"/>
    </xf>
    <xf numFmtId="0" fontId="31" fillId="0" borderId="1" xfId="0" applyFont="1" applyBorder="1" applyAlignment="1"/>
    <xf numFmtId="0" fontId="31" fillId="0" borderId="2" xfId="0" applyFont="1" applyBorder="1" applyAlignment="1"/>
    <xf numFmtId="0" fontId="31" fillId="0" borderId="1" xfId="0" applyFont="1" applyBorder="1" applyAlignment="1">
      <alignment horizontal="left" wrapText="1"/>
    </xf>
    <xf numFmtId="0" fontId="31" fillId="0" borderId="1" xfId="2" applyFont="1" applyFill="1" applyBorder="1" applyAlignment="1" applyProtection="1">
      <alignment horizontal="left"/>
    </xf>
    <xf numFmtId="0" fontId="32" fillId="0" borderId="1" xfId="3" applyFont="1" applyFill="1" applyBorder="1" applyAlignment="1" applyProtection="1">
      <alignment horizontal="left"/>
    </xf>
    <xf numFmtId="0" fontId="31" fillId="0" borderId="1" xfId="0" applyFont="1" applyBorder="1" applyAlignment="1">
      <alignment horizontal="left"/>
    </xf>
    <xf numFmtId="0" fontId="31" fillId="0" borderId="1" xfId="0" applyFont="1" applyFill="1" applyBorder="1" applyAlignment="1">
      <alignment horizontal="left"/>
    </xf>
    <xf numFmtId="0" fontId="31" fillId="0" borderId="1" xfId="0" applyFont="1" applyFill="1" applyBorder="1">
      <alignment vertical="center"/>
    </xf>
    <xf numFmtId="0" fontId="31" fillId="0" borderId="2" xfId="0" applyFont="1" applyFill="1" applyBorder="1" applyAlignment="1"/>
    <xf numFmtId="0" fontId="33" fillId="0" borderId="1" xfId="0" applyFont="1" applyBorder="1" applyAlignment="1"/>
    <xf numFmtId="0" fontId="33" fillId="0" borderId="2" xfId="0" applyFont="1" applyBorder="1" applyAlignment="1"/>
    <xf numFmtId="164" fontId="31" fillId="0" borderId="1" xfId="0" applyNumberFormat="1" applyFont="1" applyBorder="1" applyAlignment="1"/>
    <xf numFmtId="0" fontId="1" fillId="0" borderId="7" xfId="0" applyFont="1" applyFill="1" applyBorder="1" applyAlignment="1"/>
    <xf numFmtId="0" fontId="31" fillId="0" borderId="7" xfId="6" applyFont="1" applyBorder="1" applyAlignment="1">
      <alignment horizontal="left"/>
      <protection locked="0"/>
    </xf>
    <xf numFmtId="0" fontId="31" fillId="0" borderId="1" xfId="6" applyFont="1" applyBorder="1" applyAlignment="1">
      <alignment horizontal="left"/>
      <protection locked="0"/>
    </xf>
    <xf numFmtId="0" fontId="31" fillId="0" borderId="27" xfId="0" applyFont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2" fillId="0" borderId="2" xfId="13" applyFont="1" applyBorder="1" applyAlignment="1" applyProtection="1">
      <alignment horizontal="center"/>
    </xf>
    <xf numFmtId="0" fontId="22" fillId="0" borderId="5" xfId="13" applyFont="1" applyBorder="1" applyAlignment="1" applyProtection="1">
      <alignment horizontal="center"/>
    </xf>
    <xf numFmtId="0" fontId="22" fillId="0" borderId="10" xfId="13" applyFont="1" applyBorder="1" applyAlignment="1" applyProtection="1">
      <alignment horizontal="center"/>
    </xf>
    <xf numFmtId="0" fontId="23" fillId="0" borderId="1" xfId="13" applyFont="1" applyBorder="1" applyAlignment="1" applyProtection="1">
      <alignment horizontal="left"/>
    </xf>
    <xf numFmtId="0" fontId="23" fillId="0" borderId="2" xfId="13" applyFont="1" applyBorder="1" applyAlignment="1" applyProtection="1">
      <alignment horizontal="left"/>
    </xf>
    <xf numFmtId="0" fontId="23" fillId="0" borderId="3" xfId="13" applyFont="1" applyBorder="1" applyAlignment="1" applyProtection="1">
      <alignment horizontal="left"/>
    </xf>
    <xf numFmtId="0" fontId="1" fillId="20" borderId="14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0" borderId="0" xfId="0" applyFont="1" applyProtection="1">
      <alignment vertical="center"/>
      <protection locked="0"/>
    </xf>
    <xf numFmtId="0" fontId="1" fillId="0" borderId="14" xfId="0" applyFont="1" applyBorder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4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2" fillId="0" borderId="0" xfId="0" applyFont="1" applyAlignment="1" applyProtection="1">
      <alignment horizontal="left"/>
      <protection locked="0"/>
    </xf>
    <xf numFmtId="164" fontId="9" fillId="0" borderId="10" xfId="0" applyNumberFormat="1" applyFont="1" applyBorder="1" applyAlignment="1" applyProtection="1">
      <alignment horizontal="left"/>
      <protection locked="0"/>
    </xf>
    <xf numFmtId="164" fontId="9" fillId="0" borderId="17" xfId="0" applyNumberFormat="1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25" xfId="0" applyFont="1" applyBorder="1" applyAlignment="1" applyProtection="1">
      <protection locked="0"/>
    </xf>
    <xf numFmtId="0" fontId="9" fillId="0" borderId="26" xfId="0" applyFont="1" applyBorder="1" applyAlignment="1" applyProtection="1">
      <alignment horizontal="left"/>
      <protection locked="0"/>
    </xf>
    <xf numFmtId="0" fontId="9" fillId="0" borderId="15" xfId="0" applyFont="1" applyBorder="1" applyAlignment="1" applyProtection="1">
      <alignment horizontal="left"/>
      <protection locked="0"/>
    </xf>
    <xf numFmtId="0" fontId="9" fillId="0" borderId="27" xfId="0" applyFont="1" applyBorder="1" applyAlignment="1" applyProtection="1">
      <protection locked="0"/>
    </xf>
    <xf numFmtId="0" fontId="9" fillId="0" borderId="28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9" fillId="0" borderId="2" xfId="0" applyFont="1" applyBorder="1" applyAlignment="1" applyProtection="1">
      <protection locked="0"/>
    </xf>
    <xf numFmtId="0" fontId="12" fillId="0" borderId="1" xfId="0" applyFont="1" applyBorder="1" applyAlignment="1" applyProtection="1">
      <alignment horizontal="left"/>
      <protection locked="0"/>
    </xf>
    <xf numFmtId="0" fontId="12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9" borderId="0" xfId="0" applyFont="1" applyFill="1" applyProtection="1">
      <alignment vertical="center"/>
      <protection locked="0"/>
    </xf>
    <xf numFmtId="49" fontId="9" fillId="0" borderId="7" xfId="0" applyNumberFormat="1" applyFont="1" applyBorder="1" applyAlignment="1" applyProtection="1">
      <alignment horizontal="center" textRotation="90"/>
      <protection locked="0"/>
    </xf>
    <xf numFmtId="49" fontId="9" fillId="0" borderId="1" xfId="0" applyNumberFormat="1" applyFont="1" applyBorder="1" applyAlignment="1" applyProtection="1">
      <alignment horizontal="center" textRotation="90"/>
      <protection locked="0"/>
    </xf>
    <xf numFmtId="49" fontId="9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9" fillId="0" borderId="1" xfId="0" applyNumberFormat="1" applyFont="1" applyBorder="1" applyAlignment="1" applyProtection="1">
      <alignment horizontal="right" vertical="center" textRotation="90" wrapText="1"/>
      <protection locked="0"/>
    </xf>
    <xf numFmtId="49" fontId="27" fillId="0" borderId="7" xfId="0" applyNumberFormat="1" applyFont="1" applyBorder="1" applyAlignment="1" applyProtection="1">
      <alignment horizontal="center" textRotation="90" wrapText="1"/>
      <protection locked="0"/>
    </xf>
    <xf numFmtId="49" fontId="27" fillId="0" borderId="1" xfId="0" applyNumberFormat="1" applyFont="1" applyBorder="1" applyAlignment="1" applyProtection="1">
      <alignment horizontal="center" textRotation="90" wrapText="1"/>
      <protection locked="0"/>
    </xf>
    <xf numFmtId="0" fontId="9" fillId="0" borderId="5" xfId="0" applyFont="1" applyBorder="1" applyAlignment="1" applyProtection="1">
      <alignment horizontal="left"/>
      <protection locked="0"/>
    </xf>
    <xf numFmtId="0" fontId="9" fillId="0" borderId="25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7" xfId="0" applyFont="1" applyBorder="1" applyAlignment="1" applyProtection="1"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26" fillId="0" borderId="0" xfId="0" applyFont="1" applyBorder="1" applyAlignment="1" applyProtection="1">
      <protection locked="0"/>
    </xf>
    <xf numFmtId="0" fontId="26" fillId="0" borderId="15" xfId="0" applyFont="1" applyBorder="1" applyAlignment="1" applyProtection="1">
      <protection locked="0"/>
    </xf>
    <xf numFmtId="0" fontId="25" fillId="0" borderId="0" xfId="0" applyFont="1" applyBorder="1" applyAlignment="1" applyProtection="1">
      <protection locked="0"/>
    </xf>
    <xf numFmtId="0" fontId="25" fillId="0" borderId="15" xfId="0" applyFont="1" applyBorder="1" applyAlignment="1" applyProtection="1">
      <protection locked="0"/>
    </xf>
    <xf numFmtId="0" fontId="25" fillId="0" borderId="0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29" xfId="0" applyFont="1" applyBorder="1" applyAlignment="1" applyProtection="1">
      <alignment horizontal="center"/>
      <protection locked="0"/>
    </xf>
    <xf numFmtId="0" fontId="9" fillId="0" borderId="7" xfId="0" applyFont="1" applyBorder="1" applyAlignment="1" applyProtection="1">
      <protection locked="0"/>
    </xf>
    <xf numFmtId="0" fontId="9" fillId="0" borderId="22" xfId="0" applyFont="1" applyBorder="1" applyAlignment="1" applyProtection="1"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23" xfId="0" applyFont="1" applyBorder="1" applyAlignment="1" applyProtection="1">
      <alignment horizontal="left"/>
      <protection locked="0"/>
    </xf>
    <xf numFmtId="0" fontId="29" fillId="0" borderId="0" xfId="6">
      <alignment vertical="top"/>
      <protection locked="0"/>
    </xf>
  </cellXfs>
  <cellStyles count="16">
    <cellStyle name="Hyperlink" xfId="6"/>
    <cellStyle name="Normal" xfId="0" builtinId="0"/>
    <cellStyle name="Normal 10 2" xfId="2"/>
    <cellStyle name="Normal 10 2 2" xfId="8"/>
    <cellStyle name="Normal 10 3" xfId="7"/>
    <cellStyle name="Normal 12" xfId="13"/>
    <cellStyle name="Normal 12 2" xfId="3"/>
    <cellStyle name="Normal 12 4" xfId="9"/>
    <cellStyle name="Normal 15" xfId="12"/>
    <cellStyle name="Normal 17" xfId="1"/>
    <cellStyle name="Normal 18" xfId="15"/>
    <cellStyle name="Normal 2" xfId="4"/>
    <cellStyle name="Normal 2 5 2" xfId="11"/>
    <cellStyle name="Normal 3" xfId="5"/>
    <cellStyle name="Normal 3 2 2 5" xfId="14"/>
    <cellStyle name="Normal 9" xfId="10"/>
  </cellStyles>
  <dxfs count="84"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/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J56" totalsRowShown="0" headerRowDxfId="83" dataDxfId="82" tableBorderDxfId="81">
  <autoFilter ref="A1:J56"/>
  <tableColumns count="10">
    <tableColumn id="1" name="Admission_No" dataDxfId="80" dataCellStyle="Normal 18"/>
    <tableColumn id="2" name="Name" dataDxfId="79"/>
    <tableColumn id="3" name="Class " dataDxfId="78" dataCellStyle="Normal 10 2"/>
    <tableColumn id="4" name="State of Origin " dataDxfId="77" dataCellStyle="Normal 12 2"/>
    <tableColumn id="5" name="Age" dataDxfId="76"/>
    <tableColumn id="6" name="LGA" dataDxfId="75"/>
    <tableColumn id="7" name="Term " dataDxfId="74"/>
    <tableColumn id="8" name="Next Term Begins" dataDxfId="73"/>
    <tableColumn id="9" name="Password" dataDxfId="72"/>
    <tableColumn id="10" name="Email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6" totalsRowShown="0" headerRowDxfId="70" headerRowBorderDxfId="69" tableBorderDxfId="68">
  <autoFilter ref="A1:C56"/>
  <tableColumns count="3">
    <tableColumn id="1" name="Admission_No" dataDxfId="67" dataCellStyle="Normal 18"/>
    <tableColumn id="3" name="Comments" dataDxfId="66"/>
    <tableColumn id="4" name="Position of authourity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6" totalsRowShown="0" headerRowDxfId="64" dataDxfId="62" headerRowBorderDxfId="63" tableBorderDxfId="61">
  <autoFilter ref="A1:I56"/>
  <tableColumns count="9">
    <tableColumn id="1" name="Admission_No" dataDxfId="60" dataCellStyle="Normal 18"/>
    <tableColumn id="2" name="Puntuality " dataDxfId="59"/>
    <tableColumn id="3" name="Attendance in class" dataDxfId="58"/>
    <tableColumn id="4" name="Neatness" dataDxfId="57"/>
    <tableColumn id="5" name="Politeness" dataDxfId="56"/>
    <tableColumn id="6" name="Honesty" dataDxfId="55"/>
    <tableColumn id="7" name="Attentiveness" dataDxfId="54"/>
    <tableColumn id="8" name="Obedience" dataDxfId="53"/>
    <tableColumn id="9" name="Self Control" dataDxfId="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6" totalsRowShown="0" headerRowDxfId="51" dataDxfId="49" headerRowBorderDxfId="50" tableBorderDxfId="48">
  <autoFilter ref="A1:F56"/>
  <tableColumns count="6">
    <tableColumn id="1" name="Admission_No" dataDxfId="47" dataCellStyle="Normal 18"/>
    <tableColumn id="2" name="Handwriting" dataDxfId="46"/>
    <tableColumn id="3" name="Musical Skill " dataDxfId="45"/>
    <tableColumn id="4" name="Craft" dataDxfId="44"/>
    <tableColumn id="5" name="Games" dataDxfId="43"/>
    <tableColumn id="6" name="Fluency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6" totalsRowShown="0" headerRowDxfId="41" dataDxfId="39" headerRowBorderDxfId="40" tableBorderDxfId="38">
  <autoFilter ref="A1:AF56"/>
  <tableColumns count="32">
    <tableColumn id="1" name="Admission_No" dataDxfId="37" dataCellStyle="Normal 18"/>
    <tableColumn id="2" name="English Language" dataDxfId="36"/>
    <tableColumn id="3" name="Literature in English" dataDxfId="35"/>
    <tableColumn id="4" name="Mathematics" dataDxfId="34"/>
    <tableColumn id="5" name="Physics" dataDxfId="33"/>
    <tableColumn id="6" name="Chemistry" dataDxfId="32"/>
    <tableColumn id="7" name="Biology" dataDxfId="31"/>
    <tableColumn id="8" name="Economics" dataDxfId="30"/>
    <tableColumn id="9" name="History" dataDxfId="29"/>
    <tableColumn id="10" name="C.R.k" dataDxfId="28"/>
    <tableColumn id="11" name="Agric Science" dataDxfId="27"/>
    <tableColumn id="12" name="Geography" dataDxfId="26"/>
    <tableColumn id="13" name="Commerce" dataDxfId="25"/>
    <tableColumn id="14" name="Fine Art" dataDxfId="24"/>
    <tableColumn id="15" name="Accounting" dataDxfId="23"/>
    <tableColumn id="16" name="Technical Drawing" dataDxfId="22"/>
    <tableColumn id="17" name="Government" dataDxfId="21"/>
    <tableColumn id="18" name="Further Maths" dataDxfId="20"/>
    <tableColumn id="19" name="Hausa" dataDxfId="19"/>
    <tableColumn id="20" name="Food &amp; Nutrition" dataDxfId="18"/>
    <tableColumn id="21" name="Computer Science" dataDxfId="17"/>
    <tableColumn id="22" name="French" dataDxfId="16"/>
    <tableColumn id="23" name="Civic Educatuion" dataDxfId="15"/>
    <tableColumn id="24" name="Data Processing" dataDxfId="14"/>
    <tableColumn id="25" name="I.R.K." dataDxfId="13"/>
    <tableColumn id="26" name="Com Sub No." dataDxfId="12"/>
    <tableColumn id="27" name="Std Reg Sub No." dataDxfId="11"/>
    <tableColumn id="28" name="CrossXCheck" dataDxfId="10"/>
    <tableColumn id="29" name="Max Score" dataDxfId="9"/>
    <tableColumn id="30" name="Obtained Score" dataDxfId="8"/>
    <tableColumn id="31" name="Average" dataDxfId="7"/>
    <tableColumn id="32" name="Positio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uadams020@gmail.com" TargetMode="Externa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topLeftCell="A2" workbookViewId="0">
      <selection activeCell="J3" sqref="J3"/>
    </sheetView>
  </sheetViews>
  <sheetFormatPr defaultColWidth="10" defaultRowHeight="15"/>
  <cols>
    <col min="1" max="1" width="21.42578125" style="188" customWidth="1"/>
    <col min="2" max="2" width="32.42578125" style="1" customWidth="1"/>
    <col min="3" max="3" width="8" style="188" customWidth="1"/>
    <col min="4" max="4" width="16.28515625" style="188" customWidth="1"/>
    <col min="5" max="5" width="9" style="188"/>
    <col min="6" max="6" width="16.5703125" style="188" customWidth="1"/>
    <col min="7" max="7" width="9" style="188"/>
    <col min="8" max="8" width="18.7109375" style="188" customWidth="1"/>
    <col min="9" max="9" width="11.5703125" style="188" customWidth="1"/>
    <col min="10" max="10" width="9" style="188"/>
    <col min="11" max="11" width="41.85546875" style="188" customWidth="1"/>
    <col min="12" max="16384" width="10" style="188"/>
  </cols>
  <sheetData>
    <row r="1" spans="1:10" ht="30" customHeight="1">
      <c r="A1" s="184" t="s">
        <v>183</v>
      </c>
      <c r="B1" s="5" t="s">
        <v>11</v>
      </c>
      <c r="C1" s="180" t="s">
        <v>12</v>
      </c>
      <c r="D1" s="180" t="s">
        <v>13</v>
      </c>
      <c r="E1" s="180" t="s">
        <v>14</v>
      </c>
      <c r="F1" s="180" t="s">
        <v>15</v>
      </c>
      <c r="G1" s="180" t="s">
        <v>16</v>
      </c>
      <c r="H1" s="181" t="s">
        <v>17</v>
      </c>
      <c r="I1" s="226" t="s">
        <v>184</v>
      </c>
      <c r="J1" s="227" t="s">
        <v>228</v>
      </c>
    </row>
    <row r="2" spans="1:10" ht="15.75">
      <c r="A2" s="185">
        <v>1</v>
      </c>
      <c r="B2" s="210" t="s">
        <v>186</v>
      </c>
      <c r="C2" s="213" t="s">
        <v>227</v>
      </c>
      <c r="D2" s="190" t="s">
        <v>136</v>
      </c>
      <c r="E2" s="191">
        <v>14</v>
      </c>
      <c r="F2" s="192" t="s">
        <v>154</v>
      </c>
      <c r="G2" s="193" t="s">
        <v>180</v>
      </c>
      <c r="H2" s="182" t="s">
        <v>185</v>
      </c>
      <c r="I2" s="226">
        <v>1234</v>
      </c>
      <c r="J2" s="322" t="s">
        <v>229</v>
      </c>
    </row>
    <row r="3" spans="1:10" ht="25.5">
      <c r="A3" s="185">
        <v>2</v>
      </c>
      <c r="B3" s="210" t="s">
        <v>187</v>
      </c>
      <c r="C3" s="213" t="s">
        <v>227</v>
      </c>
      <c r="D3" s="190" t="s">
        <v>136</v>
      </c>
      <c r="E3" s="191">
        <v>15</v>
      </c>
      <c r="F3" s="192" t="s">
        <v>139</v>
      </c>
      <c r="G3" s="193" t="s">
        <v>180</v>
      </c>
      <c r="H3" s="183" t="s">
        <v>185</v>
      </c>
      <c r="I3" s="226">
        <v>1234</v>
      </c>
      <c r="J3" s="228"/>
    </row>
    <row r="4" spans="1:10" ht="15.75">
      <c r="A4" s="185">
        <v>3</v>
      </c>
      <c r="B4" s="210" t="s">
        <v>188</v>
      </c>
      <c r="C4" s="213" t="s">
        <v>227</v>
      </c>
      <c r="D4" s="190" t="s">
        <v>136</v>
      </c>
      <c r="E4" s="191">
        <v>16</v>
      </c>
      <c r="F4" s="192" t="s">
        <v>155</v>
      </c>
      <c r="G4" s="193" t="s">
        <v>180</v>
      </c>
      <c r="H4" s="182" t="s">
        <v>185</v>
      </c>
      <c r="I4" s="226">
        <v>1234</v>
      </c>
      <c r="J4" s="228"/>
    </row>
    <row r="5" spans="1:10" ht="15.75">
      <c r="A5" s="185">
        <v>4</v>
      </c>
      <c r="B5" s="210" t="s">
        <v>189</v>
      </c>
      <c r="C5" s="213" t="s">
        <v>227</v>
      </c>
      <c r="D5" s="190" t="s">
        <v>136</v>
      </c>
      <c r="E5" s="191">
        <v>12</v>
      </c>
      <c r="F5" s="192" t="s">
        <v>155</v>
      </c>
      <c r="G5" s="193" t="s">
        <v>180</v>
      </c>
      <c r="H5" s="183" t="s">
        <v>185</v>
      </c>
      <c r="I5" s="226">
        <v>1234</v>
      </c>
      <c r="J5" s="228"/>
    </row>
    <row r="6" spans="1:10" ht="15.75">
      <c r="A6" s="185">
        <v>5</v>
      </c>
      <c r="B6" s="210" t="s">
        <v>190</v>
      </c>
      <c r="C6" s="213" t="s">
        <v>227</v>
      </c>
      <c r="D6" s="190" t="s">
        <v>136</v>
      </c>
      <c r="E6" s="191">
        <v>13</v>
      </c>
      <c r="F6" s="192" t="s">
        <v>155</v>
      </c>
      <c r="G6" s="193" t="s">
        <v>180</v>
      </c>
      <c r="H6" s="182" t="s">
        <v>185</v>
      </c>
      <c r="I6" s="226">
        <v>1234</v>
      </c>
      <c r="J6" s="228"/>
    </row>
    <row r="7" spans="1:10" ht="15.75">
      <c r="A7" s="185">
        <v>6</v>
      </c>
      <c r="B7" s="210" t="s">
        <v>191</v>
      </c>
      <c r="C7" s="213" t="s">
        <v>227</v>
      </c>
      <c r="D7" s="190" t="s">
        <v>136</v>
      </c>
      <c r="E7" s="191">
        <v>14</v>
      </c>
      <c r="F7" s="192" t="s">
        <v>139</v>
      </c>
      <c r="G7" s="193" t="s">
        <v>180</v>
      </c>
      <c r="H7" s="183" t="s">
        <v>185</v>
      </c>
      <c r="I7" s="226">
        <v>1234</v>
      </c>
      <c r="J7" s="228"/>
    </row>
    <row r="8" spans="1:10" ht="15.75">
      <c r="A8" s="185">
        <v>7</v>
      </c>
      <c r="B8" s="210" t="s">
        <v>192</v>
      </c>
      <c r="C8" s="213" t="s">
        <v>227</v>
      </c>
      <c r="D8" s="190" t="s">
        <v>136</v>
      </c>
      <c r="E8" s="191">
        <v>15</v>
      </c>
      <c r="F8" s="192" t="s">
        <v>166</v>
      </c>
      <c r="G8" s="193" t="s">
        <v>180</v>
      </c>
      <c r="H8" s="182" t="s">
        <v>185</v>
      </c>
      <c r="I8" s="226">
        <v>1234</v>
      </c>
      <c r="J8" s="228"/>
    </row>
    <row r="9" spans="1:10" ht="15.75">
      <c r="A9" s="185">
        <v>8</v>
      </c>
      <c r="B9" s="210" t="s">
        <v>193</v>
      </c>
      <c r="C9" s="213" t="s">
        <v>227</v>
      </c>
      <c r="D9" s="190" t="s">
        <v>136</v>
      </c>
      <c r="E9" s="191">
        <v>14</v>
      </c>
      <c r="F9" s="192" t="s">
        <v>167</v>
      </c>
      <c r="G9" s="193" t="s">
        <v>180</v>
      </c>
      <c r="H9" s="183" t="s">
        <v>185</v>
      </c>
      <c r="I9" s="226">
        <v>1234</v>
      </c>
      <c r="J9" s="228"/>
    </row>
    <row r="10" spans="1:10" ht="15.75">
      <c r="A10" s="185">
        <v>9</v>
      </c>
      <c r="B10" s="210" t="s">
        <v>194</v>
      </c>
      <c r="C10" s="213" t="s">
        <v>227</v>
      </c>
      <c r="D10" s="190" t="s">
        <v>136</v>
      </c>
      <c r="E10" s="191">
        <v>14</v>
      </c>
      <c r="F10" s="192" t="s">
        <v>168</v>
      </c>
      <c r="G10" s="193" t="s">
        <v>180</v>
      </c>
      <c r="H10" s="182" t="s">
        <v>185</v>
      </c>
      <c r="I10" s="226">
        <v>1234</v>
      </c>
      <c r="J10" s="228"/>
    </row>
    <row r="11" spans="1:10" ht="15.75">
      <c r="A11" s="185">
        <v>10</v>
      </c>
      <c r="B11" s="210" t="s">
        <v>195</v>
      </c>
      <c r="C11" s="213" t="s">
        <v>227</v>
      </c>
      <c r="D11" s="190" t="s">
        <v>141</v>
      </c>
      <c r="E11" s="191">
        <v>15</v>
      </c>
      <c r="F11" s="192" t="s">
        <v>169</v>
      </c>
      <c r="G11" s="193" t="s">
        <v>180</v>
      </c>
      <c r="H11" s="183" t="s">
        <v>185</v>
      </c>
      <c r="I11" s="226">
        <v>1234</v>
      </c>
      <c r="J11" s="228"/>
    </row>
    <row r="12" spans="1:10" ht="15.75">
      <c r="A12" s="185">
        <v>11</v>
      </c>
      <c r="B12" s="210" t="s">
        <v>196</v>
      </c>
      <c r="C12" s="213" t="s">
        <v>227</v>
      </c>
      <c r="D12" s="190" t="s">
        <v>179</v>
      </c>
      <c r="E12" s="191">
        <v>15</v>
      </c>
      <c r="F12" s="192" t="s">
        <v>170</v>
      </c>
      <c r="G12" s="193" t="s">
        <v>180</v>
      </c>
      <c r="H12" s="182" t="s">
        <v>185</v>
      </c>
      <c r="I12" s="226">
        <v>1234</v>
      </c>
      <c r="J12" s="228"/>
    </row>
    <row r="13" spans="1:10" ht="15.75">
      <c r="A13" s="185">
        <v>12</v>
      </c>
      <c r="B13" s="210" t="s">
        <v>197</v>
      </c>
      <c r="C13" s="213" t="s">
        <v>227</v>
      </c>
      <c r="D13" s="190" t="s">
        <v>141</v>
      </c>
      <c r="E13" s="191">
        <v>15</v>
      </c>
      <c r="F13" s="192" t="s">
        <v>171</v>
      </c>
      <c r="G13" s="193" t="s">
        <v>180</v>
      </c>
      <c r="H13" s="183" t="s">
        <v>185</v>
      </c>
      <c r="I13" s="226">
        <v>1234</v>
      </c>
      <c r="J13" s="228"/>
    </row>
    <row r="14" spans="1:10" ht="15.75">
      <c r="A14" s="185">
        <v>13</v>
      </c>
      <c r="B14" s="210" t="s">
        <v>198</v>
      </c>
      <c r="C14" s="213" t="s">
        <v>227</v>
      </c>
      <c r="D14" s="190" t="s">
        <v>136</v>
      </c>
      <c r="E14" s="191">
        <v>15</v>
      </c>
      <c r="F14" s="192" t="s">
        <v>172</v>
      </c>
      <c r="G14" s="193" t="s">
        <v>180</v>
      </c>
      <c r="H14" s="182" t="s">
        <v>185</v>
      </c>
      <c r="I14" s="226">
        <v>1234</v>
      </c>
      <c r="J14" s="228"/>
    </row>
    <row r="15" spans="1:10" ht="15.75">
      <c r="A15" s="185">
        <v>14</v>
      </c>
      <c r="B15" s="210" t="s">
        <v>199</v>
      </c>
      <c r="C15" s="213" t="s">
        <v>227</v>
      </c>
      <c r="D15" s="190" t="s">
        <v>136</v>
      </c>
      <c r="E15" s="191">
        <v>15</v>
      </c>
      <c r="F15" s="192" t="s">
        <v>173</v>
      </c>
      <c r="G15" s="193" t="s">
        <v>180</v>
      </c>
      <c r="H15" s="183" t="s">
        <v>185</v>
      </c>
      <c r="I15" s="226">
        <v>1234</v>
      </c>
      <c r="J15" s="228"/>
    </row>
    <row r="16" spans="1:10" ht="15.75">
      <c r="A16" s="185">
        <v>15</v>
      </c>
      <c r="B16" s="210" t="s">
        <v>200</v>
      </c>
      <c r="C16" s="213" t="s">
        <v>227</v>
      </c>
      <c r="D16" s="190" t="s">
        <v>136</v>
      </c>
      <c r="E16" s="191">
        <v>14</v>
      </c>
      <c r="F16" s="192" t="s">
        <v>155</v>
      </c>
      <c r="G16" s="193" t="s">
        <v>180</v>
      </c>
      <c r="H16" s="182" t="s">
        <v>185</v>
      </c>
      <c r="I16" s="226">
        <v>1234</v>
      </c>
      <c r="J16" s="228"/>
    </row>
    <row r="17" spans="1:10" ht="19.5" customHeight="1">
      <c r="A17" s="185">
        <v>16</v>
      </c>
      <c r="B17" s="210" t="s">
        <v>201</v>
      </c>
      <c r="C17" s="213" t="s">
        <v>227</v>
      </c>
      <c r="D17" s="190" t="s">
        <v>136</v>
      </c>
      <c r="E17" s="191">
        <v>14</v>
      </c>
      <c r="F17" s="192" t="s">
        <v>174</v>
      </c>
      <c r="G17" s="193" t="s">
        <v>180</v>
      </c>
      <c r="H17" s="183" t="s">
        <v>185</v>
      </c>
      <c r="I17" s="226">
        <v>1234</v>
      </c>
      <c r="J17" s="228"/>
    </row>
    <row r="18" spans="1:10" ht="15.75">
      <c r="A18" s="185">
        <v>17</v>
      </c>
      <c r="B18" s="210" t="s">
        <v>202</v>
      </c>
      <c r="C18" s="213" t="s">
        <v>227</v>
      </c>
      <c r="D18" s="190" t="s">
        <v>136</v>
      </c>
      <c r="E18" s="191">
        <v>14</v>
      </c>
      <c r="F18" s="192" t="s">
        <v>175</v>
      </c>
      <c r="G18" s="193" t="s">
        <v>180</v>
      </c>
      <c r="H18" s="182" t="s">
        <v>185</v>
      </c>
      <c r="I18" s="226">
        <v>1234</v>
      </c>
      <c r="J18" s="228"/>
    </row>
    <row r="19" spans="1:10" ht="15.75">
      <c r="A19" s="185">
        <v>18</v>
      </c>
      <c r="B19" s="210" t="s">
        <v>203</v>
      </c>
      <c r="C19" s="213" t="s">
        <v>227</v>
      </c>
      <c r="D19" s="190" t="s">
        <v>136</v>
      </c>
      <c r="E19" s="191">
        <v>14</v>
      </c>
      <c r="F19" s="192" t="s">
        <v>154</v>
      </c>
      <c r="G19" s="193" t="s">
        <v>180</v>
      </c>
      <c r="H19" s="182" t="s">
        <v>185</v>
      </c>
      <c r="I19" s="226">
        <v>1234</v>
      </c>
      <c r="J19" s="228"/>
    </row>
    <row r="20" spans="1:10" ht="15.75">
      <c r="A20" s="185">
        <v>19</v>
      </c>
      <c r="B20" s="210" t="s">
        <v>204</v>
      </c>
      <c r="C20" s="213" t="s">
        <v>227</v>
      </c>
      <c r="D20" s="190" t="s">
        <v>136</v>
      </c>
      <c r="E20" s="191">
        <v>15</v>
      </c>
      <c r="F20" s="192" t="s">
        <v>139</v>
      </c>
      <c r="G20" s="193" t="s">
        <v>180</v>
      </c>
      <c r="H20" s="182" t="s">
        <v>185</v>
      </c>
      <c r="I20" s="226">
        <v>1234</v>
      </c>
      <c r="J20" s="228"/>
    </row>
    <row r="21" spans="1:10" ht="15.75">
      <c r="A21" s="185">
        <v>20</v>
      </c>
      <c r="B21" s="211" t="s">
        <v>205</v>
      </c>
      <c r="C21" s="213" t="s">
        <v>227</v>
      </c>
      <c r="D21" s="190" t="s">
        <v>141</v>
      </c>
      <c r="E21" s="191">
        <v>14</v>
      </c>
      <c r="F21" s="192" t="s">
        <v>176</v>
      </c>
      <c r="G21" s="193" t="s">
        <v>180</v>
      </c>
      <c r="H21" s="182" t="s">
        <v>185</v>
      </c>
      <c r="I21" s="226">
        <v>1234</v>
      </c>
      <c r="J21" s="228"/>
    </row>
    <row r="22" spans="1:10" ht="15.75">
      <c r="A22" s="185">
        <v>21</v>
      </c>
      <c r="B22" s="211" t="s">
        <v>206</v>
      </c>
      <c r="C22" s="213" t="s">
        <v>227</v>
      </c>
      <c r="D22" s="190" t="s">
        <v>179</v>
      </c>
      <c r="E22" s="191">
        <v>15</v>
      </c>
      <c r="F22" s="192" t="s">
        <v>177</v>
      </c>
      <c r="G22" s="193" t="s">
        <v>180</v>
      </c>
      <c r="H22" s="182" t="s">
        <v>185</v>
      </c>
      <c r="I22" s="226">
        <v>1234</v>
      </c>
      <c r="J22" s="228"/>
    </row>
    <row r="23" spans="1:10" ht="15.75">
      <c r="A23" s="185">
        <v>22</v>
      </c>
      <c r="B23" s="211" t="s">
        <v>207</v>
      </c>
      <c r="C23" s="213" t="s">
        <v>227</v>
      </c>
      <c r="D23" s="190"/>
      <c r="E23" s="191"/>
      <c r="F23" s="191"/>
      <c r="G23" s="193" t="s">
        <v>180</v>
      </c>
      <c r="H23" s="182" t="s">
        <v>185</v>
      </c>
      <c r="I23" s="226">
        <v>1234</v>
      </c>
      <c r="J23" s="228"/>
    </row>
    <row r="24" spans="1:10" ht="15.75">
      <c r="A24" s="185">
        <v>23</v>
      </c>
      <c r="B24" s="211" t="s">
        <v>208</v>
      </c>
      <c r="C24" s="213" t="s">
        <v>227</v>
      </c>
      <c r="D24" s="190" t="s">
        <v>136</v>
      </c>
      <c r="E24" s="191">
        <v>14</v>
      </c>
      <c r="F24" s="192" t="s">
        <v>155</v>
      </c>
      <c r="G24" s="193" t="s">
        <v>180</v>
      </c>
      <c r="H24" s="182" t="s">
        <v>185</v>
      </c>
      <c r="I24" s="226">
        <v>1234</v>
      </c>
      <c r="J24" s="228"/>
    </row>
    <row r="25" spans="1:10" ht="15.75">
      <c r="A25" s="185">
        <v>24</v>
      </c>
      <c r="B25" s="211" t="s">
        <v>209</v>
      </c>
      <c r="C25" s="213" t="s">
        <v>227</v>
      </c>
      <c r="D25" s="190" t="s">
        <v>136</v>
      </c>
      <c r="E25" s="191">
        <v>15</v>
      </c>
      <c r="F25" s="192" t="s">
        <v>147</v>
      </c>
      <c r="G25" s="193" t="s">
        <v>180</v>
      </c>
      <c r="H25" s="182" t="s">
        <v>185</v>
      </c>
      <c r="I25" s="226">
        <v>1234</v>
      </c>
      <c r="J25" s="228"/>
    </row>
    <row r="26" spans="1:10" ht="15.75">
      <c r="A26" s="185">
        <v>25</v>
      </c>
      <c r="B26" s="211" t="s">
        <v>210</v>
      </c>
      <c r="C26" s="213" t="s">
        <v>227</v>
      </c>
      <c r="D26" s="190" t="s">
        <v>136</v>
      </c>
      <c r="E26" s="191">
        <v>15</v>
      </c>
      <c r="F26" s="192" t="s">
        <v>145</v>
      </c>
      <c r="G26" s="193" t="s">
        <v>180</v>
      </c>
      <c r="H26" s="182" t="s">
        <v>185</v>
      </c>
      <c r="I26" s="226">
        <v>1234</v>
      </c>
      <c r="J26" s="228"/>
    </row>
    <row r="27" spans="1:10" ht="15.75">
      <c r="A27" s="185">
        <v>26</v>
      </c>
      <c r="B27" s="211" t="s">
        <v>211</v>
      </c>
      <c r="C27" s="213" t="s">
        <v>227</v>
      </c>
      <c r="D27" s="190" t="s">
        <v>136</v>
      </c>
      <c r="E27" s="191">
        <v>14</v>
      </c>
      <c r="F27" s="192" t="s">
        <v>147</v>
      </c>
      <c r="G27" s="193" t="s">
        <v>180</v>
      </c>
      <c r="H27" s="182" t="s">
        <v>185</v>
      </c>
      <c r="I27" s="226">
        <v>1234</v>
      </c>
      <c r="J27" s="228"/>
    </row>
    <row r="28" spans="1:10" ht="15.75">
      <c r="A28" s="185">
        <v>27</v>
      </c>
      <c r="B28" s="211" t="s">
        <v>212</v>
      </c>
      <c r="C28" s="213" t="s">
        <v>227</v>
      </c>
      <c r="D28" s="190" t="s">
        <v>136</v>
      </c>
      <c r="E28" s="191">
        <v>13</v>
      </c>
      <c r="F28" s="192" t="s">
        <v>175</v>
      </c>
      <c r="G28" s="193" t="s">
        <v>180</v>
      </c>
      <c r="H28" s="182" t="s">
        <v>185</v>
      </c>
      <c r="I28" s="226">
        <v>1234</v>
      </c>
      <c r="J28" s="228"/>
    </row>
    <row r="29" spans="1:10" ht="15.75">
      <c r="A29" s="185">
        <v>28</v>
      </c>
      <c r="B29" s="211" t="s">
        <v>213</v>
      </c>
      <c r="C29" s="213" t="s">
        <v>227</v>
      </c>
      <c r="D29" s="190" t="s">
        <v>136</v>
      </c>
      <c r="E29" s="191">
        <v>15</v>
      </c>
      <c r="F29" s="192" t="s">
        <v>144</v>
      </c>
      <c r="G29" s="193" t="s">
        <v>180</v>
      </c>
      <c r="H29" s="182" t="s">
        <v>185</v>
      </c>
      <c r="I29" s="226">
        <v>1234</v>
      </c>
      <c r="J29" s="228"/>
    </row>
    <row r="30" spans="1:10" ht="15.75">
      <c r="A30" s="185">
        <v>29</v>
      </c>
      <c r="B30" s="211" t="s">
        <v>214</v>
      </c>
      <c r="C30" s="213" t="s">
        <v>227</v>
      </c>
      <c r="D30" s="190" t="s">
        <v>136</v>
      </c>
      <c r="E30" s="191">
        <v>15</v>
      </c>
      <c r="F30" s="192" t="s">
        <v>155</v>
      </c>
      <c r="G30" s="193" t="s">
        <v>180</v>
      </c>
      <c r="H30" s="182" t="s">
        <v>185</v>
      </c>
      <c r="I30" s="226">
        <v>1234</v>
      </c>
      <c r="J30" s="228"/>
    </row>
    <row r="31" spans="1:10" ht="15.75">
      <c r="A31" s="185">
        <v>30</v>
      </c>
      <c r="B31" s="211" t="s">
        <v>215</v>
      </c>
      <c r="C31" s="213" t="s">
        <v>227</v>
      </c>
      <c r="D31" s="190" t="s">
        <v>136</v>
      </c>
      <c r="E31" s="191">
        <v>13</v>
      </c>
      <c r="F31" s="192" t="s">
        <v>154</v>
      </c>
      <c r="G31" s="193" t="s">
        <v>180</v>
      </c>
      <c r="H31" s="182" t="s">
        <v>185</v>
      </c>
      <c r="I31" s="226">
        <v>1234</v>
      </c>
      <c r="J31" s="228"/>
    </row>
    <row r="32" spans="1:10" ht="15.75">
      <c r="A32" s="185">
        <v>31</v>
      </c>
      <c r="B32" s="211" t="s">
        <v>216</v>
      </c>
      <c r="C32" s="213" t="s">
        <v>227</v>
      </c>
      <c r="D32" s="190" t="s">
        <v>136</v>
      </c>
      <c r="E32" s="191">
        <v>14</v>
      </c>
      <c r="F32" s="192" t="s">
        <v>178</v>
      </c>
      <c r="G32" s="193" t="s">
        <v>180</v>
      </c>
      <c r="H32" s="182" t="s">
        <v>185</v>
      </c>
      <c r="I32" s="226">
        <v>1234</v>
      </c>
      <c r="J32" s="228"/>
    </row>
    <row r="33" spans="1:10" ht="15.75">
      <c r="A33" s="185">
        <v>32</v>
      </c>
      <c r="B33" s="211" t="s">
        <v>217</v>
      </c>
      <c r="C33" s="213" t="s">
        <v>227</v>
      </c>
      <c r="D33" s="190" t="s">
        <v>136</v>
      </c>
      <c r="E33" s="191">
        <v>14</v>
      </c>
      <c r="F33" s="192" t="s">
        <v>143</v>
      </c>
      <c r="G33" s="193" t="s">
        <v>180</v>
      </c>
      <c r="H33" s="182" t="s">
        <v>185</v>
      </c>
      <c r="I33" s="226">
        <v>1234</v>
      </c>
      <c r="J33" s="228"/>
    </row>
    <row r="34" spans="1:10" ht="15.75">
      <c r="A34" s="185">
        <v>33</v>
      </c>
      <c r="B34" s="211" t="s">
        <v>218</v>
      </c>
      <c r="C34" s="213" t="s">
        <v>227</v>
      </c>
      <c r="D34" s="190" t="s">
        <v>136</v>
      </c>
      <c r="E34" s="191">
        <v>14</v>
      </c>
      <c r="F34" s="192" t="s">
        <v>144</v>
      </c>
      <c r="G34" s="193" t="s">
        <v>180</v>
      </c>
      <c r="H34" s="182" t="s">
        <v>185</v>
      </c>
      <c r="I34" s="226">
        <v>1234</v>
      </c>
      <c r="J34" s="228"/>
    </row>
    <row r="35" spans="1:10" ht="15.75">
      <c r="A35" s="185">
        <v>34</v>
      </c>
      <c r="B35" s="211" t="s">
        <v>219</v>
      </c>
      <c r="C35" s="213" t="s">
        <v>227</v>
      </c>
      <c r="D35" s="190" t="s">
        <v>136</v>
      </c>
      <c r="E35" s="191">
        <v>15</v>
      </c>
      <c r="F35" s="192" t="s">
        <v>175</v>
      </c>
      <c r="G35" s="193" t="s">
        <v>180</v>
      </c>
      <c r="H35" s="182" t="s">
        <v>185</v>
      </c>
      <c r="I35" s="226">
        <v>1234</v>
      </c>
      <c r="J35" s="228"/>
    </row>
    <row r="36" spans="1:10" ht="15.75">
      <c r="A36" s="185">
        <v>35</v>
      </c>
      <c r="B36" s="211" t="s">
        <v>220</v>
      </c>
      <c r="C36" s="213" t="s">
        <v>227</v>
      </c>
      <c r="D36" s="190" t="s">
        <v>136</v>
      </c>
      <c r="E36" s="191">
        <v>16</v>
      </c>
      <c r="F36" s="192" t="s">
        <v>144</v>
      </c>
      <c r="G36" s="193" t="s">
        <v>180</v>
      </c>
      <c r="H36" s="182" t="s">
        <v>185</v>
      </c>
      <c r="I36" s="226">
        <v>1234</v>
      </c>
      <c r="J36" s="228"/>
    </row>
    <row r="37" spans="1:10" ht="15.75">
      <c r="A37" s="185">
        <v>36</v>
      </c>
      <c r="B37" s="211" t="s">
        <v>221</v>
      </c>
      <c r="C37" s="213" t="s">
        <v>227</v>
      </c>
      <c r="D37" s="190" t="s">
        <v>136</v>
      </c>
      <c r="E37" s="191">
        <v>15</v>
      </c>
      <c r="F37" s="192" t="s">
        <v>139</v>
      </c>
      <c r="G37" s="193" t="s">
        <v>180</v>
      </c>
      <c r="H37" s="182" t="s">
        <v>185</v>
      </c>
      <c r="I37" s="226">
        <v>1234</v>
      </c>
      <c r="J37" s="228"/>
    </row>
    <row r="38" spans="1:10" ht="15.75">
      <c r="A38" s="185">
        <v>37</v>
      </c>
      <c r="B38" s="211" t="s">
        <v>222</v>
      </c>
      <c r="C38" s="213" t="s">
        <v>227</v>
      </c>
      <c r="D38" s="190" t="s">
        <v>137</v>
      </c>
      <c r="E38" s="191">
        <v>14</v>
      </c>
      <c r="F38" s="192" t="s">
        <v>138</v>
      </c>
      <c r="G38" s="193" t="s">
        <v>180</v>
      </c>
      <c r="H38" s="182" t="s">
        <v>185</v>
      </c>
      <c r="I38" s="226">
        <v>1234</v>
      </c>
      <c r="J38" s="228"/>
    </row>
    <row r="39" spans="1:10" ht="15.75">
      <c r="A39" s="185">
        <v>38</v>
      </c>
      <c r="B39" s="211" t="s">
        <v>223</v>
      </c>
      <c r="C39" s="213" t="s">
        <v>227</v>
      </c>
      <c r="D39" s="190" t="s">
        <v>136</v>
      </c>
      <c r="E39" s="191">
        <v>14</v>
      </c>
      <c r="F39" s="192" t="s">
        <v>139</v>
      </c>
      <c r="G39" s="193" t="s">
        <v>180</v>
      </c>
      <c r="H39" s="182" t="s">
        <v>185</v>
      </c>
      <c r="I39" s="226">
        <v>1234</v>
      </c>
      <c r="J39" s="228"/>
    </row>
    <row r="40" spans="1:10" ht="15.75">
      <c r="A40" s="185">
        <v>39</v>
      </c>
      <c r="B40" s="211" t="s">
        <v>224</v>
      </c>
      <c r="C40" s="213" t="s">
        <v>227</v>
      </c>
      <c r="D40" s="190" t="s">
        <v>136</v>
      </c>
      <c r="E40" s="191">
        <v>15</v>
      </c>
      <c r="F40" s="192" t="s">
        <v>140</v>
      </c>
      <c r="G40" s="193" t="s">
        <v>180</v>
      </c>
      <c r="H40" s="182" t="s">
        <v>185</v>
      </c>
      <c r="I40" s="226">
        <v>1234</v>
      </c>
      <c r="J40" s="228"/>
    </row>
    <row r="41" spans="1:10" ht="15.75">
      <c r="A41" s="185">
        <v>40</v>
      </c>
      <c r="B41" s="211" t="s">
        <v>225</v>
      </c>
      <c r="C41" s="213" t="s">
        <v>227</v>
      </c>
      <c r="D41" s="190" t="s">
        <v>141</v>
      </c>
      <c r="E41" s="191">
        <v>14</v>
      </c>
      <c r="F41" s="192" t="s">
        <v>142</v>
      </c>
      <c r="G41" s="193" t="s">
        <v>180</v>
      </c>
      <c r="H41" s="182" t="s">
        <v>185</v>
      </c>
      <c r="I41" s="226">
        <v>1234</v>
      </c>
      <c r="J41" s="228"/>
    </row>
    <row r="42" spans="1:10" ht="15.75">
      <c r="A42" s="185">
        <v>41</v>
      </c>
      <c r="B42" s="212" t="s">
        <v>226</v>
      </c>
      <c r="C42" s="213" t="s">
        <v>227</v>
      </c>
      <c r="D42" s="190" t="s">
        <v>141</v>
      </c>
      <c r="E42" s="191">
        <v>13</v>
      </c>
      <c r="F42" s="192" t="s">
        <v>143</v>
      </c>
      <c r="G42" s="193" t="s">
        <v>180</v>
      </c>
      <c r="H42" s="182" t="s">
        <v>185</v>
      </c>
      <c r="I42" s="226">
        <v>1234</v>
      </c>
      <c r="J42" s="228"/>
    </row>
    <row r="43" spans="1:10" ht="15.75">
      <c r="A43" s="185">
        <v>42</v>
      </c>
      <c r="B43" s="187" t="s">
        <v>156</v>
      </c>
      <c r="C43" s="213" t="s">
        <v>227</v>
      </c>
      <c r="D43" s="190" t="s">
        <v>136</v>
      </c>
      <c r="E43" s="191">
        <v>15</v>
      </c>
      <c r="F43" s="192" t="s">
        <v>144</v>
      </c>
      <c r="G43" s="193" t="s">
        <v>180</v>
      </c>
      <c r="H43" s="182" t="s">
        <v>185</v>
      </c>
      <c r="I43" s="226">
        <v>1234</v>
      </c>
      <c r="J43" s="228"/>
    </row>
    <row r="44" spans="1:10" ht="15.75">
      <c r="A44" s="185">
        <v>43</v>
      </c>
      <c r="B44" s="187" t="s">
        <v>157</v>
      </c>
      <c r="C44" s="213" t="s">
        <v>227</v>
      </c>
      <c r="D44" s="190" t="s">
        <v>136</v>
      </c>
      <c r="E44" s="191">
        <v>15</v>
      </c>
      <c r="F44" s="192" t="s">
        <v>145</v>
      </c>
      <c r="G44" s="193" t="s">
        <v>180</v>
      </c>
      <c r="H44" s="182" t="s">
        <v>185</v>
      </c>
      <c r="I44" s="226">
        <v>1234</v>
      </c>
      <c r="J44" s="228"/>
    </row>
    <row r="45" spans="1:10" ht="15.75">
      <c r="A45" s="185">
        <v>44</v>
      </c>
      <c r="B45" s="187" t="s">
        <v>158</v>
      </c>
      <c r="C45" s="213" t="s">
        <v>227</v>
      </c>
      <c r="D45" s="190" t="s">
        <v>152</v>
      </c>
      <c r="E45" s="191">
        <v>13</v>
      </c>
      <c r="F45" s="192" t="s">
        <v>146</v>
      </c>
      <c r="G45" s="193" t="s">
        <v>180</v>
      </c>
      <c r="H45" s="182" t="s">
        <v>185</v>
      </c>
      <c r="I45" s="226">
        <v>1234</v>
      </c>
      <c r="J45" s="228"/>
    </row>
    <row r="46" spans="1:10" ht="15.75">
      <c r="A46" s="185">
        <v>45</v>
      </c>
      <c r="B46" s="187" t="s">
        <v>159</v>
      </c>
      <c r="C46" s="213" t="s">
        <v>227</v>
      </c>
      <c r="D46" s="190" t="s">
        <v>136</v>
      </c>
      <c r="E46" s="191">
        <v>14</v>
      </c>
      <c r="F46" s="192" t="s">
        <v>145</v>
      </c>
      <c r="G46" s="193" t="s">
        <v>180</v>
      </c>
      <c r="H46" s="182" t="s">
        <v>185</v>
      </c>
      <c r="I46" s="226">
        <v>1234</v>
      </c>
      <c r="J46" s="228"/>
    </row>
    <row r="47" spans="1:10" ht="15.75">
      <c r="A47" s="185">
        <v>46</v>
      </c>
      <c r="B47" s="187" t="s">
        <v>160</v>
      </c>
      <c r="C47" s="213" t="s">
        <v>227</v>
      </c>
      <c r="D47" s="190" t="s">
        <v>136</v>
      </c>
      <c r="E47" s="191">
        <v>14</v>
      </c>
      <c r="F47" s="189" t="s">
        <v>143</v>
      </c>
      <c r="G47" s="193" t="s">
        <v>180</v>
      </c>
      <c r="H47" s="182" t="s">
        <v>185</v>
      </c>
      <c r="I47" s="226">
        <v>1234</v>
      </c>
      <c r="J47" s="228"/>
    </row>
    <row r="48" spans="1:10" ht="15.75">
      <c r="A48" s="185">
        <v>47</v>
      </c>
      <c r="B48" s="187" t="s">
        <v>161</v>
      </c>
      <c r="C48" s="213" t="s">
        <v>227</v>
      </c>
      <c r="D48" s="190" t="s">
        <v>136</v>
      </c>
      <c r="E48" s="191">
        <v>14</v>
      </c>
      <c r="F48" s="189" t="s">
        <v>147</v>
      </c>
      <c r="G48" s="193" t="s">
        <v>180</v>
      </c>
      <c r="H48" s="182" t="s">
        <v>185</v>
      </c>
      <c r="I48" s="226">
        <v>1234</v>
      </c>
      <c r="J48" s="228"/>
    </row>
    <row r="49" spans="1:10" ht="15.75">
      <c r="A49" s="185">
        <v>48</v>
      </c>
      <c r="B49" s="187" t="s">
        <v>162</v>
      </c>
      <c r="C49" s="213" t="s">
        <v>227</v>
      </c>
      <c r="D49" s="190" t="s">
        <v>136</v>
      </c>
      <c r="E49" s="191">
        <v>14</v>
      </c>
      <c r="F49" s="189" t="s">
        <v>148</v>
      </c>
      <c r="G49" s="193" t="s">
        <v>180</v>
      </c>
      <c r="H49" s="182" t="s">
        <v>185</v>
      </c>
      <c r="I49" s="226">
        <v>1234</v>
      </c>
      <c r="J49" s="228"/>
    </row>
    <row r="50" spans="1:10" ht="15.75">
      <c r="A50" s="185">
        <v>49</v>
      </c>
      <c r="B50" s="187" t="s">
        <v>163</v>
      </c>
      <c r="C50" s="213" t="s">
        <v>227</v>
      </c>
      <c r="D50" s="190" t="s">
        <v>141</v>
      </c>
      <c r="E50" s="191">
        <v>12</v>
      </c>
      <c r="F50" s="194" t="s">
        <v>149</v>
      </c>
      <c r="G50" s="193" t="s">
        <v>180</v>
      </c>
      <c r="H50" s="182" t="s">
        <v>185</v>
      </c>
      <c r="I50" s="226">
        <v>1234</v>
      </c>
      <c r="J50" s="228"/>
    </row>
    <row r="51" spans="1:10" ht="15.75">
      <c r="A51" s="185">
        <v>50</v>
      </c>
      <c r="B51" s="187" t="s">
        <v>164</v>
      </c>
      <c r="C51" s="213" t="s">
        <v>227</v>
      </c>
      <c r="D51" s="190" t="s">
        <v>136</v>
      </c>
      <c r="E51" s="180">
        <v>14</v>
      </c>
      <c r="F51" s="195" t="s">
        <v>150</v>
      </c>
      <c r="G51" s="193" t="s">
        <v>180</v>
      </c>
      <c r="H51" s="182" t="s">
        <v>185</v>
      </c>
      <c r="I51" s="226">
        <v>1234</v>
      </c>
      <c r="J51" s="228"/>
    </row>
    <row r="52" spans="1:10" ht="15.75">
      <c r="A52" s="185">
        <v>51</v>
      </c>
      <c r="B52" s="196" t="s">
        <v>165</v>
      </c>
      <c r="C52" s="213" t="s">
        <v>227</v>
      </c>
      <c r="D52" s="190" t="s">
        <v>153</v>
      </c>
      <c r="E52" s="180">
        <v>14</v>
      </c>
      <c r="F52" s="195" t="s">
        <v>151</v>
      </c>
      <c r="G52" s="193" t="s">
        <v>180</v>
      </c>
      <c r="H52" s="182" t="s">
        <v>185</v>
      </c>
      <c r="I52" s="226">
        <v>1234</v>
      </c>
      <c r="J52" s="228"/>
    </row>
    <row r="53" spans="1:10" ht="15.75">
      <c r="A53" s="185">
        <v>52</v>
      </c>
      <c r="B53" s="4" t="s">
        <v>181</v>
      </c>
      <c r="C53" s="213" t="s">
        <v>227</v>
      </c>
      <c r="D53" s="190"/>
      <c r="E53" s="180"/>
      <c r="F53" s="180"/>
      <c r="G53" s="193" t="s">
        <v>180</v>
      </c>
      <c r="H53" s="182" t="s">
        <v>185</v>
      </c>
      <c r="I53" s="226">
        <v>1234</v>
      </c>
      <c r="J53" s="228"/>
    </row>
    <row r="54" spans="1:10" ht="15.75">
      <c r="A54" s="185">
        <v>53</v>
      </c>
      <c r="B54" s="4" t="s">
        <v>182</v>
      </c>
      <c r="C54" s="213" t="s">
        <v>227</v>
      </c>
      <c r="D54" s="190"/>
      <c r="E54" s="180"/>
      <c r="F54" s="180"/>
      <c r="G54" s="193" t="s">
        <v>180</v>
      </c>
      <c r="H54" s="182" t="s">
        <v>185</v>
      </c>
      <c r="I54" s="226">
        <v>1234</v>
      </c>
      <c r="J54" s="228"/>
    </row>
    <row r="55" spans="1:10" ht="15.75">
      <c r="A55" s="185">
        <v>54</v>
      </c>
      <c r="B55" s="5"/>
      <c r="C55" s="213" t="s">
        <v>227</v>
      </c>
      <c r="D55" s="190"/>
      <c r="E55" s="180"/>
      <c r="F55" s="180"/>
      <c r="G55" s="193" t="s">
        <v>180</v>
      </c>
      <c r="H55" s="180"/>
      <c r="J55" s="219"/>
    </row>
    <row r="56" spans="1:10" ht="15.75">
      <c r="A56" s="185">
        <v>55</v>
      </c>
      <c r="B56" s="216"/>
      <c r="C56" s="217"/>
      <c r="D56" s="218"/>
      <c r="E56" s="219"/>
      <c r="F56" s="219"/>
      <c r="G56" s="220"/>
      <c r="H56" s="219"/>
      <c r="J56" s="229"/>
    </row>
  </sheetData>
  <hyperlinks>
    <hyperlink ref="J1" r:id="rId1" display="adamusman781@gmail.com"/>
    <hyperlink ref="J2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activeCell="A2" sqref="A2:A56"/>
    </sheetView>
  </sheetViews>
  <sheetFormatPr defaultColWidth="9" defaultRowHeight="15"/>
  <cols>
    <col min="1" max="1" width="21.42578125" style="188" customWidth="1"/>
    <col min="2" max="2" width="41.85546875" customWidth="1"/>
    <col min="3" max="3" width="22.42578125" customWidth="1"/>
  </cols>
  <sheetData>
    <row r="1" spans="1:5">
      <c r="A1" s="198" t="s">
        <v>183</v>
      </c>
      <c r="B1" s="199" t="s">
        <v>29</v>
      </c>
      <c r="C1" s="200" t="s">
        <v>30</v>
      </c>
      <c r="D1" s="11"/>
      <c r="E1" s="11"/>
    </row>
    <row r="2" spans="1:5">
      <c r="A2" s="185">
        <v>1</v>
      </c>
      <c r="B2" s="12" t="s">
        <v>31</v>
      </c>
      <c r="C2" s="197" t="s">
        <v>32</v>
      </c>
    </row>
    <row r="3" spans="1:5">
      <c r="A3" s="185">
        <v>2</v>
      </c>
      <c r="B3" s="12" t="s">
        <v>31</v>
      </c>
      <c r="C3" s="197" t="s">
        <v>32</v>
      </c>
    </row>
    <row r="4" spans="1:5">
      <c r="A4" s="185">
        <v>3</v>
      </c>
      <c r="B4" s="12" t="s">
        <v>31</v>
      </c>
      <c r="C4" s="197" t="s">
        <v>32</v>
      </c>
    </row>
    <row r="5" spans="1:5">
      <c r="A5" s="185">
        <v>4</v>
      </c>
      <c r="B5" s="12" t="s">
        <v>31</v>
      </c>
      <c r="C5" s="197" t="s">
        <v>32</v>
      </c>
    </row>
    <row r="6" spans="1:5">
      <c r="A6" s="185">
        <v>5</v>
      </c>
      <c r="B6" s="12" t="s">
        <v>31</v>
      </c>
      <c r="C6" s="197" t="s">
        <v>32</v>
      </c>
    </row>
    <row r="7" spans="1:5">
      <c r="A7" s="185">
        <v>6</v>
      </c>
      <c r="B7" s="12" t="s">
        <v>31</v>
      </c>
      <c r="C7" s="197" t="s">
        <v>32</v>
      </c>
    </row>
    <row r="8" spans="1:5">
      <c r="A8" s="185">
        <v>7</v>
      </c>
      <c r="B8" s="12" t="s">
        <v>31</v>
      </c>
      <c r="C8" s="197" t="s">
        <v>32</v>
      </c>
    </row>
    <row r="9" spans="1:5">
      <c r="A9" s="185">
        <v>8</v>
      </c>
      <c r="B9" s="12" t="s">
        <v>31</v>
      </c>
      <c r="C9" s="197" t="s">
        <v>32</v>
      </c>
    </row>
    <row r="10" spans="1:5">
      <c r="A10" s="185">
        <v>9</v>
      </c>
      <c r="B10" s="12" t="s">
        <v>31</v>
      </c>
      <c r="C10" s="197" t="s">
        <v>32</v>
      </c>
    </row>
    <row r="11" spans="1:5">
      <c r="A11" s="185">
        <v>10</v>
      </c>
      <c r="B11" s="12" t="s">
        <v>31</v>
      </c>
      <c r="C11" s="197" t="s">
        <v>32</v>
      </c>
    </row>
    <row r="12" spans="1:5">
      <c r="A12" s="185">
        <v>11</v>
      </c>
      <c r="B12" s="12" t="s">
        <v>31</v>
      </c>
      <c r="C12" s="197" t="s">
        <v>32</v>
      </c>
    </row>
    <row r="13" spans="1:5">
      <c r="A13" s="185">
        <v>12</v>
      </c>
      <c r="B13" s="12" t="s">
        <v>31</v>
      </c>
      <c r="C13" s="197" t="s">
        <v>32</v>
      </c>
    </row>
    <row r="14" spans="1:5">
      <c r="A14" s="185">
        <v>13</v>
      </c>
      <c r="B14" s="12" t="s">
        <v>31</v>
      </c>
      <c r="C14" s="197" t="s">
        <v>32</v>
      </c>
    </row>
    <row r="15" spans="1:5">
      <c r="A15" s="185">
        <v>14</v>
      </c>
      <c r="B15" s="12" t="s">
        <v>31</v>
      </c>
      <c r="C15" s="197" t="s">
        <v>32</v>
      </c>
    </row>
    <row r="16" spans="1:5">
      <c r="A16" s="185">
        <v>15</v>
      </c>
      <c r="B16" s="12" t="s">
        <v>31</v>
      </c>
      <c r="C16" s="197" t="s">
        <v>32</v>
      </c>
    </row>
    <row r="17" spans="1:3">
      <c r="A17" s="185">
        <v>16</v>
      </c>
      <c r="B17" s="12" t="s">
        <v>31</v>
      </c>
      <c r="C17" s="197" t="s">
        <v>32</v>
      </c>
    </row>
    <row r="18" spans="1:3">
      <c r="A18" s="185">
        <v>17</v>
      </c>
      <c r="B18" s="12" t="s">
        <v>31</v>
      </c>
      <c r="C18" s="197" t="s">
        <v>32</v>
      </c>
    </row>
    <row r="19" spans="1:3">
      <c r="A19" s="185">
        <v>18</v>
      </c>
      <c r="B19" s="12" t="s">
        <v>31</v>
      </c>
      <c r="C19" s="197" t="s">
        <v>32</v>
      </c>
    </row>
    <row r="20" spans="1:3">
      <c r="A20" s="185">
        <v>19</v>
      </c>
      <c r="B20" s="12" t="s">
        <v>31</v>
      </c>
      <c r="C20" s="197" t="s">
        <v>32</v>
      </c>
    </row>
    <row r="21" spans="1:3">
      <c r="A21" s="185">
        <v>20</v>
      </c>
      <c r="B21" s="12" t="s">
        <v>31</v>
      </c>
      <c r="C21" s="197" t="s">
        <v>32</v>
      </c>
    </row>
    <row r="22" spans="1:3">
      <c r="A22" s="185">
        <v>21</v>
      </c>
      <c r="B22" s="12" t="s">
        <v>31</v>
      </c>
      <c r="C22" s="197" t="s">
        <v>32</v>
      </c>
    </row>
    <row r="23" spans="1:3">
      <c r="A23" s="185">
        <v>22</v>
      </c>
      <c r="B23" s="12" t="s">
        <v>31</v>
      </c>
      <c r="C23" s="197" t="s">
        <v>32</v>
      </c>
    </row>
    <row r="24" spans="1:3">
      <c r="A24" s="185">
        <v>23</v>
      </c>
      <c r="B24" s="12" t="s">
        <v>31</v>
      </c>
      <c r="C24" s="197" t="s">
        <v>32</v>
      </c>
    </row>
    <row r="25" spans="1:3">
      <c r="A25" s="185">
        <v>24</v>
      </c>
      <c r="B25" s="12" t="s">
        <v>31</v>
      </c>
      <c r="C25" s="197" t="s">
        <v>32</v>
      </c>
    </row>
    <row r="26" spans="1:3">
      <c r="A26" s="185">
        <v>25</v>
      </c>
      <c r="B26" s="12" t="s">
        <v>31</v>
      </c>
      <c r="C26" s="197" t="s">
        <v>32</v>
      </c>
    </row>
    <row r="27" spans="1:3">
      <c r="A27" s="185">
        <v>26</v>
      </c>
      <c r="B27" s="12" t="s">
        <v>31</v>
      </c>
      <c r="C27" s="197" t="s">
        <v>32</v>
      </c>
    </row>
    <row r="28" spans="1:3">
      <c r="A28" s="185">
        <v>27</v>
      </c>
      <c r="B28" s="12" t="s">
        <v>31</v>
      </c>
      <c r="C28" s="197" t="s">
        <v>32</v>
      </c>
    </row>
    <row r="29" spans="1:3">
      <c r="A29" s="185">
        <v>28</v>
      </c>
      <c r="B29" s="12" t="s">
        <v>31</v>
      </c>
      <c r="C29" s="197" t="s">
        <v>32</v>
      </c>
    </row>
    <row r="30" spans="1:3">
      <c r="A30" s="185">
        <v>29</v>
      </c>
      <c r="B30" s="12" t="s">
        <v>31</v>
      </c>
      <c r="C30" s="197" t="s">
        <v>32</v>
      </c>
    </row>
    <row r="31" spans="1:3">
      <c r="A31" s="185">
        <v>30</v>
      </c>
      <c r="B31" s="12" t="s">
        <v>31</v>
      </c>
      <c r="C31" s="197" t="s">
        <v>32</v>
      </c>
    </row>
    <row r="32" spans="1:3">
      <c r="A32" s="185">
        <v>31</v>
      </c>
      <c r="B32" s="12" t="s">
        <v>31</v>
      </c>
      <c r="C32" s="197" t="s">
        <v>32</v>
      </c>
    </row>
    <row r="33" spans="1:3">
      <c r="A33" s="185">
        <v>32</v>
      </c>
      <c r="B33" s="12" t="s">
        <v>31</v>
      </c>
      <c r="C33" s="197" t="s">
        <v>32</v>
      </c>
    </row>
    <row r="34" spans="1:3">
      <c r="A34" s="185">
        <v>33</v>
      </c>
      <c r="B34" s="12" t="s">
        <v>31</v>
      </c>
      <c r="C34" s="197" t="s">
        <v>32</v>
      </c>
    </row>
    <row r="35" spans="1:3">
      <c r="A35" s="185">
        <v>34</v>
      </c>
      <c r="B35" s="12" t="s">
        <v>31</v>
      </c>
      <c r="C35" s="197" t="s">
        <v>32</v>
      </c>
    </row>
    <row r="36" spans="1:3">
      <c r="A36" s="185">
        <v>35</v>
      </c>
      <c r="B36" s="12" t="s">
        <v>31</v>
      </c>
      <c r="C36" s="197" t="s">
        <v>32</v>
      </c>
    </row>
    <row r="37" spans="1:3">
      <c r="A37" s="185">
        <v>36</v>
      </c>
      <c r="B37" s="12" t="s">
        <v>31</v>
      </c>
      <c r="C37" s="197" t="s">
        <v>32</v>
      </c>
    </row>
    <row r="38" spans="1:3">
      <c r="A38" s="185">
        <v>37</v>
      </c>
      <c r="B38" s="12" t="s">
        <v>31</v>
      </c>
      <c r="C38" s="197" t="s">
        <v>32</v>
      </c>
    </row>
    <row r="39" spans="1:3">
      <c r="A39" s="185">
        <v>38</v>
      </c>
      <c r="B39" s="12" t="s">
        <v>31</v>
      </c>
      <c r="C39" s="197" t="s">
        <v>32</v>
      </c>
    </row>
    <row r="40" spans="1:3">
      <c r="A40" s="185">
        <v>39</v>
      </c>
      <c r="B40" s="12" t="s">
        <v>31</v>
      </c>
      <c r="C40" s="197" t="s">
        <v>32</v>
      </c>
    </row>
    <row r="41" spans="1:3">
      <c r="A41" s="185">
        <v>40</v>
      </c>
      <c r="B41" s="12" t="s">
        <v>31</v>
      </c>
      <c r="C41" s="197" t="s">
        <v>32</v>
      </c>
    </row>
    <row r="42" spans="1:3">
      <c r="A42" s="185">
        <v>41</v>
      </c>
      <c r="B42" s="12" t="s">
        <v>31</v>
      </c>
      <c r="C42" s="197" t="s">
        <v>32</v>
      </c>
    </row>
    <row r="43" spans="1:3">
      <c r="A43" s="185">
        <v>42</v>
      </c>
      <c r="B43" s="12" t="s">
        <v>31</v>
      </c>
      <c r="C43" s="197" t="s">
        <v>32</v>
      </c>
    </row>
    <row r="44" spans="1:3">
      <c r="A44" s="185">
        <v>43</v>
      </c>
      <c r="B44" s="12" t="s">
        <v>31</v>
      </c>
      <c r="C44" s="197" t="s">
        <v>32</v>
      </c>
    </row>
    <row r="45" spans="1:3">
      <c r="A45" s="185">
        <v>44</v>
      </c>
      <c r="B45" s="12" t="s">
        <v>31</v>
      </c>
      <c r="C45" s="197" t="s">
        <v>32</v>
      </c>
    </row>
    <row r="46" spans="1:3">
      <c r="A46" s="185">
        <v>45</v>
      </c>
      <c r="B46" s="12" t="s">
        <v>31</v>
      </c>
      <c r="C46" s="197" t="s">
        <v>32</v>
      </c>
    </row>
    <row r="47" spans="1:3">
      <c r="A47" s="185">
        <v>46</v>
      </c>
      <c r="B47" s="12" t="s">
        <v>31</v>
      </c>
      <c r="C47" s="197" t="s">
        <v>32</v>
      </c>
    </row>
    <row r="48" spans="1:3">
      <c r="A48" s="185">
        <v>47</v>
      </c>
      <c r="B48" s="12" t="s">
        <v>31</v>
      </c>
      <c r="C48" s="197" t="s">
        <v>32</v>
      </c>
    </row>
    <row r="49" spans="1:3">
      <c r="A49" s="185">
        <v>48</v>
      </c>
      <c r="B49" s="12" t="s">
        <v>31</v>
      </c>
      <c r="C49" s="197" t="s">
        <v>32</v>
      </c>
    </row>
    <row r="50" spans="1:3">
      <c r="A50" s="185">
        <v>49</v>
      </c>
      <c r="B50" s="12" t="s">
        <v>31</v>
      </c>
      <c r="C50" s="197" t="s">
        <v>32</v>
      </c>
    </row>
    <row r="51" spans="1:3">
      <c r="A51" s="185">
        <v>50</v>
      </c>
      <c r="B51" s="12" t="s">
        <v>31</v>
      </c>
      <c r="C51" s="197" t="s">
        <v>32</v>
      </c>
    </row>
    <row r="52" spans="1:3">
      <c r="A52" s="185">
        <v>51</v>
      </c>
      <c r="B52" s="12" t="s">
        <v>31</v>
      </c>
      <c r="C52" s="197" t="s">
        <v>32</v>
      </c>
    </row>
    <row r="53" spans="1:3">
      <c r="A53" s="185">
        <v>52</v>
      </c>
      <c r="B53" s="12" t="s">
        <v>31</v>
      </c>
      <c r="C53" s="197" t="s">
        <v>32</v>
      </c>
    </row>
    <row r="54" spans="1:3">
      <c r="A54" s="185">
        <v>53</v>
      </c>
      <c r="B54" s="202" t="s">
        <v>31</v>
      </c>
      <c r="C54" s="203" t="s">
        <v>32</v>
      </c>
    </row>
    <row r="55" spans="1:3">
      <c r="A55" s="185">
        <v>54</v>
      </c>
      <c r="B55" s="221"/>
      <c r="C55" s="222"/>
    </row>
    <row r="56" spans="1:3">
      <c r="A56" s="185">
        <v>55</v>
      </c>
      <c r="B56" s="221"/>
      <c r="C56" s="22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opLeftCell="A2" workbookViewId="0">
      <selection activeCell="A2" sqref="A2:A56"/>
    </sheetView>
  </sheetViews>
  <sheetFormatPr defaultColWidth="9" defaultRowHeight="15"/>
  <cols>
    <col min="1" max="1" width="21.42578125" style="188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98" t="s">
        <v>183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179" t="s">
        <v>40</v>
      </c>
    </row>
    <row r="2" spans="1:9">
      <c r="A2" s="185">
        <v>1</v>
      </c>
      <c r="B2" s="13">
        <v>4</v>
      </c>
      <c r="C2" s="13">
        <v>5</v>
      </c>
      <c r="D2" s="13">
        <v>4</v>
      </c>
      <c r="E2" s="13">
        <v>4</v>
      </c>
      <c r="F2" s="13">
        <v>4</v>
      </c>
      <c r="G2" s="13">
        <v>4</v>
      </c>
      <c r="H2" s="13">
        <v>4</v>
      </c>
      <c r="I2" s="197">
        <v>4</v>
      </c>
    </row>
    <row r="3" spans="1:9">
      <c r="A3" s="185">
        <v>2</v>
      </c>
      <c r="B3" s="13">
        <v>4</v>
      </c>
      <c r="C3" s="13">
        <v>4</v>
      </c>
      <c r="D3" s="13">
        <v>4</v>
      </c>
      <c r="E3" s="13">
        <v>4</v>
      </c>
      <c r="F3" s="13">
        <v>3</v>
      </c>
      <c r="G3" s="13">
        <v>4</v>
      </c>
      <c r="H3" s="13">
        <v>4</v>
      </c>
      <c r="I3" s="197">
        <v>4</v>
      </c>
    </row>
    <row r="4" spans="1:9">
      <c r="A4" s="185">
        <v>3</v>
      </c>
      <c r="B4" s="13">
        <v>3</v>
      </c>
      <c r="C4" s="13">
        <v>3</v>
      </c>
      <c r="D4" s="13">
        <v>4</v>
      </c>
      <c r="E4" s="13">
        <v>4</v>
      </c>
      <c r="F4" s="13">
        <v>4</v>
      </c>
      <c r="G4" s="13">
        <v>4</v>
      </c>
      <c r="H4" s="13">
        <v>4</v>
      </c>
      <c r="I4" s="197">
        <v>4</v>
      </c>
    </row>
    <row r="5" spans="1:9">
      <c r="A5" s="185">
        <v>4</v>
      </c>
      <c r="B5" s="13">
        <v>4</v>
      </c>
      <c r="C5" s="13">
        <v>5</v>
      </c>
      <c r="D5" s="13">
        <v>4</v>
      </c>
      <c r="E5" s="13">
        <v>4</v>
      </c>
      <c r="F5" s="13">
        <v>4</v>
      </c>
      <c r="G5" s="13">
        <v>4</v>
      </c>
      <c r="H5" s="13">
        <v>4</v>
      </c>
      <c r="I5" s="197">
        <v>5</v>
      </c>
    </row>
    <row r="6" spans="1:9">
      <c r="A6" s="185">
        <v>5</v>
      </c>
      <c r="B6" s="13">
        <v>4</v>
      </c>
      <c r="C6" s="13">
        <v>5</v>
      </c>
      <c r="D6" s="13">
        <v>4</v>
      </c>
      <c r="E6" s="13">
        <v>4</v>
      </c>
      <c r="F6" s="13">
        <v>4</v>
      </c>
      <c r="G6" s="13">
        <v>4</v>
      </c>
      <c r="H6" s="13">
        <v>4</v>
      </c>
      <c r="I6" s="197">
        <v>4</v>
      </c>
    </row>
    <row r="7" spans="1:9">
      <c r="A7" s="185">
        <v>6</v>
      </c>
      <c r="B7" s="13">
        <v>4</v>
      </c>
      <c r="C7" s="13">
        <v>5</v>
      </c>
      <c r="D7" s="13">
        <v>3</v>
      </c>
      <c r="E7" s="13">
        <v>4</v>
      </c>
      <c r="F7" s="13">
        <v>4</v>
      </c>
      <c r="G7" s="13">
        <v>4</v>
      </c>
      <c r="H7" s="13">
        <v>4</v>
      </c>
      <c r="I7" s="197">
        <v>3</v>
      </c>
    </row>
    <row r="8" spans="1:9">
      <c r="A8" s="185">
        <v>7</v>
      </c>
      <c r="B8" s="13">
        <v>3</v>
      </c>
      <c r="C8" s="13">
        <v>3</v>
      </c>
      <c r="D8" s="13">
        <v>4</v>
      </c>
      <c r="E8" s="13">
        <v>4</v>
      </c>
      <c r="F8" s="13">
        <v>4</v>
      </c>
      <c r="G8" s="13">
        <v>4</v>
      </c>
      <c r="H8" s="13">
        <v>4</v>
      </c>
      <c r="I8" s="197">
        <v>4</v>
      </c>
    </row>
    <row r="9" spans="1:9">
      <c r="A9" s="185">
        <v>8</v>
      </c>
      <c r="B9" s="13">
        <v>3</v>
      </c>
      <c r="C9" s="13">
        <v>3</v>
      </c>
      <c r="D9" s="13">
        <v>4</v>
      </c>
      <c r="E9" s="13">
        <v>4</v>
      </c>
      <c r="F9" s="13">
        <v>4</v>
      </c>
      <c r="G9" s="13">
        <v>4</v>
      </c>
      <c r="H9" s="13">
        <v>4</v>
      </c>
      <c r="I9" s="197">
        <v>4</v>
      </c>
    </row>
    <row r="10" spans="1:9">
      <c r="A10" s="185">
        <v>9</v>
      </c>
      <c r="B10" s="13">
        <v>4</v>
      </c>
      <c r="C10" s="13">
        <v>3</v>
      </c>
      <c r="D10" s="13">
        <v>4</v>
      </c>
      <c r="E10" s="13">
        <v>4</v>
      </c>
      <c r="F10" s="13">
        <v>4</v>
      </c>
      <c r="G10" s="13">
        <v>4</v>
      </c>
      <c r="H10" s="13">
        <v>4</v>
      </c>
      <c r="I10" s="197">
        <v>4</v>
      </c>
    </row>
    <row r="11" spans="1:9">
      <c r="A11" s="185">
        <v>10</v>
      </c>
      <c r="B11" s="13">
        <v>4</v>
      </c>
      <c r="C11" s="13">
        <v>5</v>
      </c>
      <c r="D11" s="13">
        <v>3</v>
      </c>
      <c r="E11" s="13">
        <v>3</v>
      </c>
      <c r="F11" s="13">
        <v>2</v>
      </c>
      <c r="G11" s="13">
        <v>4</v>
      </c>
      <c r="H11" s="13">
        <v>2</v>
      </c>
      <c r="I11" s="197">
        <v>4</v>
      </c>
    </row>
    <row r="12" spans="1:9">
      <c r="A12" s="185">
        <v>11</v>
      </c>
      <c r="B12" s="13">
        <v>4</v>
      </c>
      <c r="C12" s="13">
        <v>4</v>
      </c>
      <c r="D12" s="13">
        <v>4</v>
      </c>
      <c r="E12" s="13">
        <v>4</v>
      </c>
      <c r="F12" s="13">
        <v>3</v>
      </c>
      <c r="G12" s="13">
        <v>4</v>
      </c>
      <c r="H12" s="13">
        <v>4</v>
      </c>
      <c r="I12" s="197">
        <v>4</v>
      </c>
    </row>
    <row r="13" spans="1:9">
      <c r="A13" s="185">
        <v>12</v>
      </c>
      <c r="B13" s="13">
        <v>4</v>
      </c>
      <c r="C13" s="13">
        <v>4</v>
      </c>
      <c r="D13" s="13">
        <v>4</v>
      </c>
      <c r="E13" s="13">
        <v>4</v>
      </c>
      <c r="F13" s="13">
        <v>4</v>
      </c>
      <c r="G13" s="13">
        <v>4</v>
      </c>
      <c r="H13" s="13">
        <v>3</v>
      </c>
      <c r="I13" s="197">
        <v>4</v>
      </c>
    </row>
    <row r="14" spans="1:9">
      <c r="A14" s="185">
        <v>13</v>
      </c>
      <c r="B14" s="13">
        <v>4</v>
      </c>
      <c r="C14" s="13">
        <v>5</v>
      </c>
      <c r="D14" s="13">
        <v>4</v>
      </c>
      <c r="E14" s="13">
        <v>4</v>
      </c>
      <c r="F14" s="13">
        <v>4</v>
      </c>
      <c r="G14" s="13">
        <v>4</v>
      </c>
      <c r="H14" s="13">
        <v>4</v>
      </c>
      <c r="I14" s="197">
        <v>4</v>
      </c>
    </row>
    <row r="15" spans="1:9">
      <c r="A15" s="185">
        <v>14</v>
      </c>
      <c r="B15" s="13">
        <v>4</v>
      </c>
      <c r="C15" s="13">
        <v>5</v>
      </c>
      <c r="D15" s="13">
        <v>4</v>
      </c>
      <c r="E15" s="13">
        <v>3</v>
      </c>
      <c r="F15" s="13">
        <v>3</v>
      </c>
      <c r="G15" s="13">
        <v>3</v>
      </c>
      <c r="H15" s="13">
        <v>3</v>
      </c>
      <c r="I15" s="197">
        <v>4</v>
      </c>
    </row>
    <row r="16" spans="1:9">
      <c r="A16" s="185">
        <v>15</v>
      </c>
      <c r="B16" s="13">
        <v>4</v>
      </c>
      <c r="C16" s="13">
        <v>5</v>
      </c>
      <c r="D16" s="13">
        <v>4</v>
      </c>
      <c r="E16" s="13">
        <v>4</v>
      </c>
      <c r="F16" s="13">
        <v>4</v>
      </c>
      <c r="G16" s="13">
        <v>4</v>
      </c>
      <c r="H16" s="13">
        <v>4</v>
      </c>
      <c r="I16" s="197">
        <v>4</v>
      </c>
    </row>
    <row r="17" spans="1:9">
      <c r="A17" s="185">
        <v>16</v>
      </c>
      <c r="B17" s="13">
        <v>4</v>
      </c>
      <c r="C17" s="13">
        <v>5</v>
      </c>
      <c r="D17" s="13">
        <v>3</v>
      </c>
      <c r="E17" s="13">
        <v>4</v>
      </c>
      <c r="F17" s="13">
        <v>3</v>
      </c>
      <c r="G17" s="13">
        <v>4</v>
      </c>
      <c r="H17" s="13">
        <v>4</v>
      </c>
      <c r="I17" s="197">
        <v>4</v>
      </c>
    </row>
    <row r="18" spans="1:9">
      <c r="A18" s="185">
        <v>17</v>
      </c>
      <c r="B18" s="13">
        <v>4</v>
      </c>
      <c r="C18" s="13">
        <v>5</v>
      </c>
      <c r="D18" s="13">
        <v>4</v>
      </c>
      <c r="E18" s="13">
        <v>3</v>
      </c>
      <c r="F18" s="13">
        <v>3</v>
      </c>
      <c r="G18" s="13">
        <v>3</v>
      </c>
      <c r="H18" s="13">
        <v>4</v>
      </c>
      <c r="I18" s="197">
        <v>4</v>
      </c>
    </row>
    <row r="19" spans="1:9">
      <c r="A19" s="185">
        <v>18</v>
      </c>
      <c r="B19" s="13">
        <v>4</v>
      </c>
      <c r="C19" s="13">
        <v>5</v>
      </c>
      <c r="D19" s="13">
        <v>4</v>
      </c>
      <c r="E19" s="13">
        <v>3</v>
      </c>
      <c r="F19" s="13">
        <v>3</v>
      </c>
      <c r="G19" s="13">
        <v>4</v>
      </c>
      <c r="H19" s="13">
        <v>4</v>
      </c>
      <c r="I19" s="197">
        <v>4</v>
      </c>
    </row>
    <row r="20" spans="1:9">
      <c r="A20" s="185">
        <v>19</v>
      </c>
      <c r="B20" s="13">
        <v>4</v>
      </c>
      <c r="C20" s="13">
        <v>4</v>
      </c>
      <c r="D20" s="13">
        <v>4</v>
      </c>
      <c r="E20" s="13">
        <v>4</v>
      </c>
      <c r="F20" s="13">
        <v>4</v>
      </c>
      <c r="G20" s="13">
        <v>4</v>
      </c>
      <c r="H20" s="13">
        <v>4</v>
      </c>
      <c r="I20" s="197">
        <v>4</v>
      </c>
    </row>
    <row r="21" spans="1:9">
      <c r="A21" s="185">
        <v>20</v>
      </c>
      <c r="B21" s="13">
        <v>4</v>
      </c>
      <c r="C21" s="13">
        <v>5</v>
      </c>
      <c r="D21" s="13">
        <v>4</v>
      </c>
      <c r="E21" s="13">
        <v>4</v>
      </c>
      <c r="F21" s="13">
        <v>4</v>
      </c>
      <c r="G21" s="13">
        <v>4</v>
      </c>
      <c r="H21" s="13">
        <v>4</v>
      </c>
      <c r="I21" s="197">
        <v>4</v>
      </c>
    </row>
    <row r="22" spans="1:9">
      <c r="A22" s="185">
        <v>21</v>
      </c>
      <c r="B22" s="13">
        <v>3</v>
      </c>
      <c r="C22" s="13">
        <v>4</v>
      </c>
      <c r="D22" s="13">
        <v>4</v>
      </c>
      <c r="E22" s="13">
        <v>4</v>
      </c>
      <c r="F22" s="13">
        <v>3</v>
      </c>
      <c r="G22" s="13">
        <v>4</v>
      </c>
      <c r="H22" s="13">
        <v>3</v>
      </c>
      <c r="I22" s="197">
        <v>4</v>
      </c>
    </row>
    <row r="23" spans="1:9">
      <c r="A23" s="185">
        <v>22</v>
      </c>
      <c r="B23" s="13">
        <v>4</v>
      </c>
      <c r="C23" s="13">
        <v>5</v>
      </c>
      <c r="D23" s="13">
        <v>4</v>
      </c>
      <c r="E23" s="13">
        <v>4</v>
      </c>
      <c r="F23" s="13">
        <v>4</v>
      </c>
      <c r="G23" s="13">
        <v>4</v>
      </c>
      <c r="H23" s="13">
        <v>4</v>
      </c>
      <c r="I23" s="197">
        <v>4</v>
      </c>
    </row>
    <row r="24" spans="1:9">
      <c r="A24" s="185">
        <v>23</v>
      </c>
      <c r="B24" s="13">
        <v>3</v>
      </c>
      <c r="C24" s="13">
        <v>4</v>
      </c>
      <c r="D24" s="13">
        <v>4</v>
      </c>
      <c r="E24" s="13">
        <v>4</v>
      </c>
      <c r="F24" s="13">
        <v>4</v>
      </c>
      <c r="G24" s="13">
        <v>4</v>
      </c>
      <c r="H24" s="13">
        <v>4</v>
      </c>
      <c r="I24" s="197">
        <v>4</v>
      </c>
    </row>
    <row r="25" spans="1:9">
      <c r="A25" s="185">
        <v>24</v>
      </c>
      <c r="B25" s="13">
        <v>3</v>
      </c>
      <c r="C25" s="13">
        <v>3</v>
      </c>
      <c r="D25" s="13">
        <v>4</v>
      </c>
      <c r="E25" s="13">
        <v>4</v>
      </c>
      <c r="F25" s="13">
        <v>4</v>
      </c>
      <c r="G25" s="13">
        <v>5</v>
      </c>
      <c r="H25" s="13">
        <v>4</v>
      </c>
      <c r="I25" s="197">
        <v>4</v>
      </c>
    </row>
    <row r="26" spans="1:9">
      <c r="A26" s="185">
        <v>25</v>
      </c>
      <c r="B26" s="13">
        <v>4</v>
      </c>
      <c r="C26" s="13">
        <v>3</v>
      </c>
      <c r="D26" s="13">
        <v>5</v>
      </c>
      <c r="E26" s="13">
        <v>4</v>
      </c>
      <c r="F26" s="13">
        <v>4</v>
      </c>
      <c r="G26" s="13">
        <v>4</v>
      </c>
      <c r="H26" s="13">
        <v>4</v>
      </c>
      <c r="I26" s="197">
        <v>5</v>
      </c>
    </row>
    <row r="27" spans="1:9">
      <c r="A27" s="185">
        <v>26</v>
      </c>
      <c r="B27" s="13">
        <v>4</v>
      </c>
      <c r="C27" s="13">
        <v>4</v>
      </c>
      <c r="D27" s="13">
        <v>4</v>
      </c>
      <c r="E27" s="13">
        <v>4</v>
      </c>
      <c r="F27" s="13">
        <v>4</v>
      </c>
      <c r="G27" s="13">
        <v>4</v>
      </c>
      <c r="H27" s="13">
        <v>4</v>
      </c>
      <c r="I27" s="197">
        <v>4</v>
      </c>
    </row>
    <row r="28" spans="1:9">
      <c r="A28" s="185">
        <v>27</v>
      </c>
      <c r="B28" s="13">
        <v>5</v>
      </c>
      <c r="C28" s="13">
        <v>5</v>
      </c>
      <c r="D28" s="13">
        <v>4</v>
      </c>
      <c r="E28" s="13">
        <v>4</v>
      </c>
      <c r="F28" s="13">
        <v>4</v>
      </c>
      <c r="G28" s="13">
        <v>4</v>
      </c>
      <c r="H28" s="13">
        <v>4</v>
      </c>
      <c r="I28" s="197">
        <v>4</v>
      </c>
    </row>
    <row r="29" spans="1:9">
      <c r="A29" s="185">
        <v>28</v>
      </c>
      <c r="B29" s="13">
        <v>3</v>
      </c>
      <c r="C29" s="13">
        <v>4</v>
      </c>
      <c r="D29" s="13">
        <v>4</v>
      </c>
      <c r="E29" s="13">
        <v>4</v>
      </c>
      <c r="F29" s="13">
        <v>4</v>
      </c>
      <c r="G29" s="13">
        <v>4</v>
      </c>
      <c r="H29" s="13">
        <v>4</v>
      </c>
      <c r="I29" s="197">
        <v>4</v>
      </c>
    </row>
    <row r="30" spans="1:9">
      <c r="A30" s="185">
        <v>29</v>
      </c>
      <c r="B30" s="13">
        <v>4</v>
      </c>
      <c r="C30" s="13">
        <v>5</v>
      </c>
      <c r="D30" s="13">
        <v>4</v>
      </c>
      <c r="E30" s="13">
        <v>4</v>
      </c>
      <c r="F30" s="13">
        <v>4</v>
      </c>
      <c r="G30" s="13">
        <v>4</v>
      </c>
      <c r="H30" s="13">
        <v>4</v>
      </c>
      <c r="I30" s="197">
        <v>5</v>
      </c>
    </row>
    <row r="31" spans="1:9">
      <c r="A31" s="185">
        <v>30</v>
      </c>
      <c r="B31" s="13">
        <v>5</v>
      </c>
      <c r="C31" s="13">
        <v>5</v>
      </c>
      <c r="D31" s="13">
        <v>4</v>
      </c>
      <c r="E31" s="13">
        <v>4</v>
      </c>
      <c r="F31" s="13">
        <v>4</v>
      </c>
      <c r="G31" s="13">
        <v>5</v>
      </c>
      <c r="H31" s="13">
        <v>4</v>
      </c>
      <c r="I31" s="197">
        <v>5</v>
      </c>
    </row>
    <row r="32" spans="1:9">
      <c r="A32" s="185">
        <v>31</v>
      </c>
      <c r="B32" s="13">
        <v>4</v>
      </c>
      <c r="C32" s="13">
        <v>5</v>
      </c>
      <c r="D32" s="13">
        <v>4</v>
      </c>
      <c r="E32" s="13">
        <v>3</v>
      </c>
      <c r="F32" s="13">
        <v>4</v>
      </c>
      <c r="G32" s="13">
        <v>3</v>
      </c>
      <c r="H32" s="13">
        <v>3</v>
      </c>
      <c r="I32" s="197">
        <v>3</v>
      </c>
    </row>
    <row r="33" spans="1:9">
      <c r="A33" s="185">
        <v>32</v>
      </c>
      <c r="B33" s="13">
        <v>3</v>
      </c>
      <c r="C33" s="13">
        <v>4</v>
      </c>
      <c r="D33" s="13">
        <v>4</v>
      </c>
      <c r="E33" s="13">
        <v>4</v>
      </c>
      <c r="F33" s="13">
        <v>4</v>
      </c>
      <c r="G33" s="13">
        <v>4</v>
      </c>
      <c r="H33" s="13">
        <v>4</v>
      </c>
      <c r="I33" s="197">
        <v>4</v>
      </c>
    </row>
    <row r="34" spans="1:9">
      <c r="A34" s="185">
        <v>33</v>
      </c>
      <c r="B34" s="13">
        <v>4</v>
      </c>
      <c r="C34" s="13">
        <v>4</v>
      </c>
      <c r="D34" s="13">
        <v>4</v>
      </c>
      <c r="E34" s="13">
        <v>4</v>
      </c>
      <c r="F34" s="13">
        <v>4</v>
      </c>
      <c r="G34" s="13">
        <v>4</v>
      </c>
      <c r="H34" s="13">
        <v>4</v>
      </c>
      <c r="I34" s="197">
        <v>4</v>
      </c>
    </row>
    <row r="35" spans="1:9">
      <c r="A35" s="185">
        <v>34</v>
      </c>
      <c r="B35" s="13">
        <v>3</v>
      </c>
      <c r="C35" s="13">
        <v>4</v>
      </c>
      <c r="D35" s="13">
        <v>4</v>
      </c>
      <c r="E35" s="13">
        <v>4</v>
      </c>
      <c r="F35" s="13">
        <v>4</v>
      </c>
      <c r="G35" s="13">
        <v>4</v>
      </c>
      <c r="H35" s="13">
        <v>4</v>
      </c>
      <c r="I35" s="197">
        <v>4</v>
      </c>
    </row>
    <row r="36" spans="1:9">
      <c r="A36" s="185">
        <v>35</v>
      </c>
      <c r="B36" s="13">
        <v>4</v>
      </c>
      <c r="C36" s="13">
        <v>5</v>
      </c>
      <c r="D36" s="13">
        <v>4</v>
      </c>
      <c r="E36" s="13">
        <v>4</v>
      </c>
      <c r="F36" s="13">
        <v>4</v>
      </c>
      <c r="G36" s="13">
        <v>5</v>
      </c>
      <c r="H36" s="13">
        <v>4</v>
      </c>
      <c r="I36" s="197">
        <v>4</v>
      </c>
    </row>
    <row r="37" spans="1:9">
      <c r="A37" s="185">
        <v>36</v>
      </c>
      <c r="B37" s="13">
        <v>4</v>
      </c>
      <c r="C37" s="13">
        <v>4</v>
      </c>
      <c r="D37" s="13">
        <v>4</v>
      </c>
      <c r="E37" s="13">
        <v>3</v>
      </c>
      <c r="F37" s="13">
        <v>4</v>
      </c>
      <c r="G37" s="13">
        <v>4</v>
      </c>
      <c r="H37" s="13">
        <v>4</v>
      </c>
      <c r="I37" s="197">
        <v>4</v>
      </c>
    </row>
    <row r="38" spans="1:9">
      <c r="A38" s="185">
        <v>37</v>
      </c>
      <c r="B38" s="13">
        <v>5</v>
      </c>
      <c r="C38" s="13">
        <v>4</v>
      </c>
      <c r="D38" s="13">
        <v>4</v>
      </c>
      <c r="E38" s="13">
        <v>4</v>
      </c>
      <c r="F38" s="13">
        <v>4</v>
      </c>
      <c r="G38" s="13">
        <v>4</v>
      </c>
      <c r="H38" s="13">
        <v>4</v>
      </c>
      <c r="I38" s="197">
        <v>4</v>
      </c>
    </row>
    <row r="39" spans="1:9">
      <c r="A39" s="185">
        <v>38</v>
      </c>
      <c r="B39" s="13">
        <v>3</v>
      </c>
      <c r="C39" s="13">
        <v>4</v>
      </c>
      <c r="D39" s="13">
        <v>4</v>
      </c>
      <c r="E39" s="13">
        <v>3</v>
      </c>
      <c r="F39" s="13">
        <v>3</v>
      </c>
      <c r="G39" s="13">
        <v>3</v>
      </c>
      <c r="H39" s="13">
        <v>3</v>
      </c>
      <c r="I39" s="197">
        <v>3</v>
      </c>
    </row>
    <row r="40" spans="1:9">
      <c r="A40" s="185">
        <v>39</v>
      </c>
      <c r="B40" s="13">
        <v>4</v>
      </c>
      <c r="C40" s="13">
        <v>4</v>
      </c>
      <c r="D40" s="13">
        <v>4</v>
      </c>
      <c r="E40" s="13">
        <v>4</v>
      </c>
      <c r="F40" s="13">
        <v>4</v>
      </c>
      <c r="G40" s="13">
        <v>4</v>
      </c>
      <c r="H40" s="13">
        <v>4</v>
      </c>
      <c r="I40" s="197">
        <v>5</v>
      </c>
    </row>
    <row r="41" spans="1:9">
      <c r="A41" s="185">
        <v>40</v>
      </c>
      <c r="B41" s="13">
        <v>4</v>
      </c>
      <c r="C41" s="13">
        <v>4</v>
      </c>
      <c r="D41" s="13">
        <v>5</v>
      </c>
      <c r="E41" s="13">
        <v>4</v>
      </c>
      <c r="F41" s="13">
        <v>4</v>
      </c>
      <c r="G41" s="13">
        <v>4</v>
      </c>
      <c r="H41" s="13">
        <v>4</v>
      </c>
      <c r="I41" s="197">
        <v>5</v>
      </c>
    </row>
    <row r="42" spans="1:9">
      <c r="A42" s="185">
        <v>41</v>
      </c>
      <c r="B42" s="13">
        <v>4</v>
      </c>
      <c r="C42" s="13">
        <v>4</v>
      </c>
      <c r="D42" s="13">
        <v>4</v>
      </c>
      <c r="E42" s="13">
        <v>4</v>
      </c>
      <c r="F42" s="13">
        <v>4</v>
      </c>
      <c r="G42" s="13">
        <v>4</v>
      </c>
      <c r="H42" s="13">
        <v>3</v>
      </c>
      <c r="I42" s="197">
        <v>4</v>
      </c>
    </row>
    <row r="43" spans="1:9">
      <c r="A43" s="185">
        <v>42</v>
      </c>
      <c r="B43" s="13">
        <v>3</v>
      </c>
      <c r="C43" s="13">
        <v>3</v>
      </c>
      <c r="D43" s="13">
        <v>4</v>
      </c>
      <c r="E43" s="13">
        <v>4</v>
      </c>
      <c r="F43" s="13">
        <v>3</v>
      </c>
      <c r="G43" s="13">
        <v>4</v>
      </c>
      <c r="H43" s="13">
        <v>3</v>
      </c>
      <c r="I43" s="197">
        <v>4</v>
      </c>
    </row>
    <row r="44" spans="1:9">
      <c r="A44" s="185">
        <v>43</v>
      </c>
      <c r="B44" s="13">
        <v>4</v>
      </c>
      <c r="C44" s="13">
        <v>3</v>
      </c>
      <c r="D44" s="13">
        <v>4</v>
      </c>
      <c r="E44" s="13">
        <v>4</v>
      </c>
      <c r="F44" s="13">
        <v>4</v>
      </c>
      <c r="G44" s="13">
        <v>4</v>
      </c>
      <c r="H44" s="13">
        <v>4</v>
      </c>
      <c r="I44" s="197">
        <v>4</v>
      </c>
    </row>
    <row r="45" spans="1:9">
      <c r="A45" s="185">
        <v>44</v>
      </c>
      <c r="B45" s="13">
        <v>5</v>
      </c>
      <c r="C45" s="13">
        <v>4</v>
      </c>
      <c r="D45" s="13">
        <v>4</v>
      </c>
      <c r="E45" s="13">
        <v>4</v>
      </c>
      <c r="F45" s="13">
        <v>4</v>
      </c>
      <c r="G45" s="13">
        <v>4</v>
      </c>
      <c r="H45" s="13">
        <v>4</v>
      </c>
      <c r="I45" s="204">
        <v>5</v>
      </c>
    </row>
    <row r="46" spans="1:9">
      <c r="A46" s="185">
        <v>45</v>
      </c>
      <c r="B46" s="13">
        <v>4</v>
      </c>
      <c r="C46" s="13">
        <v>3</v>
      </c>
      <c r="D46" s="13">
        <v>4</v>
      </c>
      <c r="E46" s="13">
        <v>4</v>
      </c>
      <c r="F46" s="13">
        <v>4</v>
      </c>
      <c r="G46" s="13">
        <v>5</v>
      </c>
      <c r="H46" s="13">
        <v>4</v>
      </c>
      <c r="I46" s="197">
        <v>4</v>
      </c>
    </row>
    <row r="47" spans="1:9">
      <c r="A47" s="185">
        <v>46</v>
      </c>
      <c r="B47" s="13">
        <v>3</v>
      </c>
      <c r="C47" s="13">
        <v>3</v>
      </c>
      <c r="D47" s="13">
        <v>4</v>
      </c>
      <c r="E47" s="13">
        <v>4</v>
      </c>
      <c r="F47" s="13">
        <v>4</v>
      </c>
      <c r="G47" s="13">
        <v>4</v>
      </c>
      <c r="H47" s="13">
        <v>4</v>
      </c>
      <c r="I47" s="197">
        <v>5</v>
      </c>
    </row>
    <row r="48" spans="1:9">
      <c r="A48" s="185">
        <v>47</v>
      </c>
      <c r="B48" s="13">
        <v>4</v>
      </c>
      <c r="C48" s="13">
        <v>3</v>
      </c>
      <c r="D48" s="13">
        <v>4</v>
      </c>
      <c r="E48" s="13">
        <v>4</v>
      </c>
      <c r="F48" s="13">
        <v>4</v>
      </c>
      <c r="G48" s="13">
        <v>4</v>
      </c>
      <c r="H48" s="13">
        <v>4</v>
      </c>
      <c r="I48" s="197">
        <v>4</v>
      </c>
    </row>
    <row r="49" spans="1:9">
      <c r="A49" s="185">
        <v>48</v>
      </c>
      <c r="B49" s="13">
        <v>4</v>
      </c>
      <c r="C49" s="13">
        <v>3</v>
      </c>
      <c r="D49" s="13">
        <v>4</v>
      </c>
      <c r="E49" s="13">
        <v>4</v>
      </c>
      <c r="F49" s="13">
        <v>4</v>
      </c>
      <c r="G49" s="13">
        <v>4</v>
      </c>
      <c r="H49" s="13">
        <v>4</v>
      </c>
      <c r="I49" s="197">
        <v>4</v>
      </c>
    </row>
    <row r="50" spans="1:9">
      <c r="A50" s="185">
        <v>49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179">
        <v>4</v>
      </c>
    </row>
    <row r="51" spans="1:9">
      <c r="A51" s="185">
        <v>50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179">
        <v>4</v>
      </c>
    </row>
    <row r="52" spans="1:9">
      <c r="A52" s="185">
        <v>51</v>
      </c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179">
        <v>4</v>
      </c>
    </row>
    <row r="53" spans="1:9">
      <c r="A53" s="185">
        <v>52</v>
      </c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179">
        <v>4</v>
      </c>
    </row>
    <row r="54" spans="1:9">
      <c r="A54" s="185">
        <v>53</v>
      </c>
      <c r="B54" s="2">
        <v>4</v>
      </c>
      <c r="C54" s="2">
        <v>5</v>
      </c>
      <c r="D54" s="2">
        <v>3</v>
      </c>
      <c r="E54" s="2">
        <v>3</v>
      </c>
      <c r="F54" s="2">
        <v>2</v>
      </c>
      <c r="G54" s="2">
        <v>4</v>
      </c>
      <c r="H54" s="2">
        <v>2</v>
      </c>
      <c r="I54" s="179">
        <v>4</v>
      </c>
    </row>
    <row r="55" spans="1:9">
      <c r="A55" s="185">
        <v>54</v>
      </c>
      <c r="B55" s="205">
        <v>4</v>
      </c>
      <c r="C55" s="205">
        <v>5</v>
      </c>
      <c r="D55" s="205">
        <v>3</v>
      </c>
      <c r="E55" s="205">
        <v>3</v>
      </c>
      <c r="F55" s="205">
        <v>2</v>
      </c>
      <c r="G55" s="205">
        <v>4</v>
      </c>
      <c r="H55" s="205">
        <v>2</v>
      </c>
      <c r="I55" s="206">
        <v>4</v>
      </c>
    </row>
    <row r="56" spans="1:9">
      <c r="A56" s="185">
        <v>55</v>
      </c>
      <c r="B56" s="214"/>
      <c r="C56" s="214"/>
      <c r="D56" s="214"/>
      <c r="E56" s="214"/>
      <c r="F56" s="214"/>
      <c r="G56" s="214"/>
      <c r="H56" s="214"/>
      <c r="I56" s="21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A2" sqref="A2:A56"/>
    </sheetView>
  </sheetViews>
  <sheetFormatPr defaultColWidth="9" defaultRowHeight="15"/>
  <cols>
    <col min="1" max="1" width="21.42578125" style="188" customWidth="1"/>
    <col min="2" max="3" width="12.7109375" customWidth="1"/>
  </cols>
  <sheetData>
    <row r="1" spans="1:6">
      <c r="A1" s="198" t="s">
        <v>183</v>
      </c>
      <c r="B1" s="14" t="s">
        <v>41</v>
      </c>
      <c r="C1" s="14" t="s">
        <v>42</v>
      </c>
      <c r="D1" s="14" t="s">
        <v>43</v>
      </c>
      <c r="E1" s="14" t="s">
        <v>44</v>
      </c>
      <c r="F1" s="207" t="s">
        <v>45</v>
      </c>
    </row>
    <row r="2" spans="1:6">
      <c r="A2" s="185">
        <v>1</v>
      </c>
      <c r="B2" s="15">
        <v>4</v>
      </c>
      <c r="C2" s="15">
        <v>4</v>
      </c>
      <c r="D2" s="15">
        <v>4</v>
      </c>
      <c r="E2" s="15">
        <v>4</v>
      </c>
      <c r="F2" s="208">
        <v>4</v>
      </c>
    </row>
    <row r="3" spans="1:6">
      <c r="A3" s="185">
        <v>2</v>
      </c>
      <c r="B3" s="15">
        <v>3</v>
      </c>
      <c r="C3" s="15">
        <v>3</v>
      </c>
      <c r="D3" s="15">
        <v>3</v>
      </c>
      <c r="E3" s="15">
        <v>4</v>
      </c>
      <c r="F3" s="208">
        <v>4</v>
      </c>
    </row>
    <row r="4" spans="1:6">
      <c r="A4" s="185">
        <v>3</v>
      </c>
      <c r="B4" s="15">
        <v>3</v>
      </c>
      <c r="C4" s="15">
        <v>4</v>
      </c>
      <c r="D4" s="15">
        <v>3</v>
      </c>
      <c r="E4" s="15">
        <v>4</v>
      </c>
      <c r="F4" s="208">
        <v>4</v>
      </c>
    </row>
    <row r="5" spans="1:6">
      <c r="A5" s="185">
        <v>4</v>
      </c>
      <c r="B5" s="15">
        <v>4</v>
      </c>
      <c r="C5" s="15">
        <v>3</v>
      </c>
      <c r="D5" s="15">
        <v>4</v>
      </c>
      <c r="E5" s="15">
        <v>3</v>
      </c>
      <c r="F5" s="208">
        <v>3</v>
      </c>
    </row>
    <row r="6" spans="1:6">
      <c r="A6" s="185">
        <v>5</v>
      </c>
      <c r="B6" s="15">
        <v>3</v>
      </c>
      <c r="C6" s="15">
        <v>3</v>
      </c>
      <c r="D6" s="15">
        <v>3</v>
      </c>
      <c r="E6" s="15">
        <v>3</v>
      </c>
      <c r="F6" s="208">
        <v>3</v>
      </c>
    </row>
    <row r="7" spans="1:6">
      <c r="A7" s="185">
        <v>6</v>
      </c>
      <c r="B7" s="15">
        <v>3</v>
      </c>
      <c r="C7" s="15">
        <v>4</v>
      </c>
      <c r="D7" s="15">
        <v>4</v>
      </c>
      <c r="E7" s="15">
        <v>4</v>
      </c>
      <c r="F7" s="208">
        <v>4</v>
      </c>
    </row>
    <row r="8" spans="1:6">
      <c r="A8" s="185">
        <v>7</v>
      </c>
      <c r="B8" s="15">
        <v>4</v>
      </c>
      <c r="C8" s="15">
        <v>3</v>
      </c>
      <c r="D8" s="15">
        <v>3</v>
      </c>
      <c r="E8" s="15">
        <v>3</v>
      </c>
      <c r="F8" s="208">
        <v>4</v>
      </c>
    </row>
    <row r="9" spans="1:6">
      <c r="A9" s="185">
        <v>8</v>
      </c>
      <c r="B9" s="15">
        <v>4</v>
      </c>
      <c r="C9" s="15">
        <v>3</v>
      </c>
      <c r="D9" s="15">
        <v>4</v>
      </c>
      <c r="E9" s="15">
        <v>4</v>
      </c>
      <c r="F9" s="208">
        <v>3</v>
      </c>
    </row>
    <row r="10" spans="1:6">
      <c r="A10" s="185">
        <v>9</v>
      </c>
      <c r="B10" s="15">
        <v>3</v>
      </c>
      <c r="C10" s="15">
        <v>3</v>
      </c>
      <c r="D10" s="15">
        <v>3</v>
      </c>
      <c r="E10" s="15">
        <v>5</v>
      </c>
      <c r="F10" s="208">
        <v>3</v>
      </c>
    </row>
    <row r="11" spans="1:6">
      <c r="A11" s="185">
        <v>10</v>
      </c>
      <c r="B11" s="15">
        <v>4</v>
      </c>
      <c r="C11" s="15">
        <v>4</v>
      </c>
      <c r="D11" s="15">
        <v>3</v>
      </c>
      <c r="E11" s="15">
        <v>3</v>
      </c>
      <c r="F11" s="208">
        <v>3</v>
      </c>
    </row>
    <row r="12" spans="1:6">
      <c r="A12" s="185">
        <v>11</v>
      </c>
      <c r="B12" s="15">
        <v>3</v>
      </c>
      <c r="C12" s="15">
        <v>3</v>
      </c>
      <c r="D12" s="15">
        <v>3</v>
      </c>
      <c r="E12" s="15">
        <v>4</v>
      </c>
      <c r="F12" s="208">
        <v>3</v>
      </c>
    </row>
    <row r="13" spans="1:6">
      <c r="A13" s="185">
        <v>12</v>
      </c>
      <c r="B13" s="15">
        <v>4</v>
      </c>
      <c r="C13" s="15">
        <v>4</v>
      </c>
      <c r="D13" s="15">
        <v>4</v>
      </c>
      <c r="E13" s="15">
        <v>5</v>
      </c>
      <c r="F13" s="208">
        <v>4</v>
      </c>
    </row>
    <row r="14" spans="1:6">
      <c r="A14" s="185">
        <v>13</v>
      </c>
      <c r="B14" s="15">
        <v>5</v>
      </c>
      <c r="C14" s="15">
        <v>4</v>
      </c>
      <c r="D14" s="15">
        <v>4</v>
      </c>
      <c r="E14" s="15">
        <v>3</v>
      </c>
      <c r="F14" s="208">
        <v>4</v>
      </c>
    </row>
    <row r="15" spans="1:6">
      <c r="A15" s="185">
        <v>14</v>
      </c>
      <c r="B15" s="15">
        <v>3</v>
      </c>
      <c r="C15" s="15">
        <v>4</v>
      </c>
      <c r="D15" s="15">
        <v>3</v>
      </c>
      <c r="E15" s="15">
        <v>5</v>
      </c>
      <c r="F15" s="208">
        <v>4</v>
      </c>
    </row>
    <row r="16" spans="1:6">
      <c r="A16" s="185">
        <v>15</v>
      </c>
      <c r="B16" s="15">
        <v>3</v>
      </c>
      <c r="C16" s="15">
        <v>4</v>
      </c>
      <c r="D16" s="15">
        <v>4</v>
      </c>
      <c r="E16" s="15">
        <v>4</v>
      </c>
      <c r="F16" s="208">
        <v>4</v>
      </c>
    </row>
    <row r="17" spans="1:6">
      <c r="A17" s="185">
        <v>16</v>
      </c>
      <c r="B17" s="15">
        <v>3</v>
      </c>
      <c r="C17" s="15">
        <v>3</v>
      </c>
      <c r="D17" s="15">
        <v>3</v>
      </c>
      <c r="E17" s="15">
        <v>3</v>
      </c>
      <c r="F17" s="208">
        <v>3</v>
      </c>
    </row>
    <row r="18" spans="1:6">
      <c r="A18" s="185">
        <v>17</v>
      </c>
      <c r="B18" s="15">
        <v>3</v>
      </c>
      <c r="C18" s="15">
        <v>3</v>
      </c>
      <c r="D18" s="15">
        <v>4</v>
      </c>
      <c r="E18" s="15">
        <v>5</v>
      </c>
      <c r="F18" s="208">
        <v>4</v>
      </c>
    </row>
    <row r="19" spans="1:6">
      <c r="A19" s="185">
        <v>18</v>
      </c>
      <c r="B19" s="15">
        <v>3</v>
      </c>
      <c r="C19" s="15">
        <v>3</v>
      </c>
      <c r="D19" s="15">
        <v>3</v>
      </c>
      <c r="E19" s="15">
        <v>4</v>
      </c>
      <c r="F19" s="208">
        <v>4</v>
      </c>
    </row>
    <row r="20" spans="1:6">
      <c r="A20" s="185">
        <v>19</v>
      </c>
      <c r="B20" s="15">
        <v>4</v>
      </c>
      <c r="C20" s="15">
        <v>4</v>
      </c>
      <c r="D20" s="15">
        <v>4</v>
      </c>
      <c r="E20" s="15">
        <v>3</v>
      </c>
      <c r="F20" s="208">
        <v>3</v>
      </c>
    </row>
    <row r="21" spans="1:6">
      <c r="A21" s="185">
        <v>20</v>
      </c>
      <c r="B21" s="15">
        <v>3</v>
      </c>
      <c r="C21" s="15">
        <v>3</v>
      </c>
      <c r="D21" s="15">
        <v>3</v>
      </c>
      <c r="E21" s="15">
        <v>4</v>
      </c>
      <c r="F21" s="208">
        <v>3</v>
      </c>
    </row>
    <row r="22" spans="1:6">
      <c r="A22" s="185">
        <v>21</v>
      </c>
      <c r="B22" s="15">
        <v>3</v>
      </c>
      <c r="C22" s="15">
        <v>4</v>
      </c>
      <c r="D22" s="15">
        <v>4</v>
      </c>
      <c r="E22" s="15">
        <v>3</v>
      </c>
      <c r="F22" s="208">
        <v>4</v>
      </c>
    </row>
    <row r="23" spans="1:6">
      <c r="A23" s="185">
        <v>22</v>
      </c>
      <c r="B23" s="15">
        <v>3</v>
      </c>
      <c r="C23" s="15">
        <v>4</v>
      </c>
      <c r="D23" s="15">
        <v>3</v>
      </c>
      <c r="E23" s="15">
        <v>4</v>
      </c>
      <c r="F23" s="208">
        <v>4</v>
      </c>
    </row>
    <row r="24" spans="1:6">
      <c r="A24" s="185">
        <v>23</v>
      </c>
      <c r="B24" s="15">
        <v>4</v>
      </c>
      <c r="C24" s="15">
        <v>4</v>
      </c>
      <c r="D24" s="15">
        <v>3</v>
      </c>
      <c r="E24" s="15">
        <v>3</v>
      </c>
      <c r="F24" s="208">
        <v>4</v>
      </c>
    </row>
    <row r="25" spans="1:6">
      <c r="A25" s="185">
        <v>24</v>
      </c>
      <c r="B25" s="15">
        <v>4</v>
      </c>
      <c r="C25" s="15">
        <v>4</v>
      </c>
      <c r="D25" s="15">
        <v>4</v>
      </c>
      <c r="E25" s="15">
        <v>4</v>
      </c>
      <c r="F25" s="208">
        <v>4</v>
      </c>
    </row>
    <row r="26" spans="1:6">
      <c r="A26" s="185">
        <v>25</v>
      </c>
      <c r="B26" s="15">
        <v>4</v>
      </c>
      <c r="C26" s="15">
        <v>4</v>
      </c>
      <c r="D26" s="15">
        <v>4</v>
      </c>
      <c r="E26" s="15">
        <v>3</v>
      </c>
      <c r="F26" s="208">
        <v>3</v>
      </c>
    </row>
    <row r="27" spans="1:6">
      <c r="A27" s="185">
        <v>26</v>
      </c>
      <c r="B27" s="15">
        <v>4</v>
      </c>
      <c r="C27" s="15">
        <v>3</v>
      </c>
      <c r="D27" s="15">
        <v>3</v>
      </c>
      <c r="E27" s="15">
        <v>5</v>
      </c>
      <c r="F27" s="208">
        <v>3</v>
      </c>
    </row>
    <row r="28" spans="1:6">
      <c r="A28" s="185">
        <v>27</v>
      </c>
      <c r="B28" s="15">
        <v>5</v>
      </c>
      <c r="C28" s="15">
        <v>3</v>
      </c>
      <c r="D28" s="15">
        <v>3</v>
      </c>
      <c r="E28" s="15">
        <v>4</v>
      </c>
      <c r="F28" s="208">
        <v>4</v>
      </c>
    </row>
    <row r="29" spans="1:6">
      <c r="A29" s="185">
        <v>28</v>
      </c>
      <c r="B29" s="15">
        <v>4</v>
      </c>
      <c r="C29" s="15">
        <v>3</v>
      </c>
      <c r="D29" s="15">
        <v>4</v>
      </c>
      <c r="E29" s="15">
        <v>3</v>
      </c>
      <c r="F29" s="208">
        <v>3</v>
      </c>
    </row>
    <row r="30" spans="1:6">
      <c r="A30" s="185">
        <v>29</v>
      </c>
      <c r="B30" s="15">
        <v>4</v>
      </c>
      <c r="C30" s="15">
        <v>3</v>
      </c>
      <c r="D30" s="15">
        <v>3</v>
      </c>
      <c r="E30" s="15">
        <v>4</v>
      </c>
      <c r="F30" s="208">
        <v>4</v>
      </c>
    </row>
    <row r="31" spans="1:6">
      <c r="A31" s="185">
        <v>30</v>
      </c>
      <c r="B31" s="15">
        <v>4</v>
      </c>
      <c r="C31" s="15">
        <v>4</v>
      </c>
      <c r="D31" s="15">
        <v>3</v>
      </c>
      <c r="E31" s="15">
        <v>5</v>
      </c>
      <c r="F31" s="208">
        <v>4</v>
      </c>
    </row>
    <row r="32" spans="1:6">
      <c r="A32" s="185">
        <v>31</v>
      </c>
      <c r="B32" s="15">
        <v>4</v>
      </c>
      <c r="C32" s="15">
        <v>3</v>
      </c>
      <c r="D32" s="15">
        <v>4</v>
      </c>
      <c r="E32" s="15">
        <v>3</v>
      </c>
      <c r="F32" s="208">
        <v>3</v>
      </c>
    </row>
    <row r="33" spans="1:6">
      <c r="A33" s="185">
        <v>32</v>
      </c>
      <c r="B33" s="15">
        <v>3</v>
      </c>
      <c r="C33" s="15">
        <v>3</v>
      </c>
      <c r="D33" s="15">
        <v>3</v>
      </c>
      <c r="E33" s="15">
        <v>4</v>
      </c>
      <c r="F33" s="208">
        <v>4</v>
      </c>
    </row>
    <row r="34" spans="1:6">
      <c r="A34" s="185">
        <v>33</v>
      </c>
      <c r="B34" s="15">
        <v>4</v>
      </c>
      <c r="C34" s="15">
        <v>4</v>
      </c>
      <c r="D34" s="15">
        <v>3</v>
      </c>
      <c r="E34" s="15">
        <v>3</v>
      </c>
      <c r="F34" s="208">
        <v>3</v>
      </c>
    </row>
    <row r="35" spans="1:6">
      <c r="A35" s="185">
        <v>34</v>
      </c>
      <c r="B35" s="15">
        <v>3</v>
      </c>
      <c r="C35" s="15">
        <v>3</v>
      </c>
      <c r="D35" s="15">
        <v>3</v>
      </c>
      <c r="E35" s="15">
        <v>4</v>
      </c>
      <c r="F35" s="208">
        <v>3</v>
      </c>
    </row>
    <row r="36" spans="1:6">
      <c r="A36" s="185">
        <v>35</v>
      </c>
      <c r="B36" s="15">
        <v>4</v>
      </c>
      <c r="C36" s="15">
        <v>3</v>
      </c>
      <c r="D36" s="15">
        <v>4</v>
      </c>
      <c r="E36" s="15">
        <v>3</v>
      </c>
      <c r="F36" s="208">
        <v>3</v>
      </c>
    </row>
    <row r="37" spans="1:6">
      <c r="A37" s="185">
        <v>36</v>
      </c>
      <c r="B37" s="15">
        <v>4</v>
      </c>
      <c r="C37" s="15">
        <v>4</v>
      </c>
      <c r="D37" s="15">
        <v>4</v>
      </c>
      <c r="E37" s="15">
        <v>4</v>
      </c>
      <c r="F37" s="208">
        <v>4</v>
      </c>
    </row>
    <row r="38" spans="1:6">
      <c r="A38" s="185">
        <v>37</v>
      </c>
      <c r="B38" s="15">
        <v>4</v>
      </c>
      <c r="C38" s="15">
        <v>3</v>
      </c>
      <c r="D38" s="15">
        <v>3</v>
      </c>
      <c r="E38" s="15">
        <v>3</v>
      </c>
      <c r="F38" s="208">
        <v>4</v>
      </c>
    </row>
    <row r="39" spans="1:6">
      <c r="A39" s="185">
        <v>38</v>
      </c>
      <c r="B39" s="15">
        <v>4</v>
      </c>
      <c r="C39" s="15">
        <v>3</v>
      </c>
      <c r="D39" s="15">
        <v>4</v>
      </c>
      <c r="E39" s="15">
        <v>3</v>
      </c>
      <c r="F39" s="208">
        <v>4</v>
      </c>
    </row>
    <row r="40" spans="1:6">
      <c r="A40" s="185">
        <v>39</v>
      </c>
      <c r="B40" s="15">
        <v>4</v>
      </c>
      <c r="C40" s="15">
        <v>4</v>
      </c>
      <c r="D40" s="15">
        <v>3</v>
      </c>
      <c r="E40" s="15">
        <v>3</v>
      </c>
      <c r="F40" s="208">
        <v>3</v>
      </c>
    </row>
    <row r="41" spans="1:6">
      <c r="A41" s="185">
        <v>40</v>
      </c>
      <c r="B41" s="15">
        <v>4</v>
      </c>
      <c r="C41" s="15">
        <v>3</v>
      </c>
      <c r="D41" s="15">
        <v>4</v>
      </c>
      <c r="E41" s="15">
        <v>3</v>
      </c>
      <c r="F41" s="208">
        <v>4</v>
      </c>
    </row>
    <row r="42" spans="1:6">
      <c r="A42" s="185">
        <v>41</v>
      </c>
      <c r="B42" s="15">
        <v>4</v>
      </c>
      <c r="C42" s="15">
        <v>3</v>
      </c>
      <c r="D42" s="15">
        <v>3</v>
      </c>
      <c r="E42" s="15">
        <v>3</v>
      </c>
      <c r="F42" s="208">
        <v>4</v>
      </c>
    </row>
    <row r="43" spans="1:6">
      <c r="A43" s="185">
        <v>42</v>
      </c>
      <c r="B43" s="15">
        <v>4</v>
      </c>
      <c r="C43" s="15">
        <v>4</v>
      </c>
      <c r="D43" s="15">
        <v>4</v>
      </c>
      <c r="E43" s="15">
        <v>4</v>
      </c>
      <c r="F43" s="208">
        <v>3</v>
      </c>
    </row>
    <row r="44" spans="1:6">
      <c r="A44" s="185">
        <v>43</v>
      </c>
      <c r="B44" s="15">
        <v>4</v>
      </c>
      <c r="C44" s="15">
        <v>3</v>
      </c>
      <c r="D44" s="15">
        <v>3</v>
      </c>
      <c r="E44" s="15">
        <v>5</v>
      </c>
      <c r="F44" s="208">
        <v>3</v>
      </c>
    </row>
    <row r="45" spans="1:6">
      <c r="A45" s="185">
        <v>44</v>
      </c>
      <c r="B45" s="15">
        <v>4</v>
      </c>
      <c r="C45" s="15">
        <v>3</v>
      </c>
      <c r="D45" s="15">
        <v>4</v>
      </c>
      <c r="E45" s="15">
        <v>4</v>
      </c>
      <c r="F45" s="208">
        <v>4</v>
      </c>
    </row>
    <row r="46" spans="1:6">
      <c r="A46" s="185">
        <v>45</v>
      </c>
      <c r="B46" s="15">
        <v>4</v>
      </c>
      <c r="C46" s="15">
        <v>3</v>
      </c>
      <c r="D46" s="15">
        <v>4</v>
      </c>
      <c r="E46" s="15">
        <v>4</v>
      </c>
      <c r="F46" s="208">
        <v>4</v>
      </c>
    </row>
    <row r="47" spans="1:6">
      <c r="A47" s="185">
        <v>46</v>
      </c>
      <c r="B47" s="15">
        <v>4</v>
      </c>
      <c r="C47" s="15">
        <v>4</v>
      </c>
      <c r="D47" s="15">
        <v>3</v>
      </c>
      <c r="E47" s="15">
        <v>3</v>
      </c>
      <c r="F47" s="208">
        <v>3</v>
      </c>
    </row>
    <row r="48" spans="1:6">
      <c r="A48" s="185">
        <v>47</v>
      </c>
      <c r="B48" s="15">
        <v>4</v>
      </c>
      <c r="C48" s="15">
        <v>3</v>
      </c>
      <c r="D48" s="15">
        <v>4</v>
      </c>
      <c r="E48" s="15">
        <v>3</v>
      </c>
      <c r="F48" s="208">
        <v>4</v>
      </c>
    </row>
    <row r="49" spans="1:6">
      <c r="A49" s="185">
        <v>48</v>
      </c>
      <c r="B49" s="15">
        <v>5</v>
      </c>
      <c r="C49" s="15">
        <v>3</v>
      </c>
      <c r="D49" s="15">
        <v>4</v>
      </c>
      <c r="E49" s="15">
        <v>3</v>
      </c>
      <c r="F49" s="208">
        <v>4</v>
      </c>
    </row>
    <row r="50" spans="1:6">
      <c r="A50" s="185">
        <v>49</v>
      </c>
      <c r="B50" s="14">
        <v>4</v>
      </c>
      <c r="C50" s="14">
        <v>3</v>
      </c>
      <c r="D50" s="14">
        <v>3</v>
      </c>
      <c r="E50" s="14">
        <v>5</v>
      </c>
      <c r="F50" s="207">
        <v>3</v>
      </c>
    </row>
    <row r="51" spans="1:6">
      <c r="A51" s="185">
        <v>50</v>
      </c>
      <c r="B51" s="14">
        <v>4</v>
      </c>
      <c r="C51" s="14">
        <v>3</v>
      </c>
      <c r="D51" s="14">
        <v>3</v>
      </c>
      <c r="E51" s="14">
        <v>5</v>
      </c>
      <c r="F51" s="207">
        <v>3</v>
      </c>
    </row>
    <row r="52" spans="1:6">
      <c r="A52" s="185">
        <v>51</v>
      </c>
      <c r="B52" s="14">
        <v>4</v>
      </c>
      <c r="C52" s="14">
        <v>3</v>
      </c>
      <c r="D52" s="14">
        <v>3</v>
      </c>
      <c r="E52" s="14">
        <v>5</v>
      </c>
      <c r="F52" s="207">
        <v>3</v>
      </c>
    </row>
    <row r="53" spans="1:6">
      <c r="A53" s="185">
        <v>52</v>
      </c>
      <c r="B53" s="14">
        <v>4</v>
      </c>
      <c r="C53" s="14">
        <v>3</v>
      </c>
      <c r="D53" s="14">
        <v>3</v>
      </c>
      <c r="E53" s="14">
        <v>5</v>
      </c>
      <c r="F53" s="207">
        <v>3</v>
      </c>
    </row>
    <row r="54" spans="1:6">
      <c r="A54" s="185">
        <v>53</v>
      </c>
      <c r="B54" s="14">
        <v>4</v>
      </c>
      <c r="C54" s="14">
        <v>3</v>
      </c>
      <c r="D54" s="14">
        <v>3</v>
      </c>
      <c r="E54" s="14">
        <v>5</v>
      </c>
      <c r="F54" s="207">
        <v>3</v>
      </c>
    </row>
    <row r="55" spans="1:6">
      <c r="A55" s="185">
        <v>54</v>
      </c>
      <c r="B55" s="14">
        <v>4</v>
      </c>
      <c r="C55" s="14">
        <v>3</v>
      </c>
      <c r="D55" s="14">
        <v>3</v>
      </c>
      <c r="E55" s="14">
        <v>5</v>
      </c>
      <c r="F55" s="207">
        <v>3</v>
      </c>
    </row>
    <row r="56" spans="1:6">
      <c r="A56" s="185">
        <v>55</v>
      </c>
      <c r="B56" s="223"/>
      <c r="C56" s="223"/>
      <c r="D56" s="223"/>
      <c r="E56" s="223"/>
      <c r="F56" s="22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61"/>
  <sheetViews>
    <sheetView topLeftCell="B1" zoomScale="90" workbookViewId="0">
      <pane xSplit="2" topLeftCell="DN1" activePane="topRight" state="frozen"/>
      <selection pane="topRight" activeCell="B3" sqref="B3:B57"/>
    </sheetView>
  </sheetViews>
  <sheetFormatPr defaultColWidth="9" defaultRowHeight="15"/>
  <cols>
    <col min="2" max="2" width="22.140625" customWidth="1"/>
    <col min="3" max="3" width="30" customWidth="1"/>
    <col min="4" max="11" width="3.7109375" customWidth="1"/>
    <col min="12" max="12" width="6.5703125" customWidth="1"/>
    <col min="13" max="13" width="9.140625" customWidth="1"/>
    <col min="14" max="14" width="4.5703125" customWidth="1"/>
    <col min="15" max="15" width="35.140625" customWidth="1"/>
    <col min="16" max="22" width="3.7109375" customWidth="1"/>
    <col min="23" max="23" width="4.5703125" customWidth="1"/>
    <col min="24" max="24" width="6.140625" customWidth="1"/>
    <col min="25" max="25" width="9.140625" customWidth="1"/>
    <col min="26" max="26" width="9" style="11"/>
    <col min="27" max="27" width="29.42578125" customWidth="1"/>
    <col min="28" max="36" width="3.7109375" customWidth="1"/>
    <col min="37" max="37" width="9.140625" customWidth="1"/>
    <col min="38" max="38" width="9" style="11"/>
    <col min="39" max="39" width="32.5703125" customWidth="1"/>
    <col min="40" max="48" width="3.7109375" customWidth="1"/>
    <col min="49" max="49" width="9.140625" customWidth="1"/>
    <col min="50" max="50" width="9" style="11"/>
    <col min="51" max="51" width="31.42578125" customWidth="1"/>
    <col min="52" max="60" width="3.7109375" customWidth="1"/>
    <col min="61" max="61" width="9.140625" customWidth="1"/>
    <col min="63" max="63" width="39" customWidth="1"/>
    <col min="64" max="70" width="3.7109375" customWidth="1"/>
    <col min="71" max="71" width="5.85546875" customWidth="1"/>
    <col min="72" max="72" width="3.7109375" customWidth="1"/>
    <col min="73" max="73" width="9.140625" customWidth="1"/>
    <col min="75" max="75" width="25.140625" customWidth="1"/>
    <col min="76" max="84" width="3.7109375" customWidth="1"/>
    <col min="85" max="85" width="9.140625" customWidth="1"/>
    <col min="87" max="87" width="25.140625" customWidth="1"/>
    <col min="88" max="96" width="3.7109375" customWidth="1"/>
    <col min="97" max="97" width="9.140625" customWidth="1"/>
    <col min="99" max="99" width="30.42578125" customWidth="1"/>
    <col min="100" max="108" width="3.7109375" customWidth="1"/>
    <col min="109" max="109" width="9.140625" customWidth="1"/>
    <col min="111" max="111" width="31.28515625" customWidth="1"/>
    <col min="112" max="120" width="3.7109375" customWidth="1"/>
    <col min="121" max="121" width="9.140625" customWidth="1"/>
    <col min="123" max="123" width="34.7109375" customWidth="1"/>
    <col min="124" max="132" width="3.7109375" customWidth="1"/>
    <col min="133" max="133" width="9.140625" customWidth="1"/>
    <col min="135" max="135" width="27.28515625" customWidth="1"/>
    <col min="136" max="144" width="3.7109375" customWidth="1"/>
    <col min="145" max="145" width="9.140625" customWidth="1"/>
    <col min="147" max="147" width="41.140625" customWidth="1"/>
    <col min="148" max="156" width="3.7109375" customWidth="1"/>
    <col min="157" max="157" width="9.140625" customWidth="1"/>
    <col min="159" max="159" width="36.7109375" customWidth="1"/>
    <col min="160" max="168" width="3.7109375" customWidth="1"/>
    <col min="169" max="169" width="9.140625" customWidth="1"/>
    <col min="171" max="171" width="33.7109375" customWidth="1"/>
    <col min="172" max="180" width="3.7109375" customWidth="1"/>
    <col min="181" max="181" width="9.140625" customWidth="1"/>
    <col min="183" max="183" width="31.28515625" customWidth="1"/>
    <col min="184" max="192" width="3.7109375" customWidth="1"/>
    <col min="193" max="193" width="9.140625" customWidth="1"/>
    <col min="195" max="195" width="31.7109375" customWidth="1"/>
    <col min="196" max="196" width="5.140625" customWidth="1"/>
    <col min="197" max="199" width="4.7109375" customWidth="1"/>
    <col min="200" max="200" width="4" customWidth="1"/>
    <col min="201" max="201" width="5.28515625" customWidth="1"/>
    <col min="202" max="203" width="3.7109375" customWidth="1"/>
    <col min="204" max="204" width="5.140625" customWidth="1"/>
    <col min="205" max="205" width="9.140625" customWidth="1"/>
    <col min="207" max="207" width="27.42578125" customWidth="1"/>
    <col min="208" max="216" width="3.7109375" customWidth="1"/>
    <col min="217" max="217" width="9.140625" customWidth="1"/>
    <col min="219" max="219" width="31.140625" customWidth="1"/>
    <col min="220" max="228" width="3.7109375" customWidth="1"/>
    <col min="229" max="229" width="9.140625" customWidth="1"/>
    <col min="231" max="231" width="28.42578125" customWidth="1"/>
    <col min="232" max="240" width="3.7109375" customWidth="1"/>
    <col min="241" max="241" width="9.140625" customWidth="1"/>
    <col min="243" max="243" width="31.140625" customWidth="1"/>
    <col min="244" max="252" width="3.7109375" customWidth="1"/>
    <col min="253" max="253" width="9.140625" customWidth="1"/>
    <col min="255" max="255" width="34.85546875" customWidth="1"/>
    <col min="256" max="264" width="3.7109375" customWidth="1"/>
    <col min="265" max="265" width="9.140625" customWidth="1"/>
    <col min="267" max="267" width="37.85546875" customWidth="1"/>
    <col min="268" max="273" width="3.7109375" customWidth="1"/>
    <col min="274" max="274" width="5.28515625" customWidth="1"/>
    <col min="275" max="276" width="3.7109375" customWidth="1"/>
    <col min="277" max="277" width="9.140625" customWidth="1"/>
    <col min="279" max="279" width="32.42578125" bestFit="1" customWidth="1"/>
    <col min="280" max="285" width="3.7109375" customWidth="1"/>
    <col min="286" max="286" width="5.28515625" customWidth="1"/>
    <col min="287" max="288" width="3.7109375" customWidth="1"/>
    <col min="289" max="289" width="9.140625" customWidth="1"/>
    <col min="291" max="298" width="3.7109375" customWidth="1"/>
    <col min="300" max="300" width="11.7109375" customWidth="1"/>
    <col min="301" max="309" width="3.7109375" customWidth="1"/>
  </cols>
  <sheetData>
    <row r="1" spans="1:309">
      <c r="A1" s="16"/>
      <c r="B1" s="16"/>
      <c r="C1" s="230" t="s">
        <v>46</v>
      </c>
      <c r="D1" s="231"/>
      <c r="E1" s="231"/>
      <c r="F1" s="231"/>
      <c r="G1" s="231"/>
      <c r="H1" s="231"/>
      <c r="I1" s="231"/>
      <c r="J1" s="231"/>
      <c r="K1" s="231"/>
      <c r="L1" s="231"/>
      <c r="M1" s="232"/>
      <c r="N1" s="17"/>
      <c r="O1" s="241" t="s">
        <v>47</v>
      </c>
      <c r="P1" s="242"/>
      <c r="Q1" s="242"/>
      <c r="R1" s="242"/>
      <c r="S1" s="242"/>
      <c r="T1" s="242"/>
      <c r="U1" s="242"/>
      <c r="V1" s="242"/>
      <c r="W1" s="242"/>
      <c r="X1" s="242"/>
      <c r="Y1" s="243"/>
      <c r="Z1" s="18"/>
      <c r="AA1" s="240" t="s">
        <v>48</v>
      </c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M1" s="235" t="s">
        <v>49</v>
      </c>
      <c r="AN1" s="235"/>
      <c r="AO1" s="235"/>
      <c r="AP1" s="235"/>
      <c r="AQ1" s="235"/>
      <c r="AR1" s="235"/>
      <c r="AS1" s="235"/>
      <c r="AT1" s="235"/>
      <c r="AU1" s="235"/>
      <c r="AV1" s="235"/>
      <c r="AW1" s="235"/>
      <c r="AY1" s="237" t="s">
        <v>50</v>
      </c>
      <c r="AZ1" s="238"/>
      <c r="BA1" s="238"/>
      <c r="BB1" s="238"/>
      <c r="BC1" s="238"/>
      <c r="BD1" s="238"/>
      <c r="BE1" s="238"/>
      <c r="BF1" s="238"/>
      <c r="BG1" s="238"/>
      <c r="BH1" s="238"/>
      <c r="BI1" s="239"/>
      <c r="BJ1" s="19"/>
      <c r="BK1" s="234" t="s">
        <v>51</v>
      </c>
      <c r="BL1" s="234"/>
      <c r="BM1" s="234"/>
      <c r="BN1" s="234"/>
      <c r="BO1" s="234"/>
      <c r="BP1" s="234"/>
      <c r="BQ1" s="234"/>
      <c r="BR1" s="234"/>
      <c r="BS1" s="234"/>
      <c r="BT1" s="234"/>
      <c r="BU1" s="234"/>
      <c r="BW1" s="246" t="s">
        <v>52</v>
      </c>
      <c r="BX1" s="246"/>
      <c r="BY1" s="246"/>
      <c r="BZ1" s="246"/>
      <c r="CA1" s="246"/>
      <c r="CB1" s="246"/>
      <c r="CC1" s="246"/>
      <c r="CD1" s="246"/>
      <c r="CE1" s="246"/>
      <c r="CF1" s="246"/>
      <c r="CG1" s="246"/>
      <c r="CI1" s="233" t="s">
        <v>53</v>
      </c>
      <c r="CJ1" s="233"/>
      <c r="CK1" s="233"/>
      <c r="CL1" s="233"/>
      <c r="CM1" s="233"/>
      <c r="CN1" s="233"/>
      <c r="CO1" s="233"/>
      <c r="CP1" s="233"/>
      <c r="CQ1" s="233"/>
      <c r="CR1" s="233"/>
      <c r="CS1" s="233"/>
      <c r="CU1" s="236" t="s">
        <v>54</v>
      </c>
      <c r="CV1" s="236"/>
      <c r="CW1" s="236"/>
      <c r="CX1" s="236"/>
      <c r="CY1" s="236"/>
      <c r="CZ1" s="236"/>
      <c r="DA1" s="236"/>
      <c r="DB1" s="236"/>
      <c r="DC1" s="236"/>
      <c r="DD1" s="236"/>
      <c r="DE1" s="236"/>
      <c r="DG1" s="245" t="s">
        <v>55</v>
      </c>
      <c r="DH1" s="245"/>
      <c r="DI1" s="245"/>
      <c r="DJ1" s="245"/>
      <c r="DK1" s="245"/>
      <c r="DL1" s="245"/>
      <c r="DM1" s="245"/>
      <c r="DN1" s="245"/>
      <c r="DO1" s="245"/>
      <c r="DP1" s="245"/>
      <c r="DQ1" s="245"/>
      <c r="DS1" s="248" t="s">
        <v>56</v>
      </c>
      <c r="DT1" s="248"/>
      <c r="DU1" s="248"/>
      <c r="DV1" s="248"/>
      <c r="DW1" s="248"/>
      <c r="DX1" s="248"/>
      <c r="DY1" s="248"/>
      <c r="DZ1" s="248"/>
      <c r="EA1" s="248"/>
      <c r="EB1" s="248"/>
      <c r="EC1" s="248"/>
      <c r="EE1" s="244" t="s">
        <v>57</v>
      </c>
      <c r="EF1" s="244"/>
      <c r="EG1" s="244"/>
      <c r="EH1" s="244"/>
      <c r="EI1" s="244"/>
      <c r="EJ1" s="244"/>
      <c r="EK1" s="244"/>
      <c r="EL1" s="244"/>
      <c r="EM1" s="244"/>
      <c r="EN1" s="244"/>
      <c r="EO1" s="244"/>
      <c r="EQ1" s="236" t="s">
        <v>58</v>
      </c>
      <c r="ER1" s="236"/>
      <c r="ES1" s="236"/>
      <c r="ET1" s="236"/>
      <c r="EU1" s="236"/>
      <c r="EV1" s="236"/>
      <c r="EW1" s="236"/>
      <c r="EX1" s="236"/>
      <c r="EY1" s="236"/>
      <c r="EZ1" s="236"/>
      <c r="FA1" s="236"/>
      <c r="FB1" s="20"/>
      <c r="FC1" s="250" t="s">
        <v>59</v>
      </c>
      <c r="FD1" s="250"/>
      <c r="FE1" s="250"/>
      <c r="FF1" s="250"/>
      <c r="FG1" s="250"/>
      <c r="FH1" s="250"/>
      <c r="FI1" s="250"/>
      <c r="FJ1" s="250"/>
      <c r="FK1" s="250"/>
      <c r="FL1" s="250"/>
      <c r="FM1" s="250"/>
      <c r="FO1" s="251" t="s">
        <v>60</v>
      </c>
      <c r="FP1" s="251"/>
      <c r="FQ1" s="251"/>
      <c r="FR1" s="251"/>
      <c r="FS1" s="251"/>
      <c r="FT1" s="251"/>
      <c r="FU1" s="251"/>
      <c r="FV1" s="251"/>
      <c r="FW1" s="251"/>
      <c r="FX1" s="251"/>
      <c r="FY1" s="251"/>
      <c r="FZ1" s="16"/>
      <c r="GA1" s="252" t="s">
        <v>61</v>
      </c>
      <c r="GB1" s="252"/>
      <c r="GC1" s="252"/>
      <c r="GD1" s="252"/>
      <c r="GE1" s="252"/>
      <c r="GF1" s="252"/>
      <c r="GG1" s="252"/>
      <c r="GH1" s="252"/>
      <c r="GI1" s="252"/>
      <c r="GJ1" s="252"/>
      <c r="GK1" s="252"/>
      <c r="GM1" s="253" t="s">
        <v>62</v>
      </c>
      <c r="GN1" s="253"/>
      <c r="GO1" s="253"/>
      <c r="GP1" s="253"/>
      <c r="GQ1" s="253"/>
      <c r="GR1" s="253"/>
      <c r="GS1" s="253"/>
      <c r="GT1" s="253"/>
      <c r="GU1" s="253"/>
      <c r="GV1" s="253"/>
      <c r="GW1" s="253"/>
      <c r="GY1" s="234" t="s">
        <v>63</v>
      </c>
      <c r="GZ1" s="234"/>
      <c r="HA1" s="234"/>
      <c r="HB1" s="234"/>
      <c r="HC1" s="234"/>
      <c r="HD1" s="234"/>
      <c r="HE1" s="234"/>
      <c r="HF1" s="234"/>
      <c r="HG1" s="234"/>
      <c r="HH1" s="234"/>
      <c r="HI1" s="234"/>
      <c r="HK1" s="254" t="s">
        <v>64</v>
      </c>
      <c r="HL1" s="254"/>
      <c r="HM1" s="254"/>
      <c r="HN1" s="254"/>
      <c r="HO1" s="254"/>
      <c r="HP1" s="254"/>
      <c r="HQ1" s="254"/>
      <c r="HR1" s="254"/>
      <c r="HS1" s="254"/>
      <c r="HT1" s="254"/>
      <c r="HU1" s="254"/>
      <c r="HW1" s="245" t="s">
        <v>65</v>
      </c>
      <c r="HX1" s="245"/>
      <c r="HY1" s="245"/>
      <c r="HZ1" s="245"/>
      <c r="IA1" s="245"/>
      <c r="IB1" s="245"/>
      <c r="IC1" s="245"/>
      <c r="ID1" s="245"/>
      <c r="IE1" s="245"/>
      <c r="IF1" s="245"/>
      <c r="IG1" s="245"/>
      <c r="II1" s="255" t="s">
        <v>66</v>
      </c>
      <c r="IJ1" s="255"/>
      <c r="IK1" s="255"/>
      <c r="IL1" s="255"/>
      <c r="IM1" s="255"/>
      <c r="IN1" s="255"/>
      <c r="IO1" s="255"/>
      <c r="IP1" s="255"/>
      <c r="IQ1" s="255"/>
      <c r="IR1" s="255"/>
      <c r="IS1" s="255"/>
      <c r="IU1" s="252" t="s">
        <v>67</v>
      </c>
      <c r="IV1" s="252"/>
      <c r="IW1" s="252"/>
      <c r="IX1" s="252"/>
      <c r="IY1" s="252"/>
      <c r="IZ1" s="252"/>
      <c r="JA1" s="252"/>
      <c r="JB1" s="252"/>
      <c r="JC1" s="252"/>
      <c r="JD1" s="252"/>
      <c r="JE1" s="252"/>
      <c r="JG1" s="240" t="s">
        <v>68</v>
      </c>
      <c r="JH1" s="240"/>
      <c r="JI1" s="240"/>
      <c r="JJ1" s="240"/>
      <c r="JK1" s="240"/>
      <c r="JL1" s="240"/>
      <c r="JM1" s="240"/>
      <c r="JN1" s="240"/>
      <c r="JO1" s="240"/>
      <c r="JP1" s="240"/>
      <c r="JQ1" s="240"/>
      <c r="JS1" s="249" t="s">
        <v>69</v>
      </c>
      <c r="JT1" s="249"/>
      <c r="JU1" s="249"/>
      <c r="JV1" s="249"/>
      <c r="JW1" s="249"/>
      <c r="JX1" s="249"/>
      <c r="JY1" s="249"/>
      <c r="JZ1" s="249"/>
      <c r="KA1" s="249"/>
      <c r="KB1" s="249"/>
      <c r="KC1" s="249"/>
      <c r="KE1" s="247"/>
      <c r="KF1" s="247"/>
      <c r="KG1" s="247"/>
      <c r="KH1" s="247"/>
      <c r="KI1" s="247"/>
      <c r="KJ1" s="247"/>
      <c r="KK1" s="16"/>
      <c r="KL1" s="16"/>
      <c r="KN1" s="16"/>
      <c r="KO1" s="247"/>
      <c r="KP1" s="247"/>
      <c r="KQ1" s="247"/>
      <c r="KR1" s="247"/>
      <c r="KS1" s="247"/>
      <c r="KT1" s="247"/>
      <c r="KU1" s="247"/>
      <c r="KV1" s="16"/>
      <c r="KW1" s="16"/>
    </row>
    <row r="2" spans="1:309" ht="68.25" customHeight="1">
      <c r="A2" s="17"/>
      <c r="B2" s="201" t="s">
        <v>183</v>
      </c>
      <c r="C2" s="21" t="s">
        <v>70</v>
      </c>
      <c r="D2" s="22" t="s">
        <v>71</v>
      </c>
      <c r="E2" s="22" t="s">
        <v>72</v>
      </c>
      <c r="F2" s="22" t="s">
        <v>73</v>
      </c>
      <c r="G2" s="22" t="s">
        <v>74</v>
      </c>
      <c r="H2" s="22" t="s">
        <v>75</v>
      </c>
      <c r="I2" s="22" t="s">
        <v>76</v>
      </c>
      <c r="J2" s="22" t="s">
        <v>24</v>
      </c>
      <c r="K2" s="22" t="s">
        <v>25</v>
      </c>
      <c r="L2" s="22" t="s">
        <v>26</v>
      </c>
      <c r="M2" s="23" t="s">
        <v>27</v>
      </c>
      <c r="N2" s="17"/>
      <c r="O2" s="24" t="s">
        <v>70</v>
      </c>
      <c r="P2" s="25" t="s">
        <v>71</v>
      </c>
      <c r="Q2" s="25" t="s">
        <v>72</v>
      </c>
      <c r="R2" s="25" t="s">
        <v>73</v>
      </c>
      <c r="S2" s="25" t="s">
        <v>74</v>
      </c>
      <c r="T2" s="25" t="s">
        <v>75</v>
      </c>
      <c r="U2" s="25" t="s">
        <v>76</v>
      </c>
      <c r="V2" s="25" t="s">
        <v>24</v>
      </c>
      <c r="W2" s="25" t="s">
        <v>25</v>
      </c>
      <c r="X2" s="25" t="s">
        <v>26</v>
      </c>
      <c r="Y2" s="26" t="s">
        <v>27</v>
      </c>
      <c r="AA2" s="27" t="s">
        <v>70</v>
      </c>
      <c r="AB2" s="28" t="s">
        <v>71</v>
      </c>
      <c r="AC2" s="28" t="s">
        <v>72</v>
      </c>
      <c r="AD2" s="28" t="s">
        <v>73</v>
      </c>
      <c r="AE2" s="28" t="s">
        <v>74</v>
      </c>
      <c r="AF2" s="28" t="s">
        <v>75</v>
      </c>
      <c r="AG2" s="28" t="s">
        <v>76</v>
      </c>
      <c r="AH2" s="28" t="s">
        <v>24</v>
      </c>
      <c r="AI2" s="28" t="s">
        <v>25</v>
      </c>
      <c r="AJ2" s="28" t="s">
        <v>26</v>
      </c>
      <c r="AK2" s="29" t="s">
        <v>27</v>
      </c>
      <c r="AM2" s="30" t="s">
        <v>70</v>
      </c>
      <c r="AN2" s="31" t="s">
        <v>71</v>
      </c>
      <c r="AO2" s="31" t="s">
        <v>72</v>
      </c>
      <c r="AP2" s="31" t="s">
        <v>73</v>
      </c>
      <c r="AQ2" s="31" t="s">
        <v>74</v>
      </c>
      <c r="AR2" s="31" t="s">
        <v>75</v>
      </c>
      <c r="AS2" s="31" t="s">
        <v>76</v>
      </c>
      <c r="AT2" s="31" t="s">
        <v>24</v>
      </c>
      <c r="AU2" s="31" t="s">
        <v>25</v>
      </c>
      <c r="AV2" s="31" t="s">
        <v>26</v>
      </c>
      <c r="AW2" s="32" t="s">
        <v>27</v>
      </c>
      <c r="AY2" s="33" t="s">
        <v>70</v>
      </c>
      <c r="AZ2" s="34" t="s">
        <v>71</v>
      </c>
      <c r="BA2" s="34" t="s">
        <v>72</v>
      </c>
      <c r="BB2" s="34" t="s">
        <v>73</v>
      </c>
      <c r="BC2" s="34" t="s">
        <v>74</v>
      </c>
      <c r="BD2" s="34" t="s">
        <v>75</v>
      </c>
      <c r="BE2" s="34" t="s">
        <v>76</v>
      </c>
      <c r="BF2" s="34" t="s">
        <v>24</v>
      </c>
      <c r="BG2" s="34" t="s">
        <v>25</v>
      </c>
      <c r="BH2" s="34" t="s">
        <v>26</v>
      </c>
      <c r="BI2" s="35" t="s">
        <v>27</v>
      </c>
      <c r="BJ2" s="36"/>
      <c r="BK2" s="37" t="s">
        <v>70</v>
      </c>
      <c r="BL2" s="38" t="s">
        <v>71</v>
      </c>
      <c r="BM2" s="38" t="s">
        <v>72</v>
      </c>
      <c r="BN2" s="38" t="s">
        <v>73</v>
      </c>
      <c r="BO2" s="38" t="s">
        <v>74</v>
      </c>
      <c r="BP2" s="38" t="s">
        <v>75</v>
      </c>
      <c r="BQ2" s="38" t="s">
        <v>76</v>
      </c>
      <c r="BR2" s="38" t="s">
        <v>24</v>
      </c>
      <c r="BS2" s="38" t="s">
        <v>25</v>
      </c>
      <c r="BT2" s="38" t="s">
        <v>26</v>
      </c>
      <c r="BU2" s="39" t="s">
        <v>27</v>
      </c>
      <c r="BW2" s="40" t="s">
        <v>70</v>
      </c>
      <c r="BX2" s="41" t="s">
        <v>71</v>
      </c>
      <c r="BY2" s="41" t="s">
        <v>72</v>
      </c>
      <c r="BZ2" s="41" t="s">
        <v>73</v>
      </c>
      <c r="CA2" s="41" t="s">
        <v>74</v>
      </c>
      <c r="CB2" s="41" t="s">
        <v>75</v>
      </c>
      <c r="CC2" s="41" t="s">
        <v>76</v>
      </c>
      <c r="CD2" s="41" t="s">
        <v>24</v>
      </c>
      <c r="CE2" s="41" t="s">
        <v>25</v>
      </c>
      <c r="CF2" s="41" t="s">
        <v>26</v>
      </c>
      <c r="CG2" s="42" t="s">
        <v>27</v>
      </c>
      <c r="CI2" s="43" t="s">
        <v>70</v>
      </c>
      <c r="CJ2" s="44" t="s">
        <v>71</v>
      </c>
      <c r="CK2" s="44" t="s">
        <v>72</v>
      </c>
      <c r="CL2" s="44" t="s">
        <v>73</v>
      </c>
      <c r="CM2" s="44" t="s">
        <v>74</v>
      </c>
      <c r="CN2" s="44" t="s">
        <v>75</v>
      </c>
      <c r="CO2" s="44" t="s">
        <v>76</v>
      </c>
      <c r="CP2" s="44" t="s">
        <v>24</v>
      </c>
      <c r="CQ2" s="44" t="s">
        <v>25</v>
      </c>
      <c r="CR2" s="44" t="s">
        <v>26</v>
      </c>
      <c r="CS2" s="45" t="s">
        <v>27</v>
      </c>
      <c r="CU2" s="46" t="s">
        <v>70</v>
      </c>
      <c r="CV2" s="47" t="s">
        <v>71</v>
      </c>
      <c r="CW2" s="47" t="s">
        <v>72</v>
      </c>
      <c r="CX2" s="47" t="s">
        <v>73</v>
      </c>
      <c r="CY2" s="47" t="s">
        <v>74</v>
      </c>
      <c r="CZ2" s="47" t="s">
        <v>75</v>
      </c>
      <c r="DA2" s="47" t="s">
        <v>76</v>
      </c>
      <c r="DB2" s="47" t="s">
        <v>24</v>
      </c>
      <c r="DC2" s="47" t="s">
        <v>25</v>
      </c>
      <c r="DD2" s="47" t="s">
        <v>26</v>
      </c>
      <c r="DE2" s="48" t="s">
        <v>27</v>
      </c>
      <c r="DG2" s="33" t="s">
        <v>70</v>
      </c>
      <c r="DH2" s="34" t="s">
        <v>71</v>
      </c>
      <c r="DI2" s="34" t="s">
        <v>72</v>
      </c>
      <c r="DJ2" s="34" t="s">
        <v>73</v>
      </c>
      <c r="DK2" s="34" t="s">
        <v>74</v>
      </c>
      <c r="DL2" s="34" t="s">
        <v>75</v>
      </c>
      <c r="DM2" s="34" t="s">
        <v>76</v>
      </c>
      <c r="DN2" s="34" t="s">
        <v>24</v>
      </c>
      <c r="DO2" s="34" t="s">
        <v>25</v>
      </c>
      <c r="DP2" s="34" t="s">
        <v>26</v>
      </c>
      <c r="DQ2" s="35" t="s">
        <v>27</v>
      </c>
      <c r="DS2" s="49" t="s">
        <v>70</v>
      </c>
      <c r="DT2" s="50" t="s">
        <v>71</v>
      </c>
      <c r="DU2" s="50" t="s">
        <v>72</v>
      </c>
      <c r="DV2" s="50" t="s">
        <v>73</v>
      </c>
      <c r="DW2" s="50" t="s">
        <v>74</v>
      </c>
      <c r="DX2" s="50" t="s">
        <v>75</v>
      </c>
      <c r="DY2" s="50" t="s">
        <v>76</v>
      </c>
      <c r="DZ2" s="50" t="s">
        <v>24</v>
      </c>
      <c r="EA2" s="50" t="s">
        <v>25</v>
      </c>
      <c r="EB2" s="50" t="s">
        <v>26</v>
      </c>
      <c r="EC2" s="51" t="s">
        <v>27</v>
      </c>
      <c r="EE2" s="52" t="s">
        <v>70</v>
      </c>
      <c r="EF2" s="53" t="s">
        <v>71</v>
      </c>
      <c r="EG2" s="53" t="s">
        <v>72</v>
      </c>
      <c r="EH2" s="53" t="s">
        <v>73</v>
      </c>
      <c r="EI2" s="53" t="s">
        <v>74</v>
      </c>
      <c r="EJ2" s="53" t="s">
        <v>75</v>
      </c>
      <c r="EK2" s="53" t="s">
        <v>76</v>
      </c>
      <c r="EL2" s="53" t="s">
        <v>24</v>
      </c>
      <c r="EM2" s="53" t="s">
        <v>25</v>
      </c>
      <c r="EN2" s="53" t="s">
        <v>26</v>
      </c>
      <c r="EO2" s="54" t="s">
        <v>27</v>
      </c>
      <c r="EQ2" s="46" t="s">
        <v>70</v>
      </c>
      <c r="ER2" s="47" t="s">
        <v>71</v>
      </c>
      <c r="ES2" s="47" t="s">
        <v>72</v>
      </c>
      <c r="ET2" s="47" t="s">
        <v>73</v>
      </c>
      <c r="EU2" s="47" t="s">
        <v>74</v>
      </c>
      <c r="EV2" s="47" t="s">
        <v>75</v>
      </c>
      <c r="EW2" s="47" t="s">
        <v>76</v>
      </c>
      <c r="EX2" s="47" t="s">
        <v>24</v>
      </c>
      <c r="EY2" s="47" t="s">
        <v>25</v>
      </c>
      <c r="EZ2" s="47" t="s">
        <v>26</v>
      </c>
      <c r="FA2" s="48" t="s">
        <v>27</v>
      </c>
      <c r="FC2" s="55" t="s">
        <v>70</v>
      </c>
      <c r="FD2" s="56" t="s">
        <v>71</v>
      </c>
      <c r="FE2" s="56" t="s">
        <v>72</v>
      </c>
      <c r="FF2" s="56" t="s">
        <v>73</v>
      </c>
      <c r="FG2" s="56" t="s">
        <v>74</v>
      </c>
      <c r="FH2" s="56" t="s">
        <v>75</v>
      </c>
      <c r="FI2" s="56" t="s">
        <v>76</v>
      </c>
      <c r="FJ2" s="56" t="s">
        <v>24</v>
      </c>
      <c r="FK2" s="56" t="s">
        <v>25</v>
      </c>
      <c r="FL2" s="56" t="s">
        <v>26</v>
      </c>
      <c r="FM2" s="57" t="s">
        <v>27</v>
      </c>
      <c r="FO2" s="58" t="s">
        <v>70</v>
      </c>
      <c r="FP2" s="59" t="s">
        <v>71</v>
      </c>
      <c r="FQ2" s="59" t="s">
        <v>72</v>
      </c>
      <c r="FR2" s="59" t="s">
        <v>73</v>
      </c>
      <c r="FS2" s="59" t="s">
        <v>74</v>
      </c>
      <c r="FT2" s="59" t="s">
        <v>75</v>
      </c>
      <c r="FU2" s="59" t="s">
        <v>76</v>
      </c>
      <c r="FV2" s="59" t="s">
        <v>24</v>
      </c>
      <c r="FW2" s="59" t="s">
        <v>25</v>
      </c>
      <c r="FX2" s="59" t="s">
        <v>26</v>
      </c>
      <c r="FY2" s="60" t="s">
        <v>27</v>
      </c>
      <c r="GA2" s="61" t="s">
        <v>70</v>
      </c>
      <c r="GB2" s="62" t="s">
        <v>71</v>
      </c>
      <c r="GC2" s="62" t="s">
        <v>72</v>
      </c>
      <c r="GD2" s="62" t="s">
        <v>73</v>
      </c>
      <c r="GE2" s="62" t="s">
        <v>74</v>
      </c>
      <c r="GF2" s="62" t="s">
        <v>75</v>
      </c>
      <c r="GG2" s="62" t="s">
        <v>76</v>
      </c>
      <c r="GH2" s="62" t="s">
        <v>24</v>
      </c>
      <c r="GI2" s="62" t="s">
        <v>25</v>
      </c>
      <c r="GJ2" s="62" t="s">
        <v>26</v>
      </c>
      <c r="GK2" s="63" t="s">
        <v>27</v>
      </c>
      <c r="GM2" s="64" t="s">
        <v>70</v>
      </c>
      <c r="GN2" s="65" t="s">
        <v>71</v>
      </c>
      <c r="GO2" s="65" t="s">
        <v>72</v>
      </c>
      <c r="GP2" s="65" t="s">
        <v>73</v>
      </c>
      <c r="GQ2" s="65" t="s">
        <v>74</v>
      </c>
      <c r="GR2" s="65" t="s">
        <v>75</v>
      </c>
      <c r="GS2" s="65" t="s">
        <v>76</v>
      </c>
      <c r="GT2" s="65" t="s">
        <v>24</v>
      </c>
      <c r="GU2" s="65" t="s">
        <v>25</v>
      </c>
      <c r="GV2" s="65" t="s">
        <v>26</v>
      </c>
      <c r="GW2" s="66" t="s">
        <v>27</v>
      </c>
      <c r="GY2" s="67" t="s">
        <v>70</v>
      </c>
      <c r="GZ2" s="68" t="s">
        <v>71</v>
      </c>
      <c r="HA2" s="68" t="s">
        <v>72</v>
      </c>
      <c r="HB2" s="68" t="s">
        <v>73</v>
      </c>
      <c r="HC2" s="68" t="s">
        <v>74</v>
      </c>
      <c r="HD2" s="68" t="s">
        <v>75</v>
      </c>
      <c r="HE2" s="68" t="s">
        <v>76</v>
      </c>
      <c r="HF2" s="68" t="s">
        <v>24</v>
      </c>
      <c r="HG2" s="68" t="s">
        <v>25</v>
      </c>
      <c r="HH2" s="68" t="s">
        <v>26</v>
      </c>
      <c r="HI2" s="69" t="s">
        <v>27</v>
      </c>
      <c r="HK2" s="70" t="s">
        <v>70</v>
      </c>
      <c r="HL2" s="71" t="s">
        <v>71</v>
      </c>
      <c r="HM2" s="71" t="s">
        <v>72</v>
      </c>
      <c r="HN2" s="71" t="s">
        <v>73</v>
      </c>
      <c r="HO2" s="71" t="s">
        <v>74</v>
      </c>
      <c r="HP2" s="71" t="s">
        <v>75</v>
      </c>
      <c r="HQ2" s="71" t="s">
        <v>76</v>
      </c>
      <c r="HR2" s="71" t="s">
        <v>24</v>
      </c>
      <c r="HS2" s="71" t="s">
        <v>25</v>
      </c>
      <c r="HT2" s="71" t="s">
        <v>26</v>
      </c>
      <c r="HU2" s="72" t="s">
        <v>27</v>
      </c>
      <c r="HW2" s="33" t="s">
        <v>70</v>
      </c>
      <c r="HX2" s="34" t="s">
        <v>71</v>
      </c>
      <c r="HY2" s="34" t="s">
        <v>72</v>
      </c>
      <c r="HZ2" s="34" t="s">
        <v>73</v>
      </c>
      <c r="IA2" s="34" t="s">
        <v>74</v>
      </c>
      <c r="IB2" s="34" t="s">
        <v>75</v>
      </c>
      <c r="IC2" s="34" t="s">
        <v>76</v>
      </c>
      <c r="ID2" s="34" t="s">
        <v>24</v>
      </c>
      <c r="IE2" s="34" t="s">
        <v>25</v>
      </c>
      <c r="IF2" s="34" t="s">
        <v>26</v>
      </c>
      <c r="IG2" s="35" t="s">
        <v>27</v>
      </c>
      <c r="II2" s="73" t="s">
        <v>70</v>
      </c>
      <c r="IJ2" s="74" t="s">
        <v>71</v>
      </c>
      <c r="IK2" s="74" t="s">
        <v>72</v>
      </c>
      <c r="IL2" s="74" t="s">
        <v>73</v>
      </c>
      <c r="IM2" s="74" t="s">
        <v>74</v>
      </c>
      <c r="IN2" s="74" t="s">
        <v>75</v>
      </c>
      <c r="IO2" s="74" t="s">
        <v>76</v>
      </c>
      <c r="IP2" s="74" t="s">
        <v>24</v>
      </c>
      <c r="IQ2" s="74" t="s">
        <v>25</v>
      </c>
      <c r="IR2" s="74" t="s">
        <v>26</v>
      </c>
      <c r="IS2" s="75" t="s">
        <v>27</v>
      </c>
      <c r="IU2" s="61" t="s">
        <v>70</v>
      </c>
      <c r="IV2" s="62" t="s">
        <v>71</v>
      </c>
      <c r="IW2" s="62" t="s">
        <v>72</v>
      </c>
      <c r="IX2" s="62" t="s">
        <v>73</v>
      </c>
      <c r="IY2" s="62" t="s">
        <v>74</v>
      </c>
      <c r="IZ2" s="62" t="s">
        <v>75</v>
      </c>
      <c r="JA2" s="62" t="s">
        <v>76</v>
      </c>
      <c r="JB2" s="62" t="s">
        <v>24</v>
      </c>
      <c r="JC2" s="62" t="s">
        <v>25</v>
      </c>
      <c r="JD2" s="62" t="s">
        <v>26</v>
      </c>
      <c r="JE2" s="63" t="s">
        <v>27</v>
      </c>
      <c r="JG2" s="27" t="s">
        <v>70</v>
      </c>
      <c r="JH2" s="28" t="s">
        <v>71</v>
      </c>
      <c r="JI2" s="28" t="s">
        <v>72</v>
      </c>
      <c r="JJ2" s="28" t="s">
        <v>73</v>
      </c>
      <c r="JK2" s="28" t="s">
        <v>74</v>
      </c>
      <c r="JL2" s="28" t="s">
        <v>75</v>
      </c>
      <c r="JM2" s="28" t="s">
        <v>76</v>
      </c>
      <c r="JN2" s="28" t="s">
        <v>24</v>
      </c>
      <c r="JO2" s="28" t="s">
        <v>25</v>
      </c>
      <c r="JP2" s="28" t="s">
        <v>26</v>
      </c>
      <c r="JQ2" s="29" t="s">
        <v>27</v>
      </c>
      <c r="JS2" s="24" t="s">
        <v>70</v>
      </c>
      <c r="JT2" s="25" t="s">
        <v>71</v>
      </c>
      <c r="JU2" s="25" t="s">
        <v>72</v>
      </c>
      <c r="JV2" s="25" t="s">
        <v>73</v>
      </c>
      <c r="JW2" s="25" t="s">
        <v>74</v>
      </c>
      <c r="JX2" s="25" t="s">
        <v>75</v>
      </c>
      <c r="JY2" s="25" t="s">
        <v>76</v>
      </c>
      <c r="JZ2" s="25" t="s">
        <v>24</v>
      </c>
      <c r="KA2" s="25" t="s">
        <v>25</v>
      </c>
      <c r="KB2" s="25" t="s">
        <v>26</v>
      </c>
      <c r="KC2" s="26" t="s">
        <v>27</v>
      </c>
      <c r="KE2" s="76"/>
      <c r="KF2" s="76"/>
      <c r="KG2" s="76"/>
      <c r="KH2" s="76"/>
      <c r="KI2" s="76"/>
      <c r="KJ2" s="76"/>
      <c r="KK2" s="76"/>
      <c r="KL2" s="76"/>
      <c r="KN2" s="16"/>
      <c r="KO2" s="76"/>
      <c r="KP2" s="76"/>
      <c r="KQ2" s="76"/>
      <c r="KR2" s="76"/>
      <c r="KS2" s="76"/>
      <c r="KT2" s="76"/>
      <c r="KU2" s="76"/>
      <c r="KV2" s="76"/>
      <c r="KW2" s="76"/>
    </row>
    <row r="3" spans="1:309" ht="23.25">
      <c r="A3" s="17">
        <v>1</v>
      </c>
      <c r="B3" s="186">
        <v>1</v>
      </c>
      <c r="C3" s="77" t="str">
        <f>Data!B2</f>
        <v xml:space="preserve">ABBA FIRA ALINGADTHER </v>
      </c>
      <c r="D3" s="87">
        <v>7</v>
      </c>
      <c r="E3" s="87">
        <v>8</v>
      </c>
      <c r="F3" s="87">
        <v>8</v>
      </c>
      <c r="G3" s="87">
        <v>8</v>
      </c>
      <c r="H3" s="88">
        <f>SUM(D3:G3)</f>
        <v>31</v>
      </c>
      <c r="I3" s="87">
        <v>27</v>
      </c>
      <c r="J3" s="88">
        <f>H3+I3</f>
        <v>58</v>
      </c>
      <c r="K3" s="79">
        <f>IF(J3&lt;10,"",RANK(J3,J$3:J$52))</f>
        <v>21</v>
      </c>
      <c r="L3" s="79" t="str">
        <f>IF(J3&gt;=75,"A1",IF(J3&gt;=70,"B2",IF(J3&gt;=65,"B3",IF(J3&gt;=60,"C4",IF(J3&gt;=55,"C5",IF(J3&gt;=50,"C6",IF(J3&gt;=45,"D7",IF(J3&gt;=40,"E8",IF(J3&gt;=6,"F",IF(J3&lt;5,""))))))))))</f>
        <v>C5</v>
      </c>
      <c r="M3" s="79" t="str">
        <f>IF(J3&gt;=75,"Excellent",IF(J3&gt;=70,"V.Good",IF(J3&gt;=65,"Good",IF(J3&gt;=60,"Credit",IF(J3&gt;=55,"Credit",IF(J3&gt;=50,"Credit",IF(J3&gt;=45,"Pass",IF(J3&gt;=40,"Pass",IF(J3&gt;=6,"Fail",IF(J3&lt;5,""))))))))))</f>
        <v>Credit</v>
      </c>
      <c r="N3" s="17">
        <v>1</v>
      </c>
      <c r="O3" s="77" t="str">
        <f>Data!B2</f>
        <v xml:space="preserve">ABBA FIRA ALINGADTHER </v>
      </c>
      <c r="P3" s="78"/>
      <c r="Q3" s="78"/>
      <c r="R3" s="78"/>
      <c r="S3" s="78"/>
      <c r="T3" s="80">
        <f>SUM(P3:S3)</f>
        <v>0</v>
      </c>
      <c r="U3" s="80"/>
      <c r="V3" s="80">
        <f>T3+U3</f>
        <v>0</v>
      </c>
      <c r="W3" s="80" t="str">
        <f>IF(V3&lt;10,"",RANK(V3,V$3:V$52))</f>
        <v/>
      </c>
      <c r="X3" s="80" t="str">
        <f>IF(V3&gt;=75,"A1",IF(V3&gt;=70,"B2",IF(V3&gt;=65,"B3",IF(V3&gt;=60,"C4",IF(V3&gt;=55,"C5",IF(V3&gt;=50,"C6",IF(V3&gt;=45,"D7",IF(V3&gt;=40,"E8",IF(V3&gt;=6,"F",IF(V3&lt;5,""))))))))))</f>
        <v/>
      </c>
      <c r="Y3" s="80" t="str">
        <f>IF(V3&gt;=75,"Excellent",IF(V3&gt;=70,"V.Good",IF(V3&gt;=65,"Good",IF(V3&gt;=60,"Credit",IF(V3&gt;=55,"Credit",IF(V3&gt;=50,"Credit",IF(V3&gt;=45,"Pass",IF(V3&gt;=40,"Pass",IF(V3&gt;=6,"Fail",IF(V3&lt;5,""))))))))))</f>
        <v/>
      </c>
      <c r="Z3" s="11">
        <v>1</v>
      </c>
      <c r="AA3" s="77" t="str">
        <f>Data!B2</f>
        <v xml:space="preserve">ABBA FIRA ALINGADTHER </v>
      </c>
      <c r="AB3" s="87">
        <v>7</v>
      </c>
      <c r="AC3" s="87">
        <v>8</v>
      </c>
      <c r="AD3" s="87">
        <v>8</v>
      </c>
      <c r="AE3" s="87">
        <v>8</v>
      </c>
      <c r="AF3" s="88">
        <f>SUM(AB3:AE3)</f>
        <v>31</v>
      </c>
      <c r="AG3" s="87">
        <v>27</v>
      </c>
      <c r="AH3" s="88">
        <f>AF3+AG3</f>
        <v>58</v>
      </c>
      <c r="AI3" s="82">
        <f>IF(AH3&lt;10,"",RANK(AH3,AH$3:AH$52))</f>
        <v>21</v>
      </c>
      <c r="AJ3" s="82" t="str">
        <f>IF(AH3&gt;=75,"A1",IF(AH3&gt;=70,"B2",IF(AH3&gt;=65,"B3",IF(AH3&gt;=60,"C4",IF(AH3&gt;=55,"C5",IF(AH3&gt;=50,"C6",IF(AH3&gt;=45,"D7",IF(AH3&gt;=40,"E8",IF(AH3&gt;=6,"F",IF(AH3&lt;5,""))))))))))</f>
        <v>C5</v>
      </c>
      <c r="AK3" s="82" t="str">
        <f>IF(AH3&gt;=75,"Excellent",IF(AH3&gt;=70,"V.Good",IF(AH3&gt;=65,"Good",IF(AH3&gt;=60,"Credit",IF(AH3&gt;=55,"Credit",IF(AH3&gt;=50,"Credit",IF(AH3&gt;=45,"Pass",IF(AH3&gt;=40,"Pass",IF(AH3&gt;=6,"Fail",IF(AH3&lt;5,""))))))))))</f>
        <v>Credit</v>
      </c>
      <c r="AL3" s="11">
        <v>1</v>
      </c>
      <c r="AM3" s="77" t="str">
        <f>Data!B2</f>
        <v xml:space="preserve">ABBA FIRA ALINGADTHER </v>
      </c>
      <c r="AN3" s="87">
        <v>7</v>
      </c>
      <c r="AO3" s="87">
        <v>8</v>
      </c>
      <c r="AP3" s="87">
        <v>8</v>
      </c>
      <c r="AQ3" s="87">
        <v>8</v>
      </c>
      <c r="AR3" s="88">
        <f>SUM(AN3:AQ3)</f>
        <v>31</v>
      </c>
      <c r="AS3" s="87">
        <v>27</v>
      </c>
      <c r="AT3" s="88">
        <f>AR3+AS3</f>
        <v>58</v>
      </c>
      <c r="AU3" s="83">
        <f>IF(AT3&lt;10,"",RANK(AT3,AT$3:AT$52))</f>
        <v>21</v>
      </c>
      <c r="AV3" s="83" t="str">
        <f>IF(AT3&gt;=75,"A1",IF(AT3&gt;=70,"B2",IF(AT3&gt;=65,"B3",IF(AT3&gt;=60,"C4",IF(AT3&gt;=55,"C5",IF(AT3&gt;=50,"C6",IF(AT3&gt;=45,"D7",IF(AT3&gt;=40,"E8",IF(AT3&gt;=6,"F",IF(AT3&lt;5,""))))))))))</f>
        <v>C5</v>
      </c>
      <c r="AW3" s="83" t="str">
        <f>IF(AT3&gt;=75,"Excellent",IF(AT3&gt;=70,"V.Good",IF(AT3&gt;=65,"Good",IF(AT3&gt;=60,"Credit",IF(AT3&gt;=55,"Credit",IF(AT3&gt;=50,"Credit",IF(AT3&gt;=45,"Pass",IF(AT3&gt;=40,"Pass",IF(AT3&gt;=6,"Fail",IF(AT3&lt;5,""))))))))))</f>
        <v>Credit</v>
      </c>
      <c r="AX3" s="11">
        <v>1</v>
      </c>
      <c r="AY3" s="77" t="str">
        <f>Data!B2</f>
        <v xml:space="preserve">ABBA FIRA ALINGADTHER </v>
      </c>
      <c r="AZ3" s="87">
        <v>7</v>
      </c>
      <c r="BA3" s="87">
        <v>8</v>
      </c>
      <c r="BB3" s="87">
        <v>8</v>
      </c>
      <c r="BC3" s="87">
        <v>8</v>
      </c>
      <c r="BD3" s="88">
        <f>SUM(AZ3:BC3)</f>
        <v>31</v>
      </c>
      <c r="BE3" s="87">
        <v>27</v>
      </c>
      <c r="BF3" s="88">
        <f>BD3+BE3</f>
        <v>58</v>
      </c>
      <c r="BG3" s="85">
        <f>IF(BF3&lt;10,"",RANK(BF3,BF$3:BF$52))</f>
        <v>21</v>
      </c>
      <c r="BH3" s="85" t="str">
        <f>IF(BF3&gt;=75,"A1",IF(BF3&gt;=70,"B2",IF(BF3&gt;=65,"B3",IF(BF3&gt;=60,"C4",IF(BF3&gt;=55,"C5",IF(BF3&gt;=50,"C6",IF(BF3&gt;=45,"D7",IF(BF3&gt;=40,"E8",IF(BF3&gt;=6,"F",IF(BF3&lt;5,""))))))))))</f>
        <v>C5</v>
      </c>
      <c r="BI3" s="85" t="str">
        <f>IF(BF3&gt;=75,"Excellent",IF(BF3&gt;=70,"V.Good",IF(BF3&gt;=65,"Good",IF(BF3&gt;=60,"Credit",IF(BF3&gt;=55,"Credit",IF(BF3&gt;=50,"Credit",IF(BF3&gt;=45,"Pass",IF(BF3&gt;=40,"Pass",IF(BF3&gt;=6,"Fail",IF(BF3&lt;5,""))))))))))</f>
        <v>Credit</v>
      </c>
      <c r="BJ3" s="36">
        <v>1</v>
      </c>
      <c r="BK3" s="77" t="str">
        <f>Data!B2</f>
        <v xml:space="preserve">ABBA FIRA ALINGADTHER </v>
      </c>
      <c r="BL3" s="87">
        <v>7</v>
      </c>
      <c r="BM3" s="87">
        <v>8</v>
      </c>
      <c r="BN3" s="87">
        <v>8</v>
      </c>
      <c r="BO3" s="87">
        <v>8</v>
      </c>
      <c r="BP3" s="88">
        <f>SUM(BL3:BO3)</f>
        <v>31</v>
      </c>
      <c r="BQ3" s="87">
        <v>27</v>
      </c>
      <c r="BR3" s="88">
        <f>BP3+BQ3</f>
        <v>58</v>
      </c>
      <c r="BS3" s="86">
        <f>IF(BR3&lt;10,"",RANK(BR3,BR$3:BR$52))</f>
        <v>21</v>
      </c>
      <c r="BT3" s="86" t="str">
        <f>IF(BR3&gt;=75,"A1",IF(BR3&gt;=70,"B2",IF(BR3&gt;=65,"B3",IF(BR3&gt;=60,"C4",IF(BR3&gt;=55,"C5",IF(BR3&gt;=50,"C6",IF(BR3&gt;=45,"D7",IF(BR3&gt;=40,"E8",IF(BR3&gt;=6,"F",IF(BR3&lt;5,""))))))))))</f>
        <v>C5</v>
      </c>
      <c r="BU3" s="86" t="str">
        <f>IF(BR3&gt;=75,"Excellent",IF(BR3&gt;=70,"V.Good",IF(BR3&gt;=65,"Good",IF(BR3&gt;=60,"Credit",IF(BR3&gt;=55,"Credit",IF(BR3&gt;=50,"Credit",IF(BR3&gt;=45,"Pass",IF(BR3&gt;=40,"Pass",IF(BR3&gt;=6,"Fail",IF(BR3&lt;5,""))))))))))</f>
        <v>Credit</v>
      </c>
      <c r="BV3">
        <v>1</v>
      </c>
      <c r="BW3" s="77" t="str">
        <f>Data!B2</f>
        <v xml:space="preserve">ABBA FIRA ALINGADTHER </v>
      </c>
      <c r="BX3" s="87">
        <v>7</v>
      </c>
      <c r="BY3" s="87">
        <v>8</v>
      </c>
      <c r="BZ3" s="87">
        <v>8</v>
      </c>
      <c r="CA3" s="87">
        <v>8</v>
      </c>
      <c r="CB3" s="88">
        <f>SUM(BX3:CA3)</f>
        <v>31</v>
      </c>
      <c r="CC3" s="87">
        <v>27</v>
      </c>
      <c r="CD3" s="88">
        <f>CB3+CC3</f>
        <v>58</v>
      </c>
      <c r="CE3" s="88">
        <f>IF(CD3&lt;10,"",RANK(CD3,CD$3:CD$52))</f>
        <v>21</v>
      </c>
      <c r="CF3" s="88" t="str">
        <f>IF(CD3&gt;=75,"A1",IF(CD3&gt;=70,"B2",IF(CD3&gt;=65,"B3",IF(CD3&gt;=60,"C4",IF(CD3&gt;=55,"C5",IF(CD3&gt;=50,"C6",IF(CD3&gt;=45,"D7",IF(CD3&gt;=40,"E8",IF(CD3&gt;=6,"F",IF(CD3&lt;5,""))))))))))</f>
        <v>C5</v>
      </c>
      <c r="CG3" s="88" t="str">
        <f>IF(CD3&gt;=75,"Excellent",IF(CD3&gt;=70,"V.Good",IF(CD3&gt;=65,"Good",IF(CD3&gt;=60,"Credit",IF(CD3&gt;=55,"Credit",IF(CD3&gt;=50,"Credit",IF(CD3&gt;=45,"Pass",IF(CD3&gt;=40,"Pass",IF(CD3&gt;=6,"Fail",IF(CD3&lt;5,""))))))))))</f>
        <v>Credit</v>
      </c>
      <c r="CH3">
        <v>1</v>
      </c>
      <c r="CI3" s="77" t="str">
        <f>Data!B2</f>
        <v xml:space="preserve">ABBA FIRA ALINGADTHER </v>
      </c>
      <c r="CJ3" s="78"/>
      <c r="CK3" s="78"/>
      <c r="CL3" s="78"/>
      <c r="CM3" s="78"/>
      <c r="CN3" s="89">
        <f>SUM(CJ3:CM3)</f>
        <v>0</v>
      </c>
      <c r="CO3" s="89"/>
      <c r="CP3" s="89">
        <f>CN3+CO3</f>
        <v>0</v>
      </c>
      <c r="CQ3" s="89" t="str">
        <f>IF(CP3&lt;10,"",RANK(CP3,CP$3:CP$52))</f>
        <v/>
      </c>
      <c r="CR3" s="89" t="str">
        <f>IF(CP3&gt;=75,"A1",IF(CP3&gt;=70,"B2",IF(CP3&gt;=65,"B3",IF(CP3&gt;=60,"C4",IF(CP3&gt;=55,"C5",IF(CP3&gt;=50,"C6",IF(CP3&gt;=45,"D7",IF(CP3&gt;=40,"E8",IF(CP3&gt;=6,"F",IF(CP3&lt;5,""))))))))))</f>
        <v/>
      </c>
      <c r="CS3" s="89" t="str">
        <f>IF(CP3&gt;=75,"Excellent",IF(CP3&gt;=70,"V.Good",IF(CP3&gt;=65,"Good",IF(CP3&gt;=60,"Credit",IF(CP3&gt;=55,"Credit",IF(CP3&gt;=50,"Credit",IF(CP3&gt;=45,"Pass",IF(CP3&gt;=40,"Pass",IF(CP3&gt;=6,"Fail",IF(CP3&lt;5,""))))))))))</f>
        <v/>
      </c>
      <c r="CT3">
        <v>1</v>
      </c>
      <c r="CU3" s="77" t="str">
        <f>Data!B2</f>
        <v xml:space="preserve">ABBA FIRA ALINGADTHER </v>
      </c>
      <c r="CV3" s="12"/>
      <c r="CW3" s="12"/>
      <c r="CX3" s="12"/>
      <c r="CY3" s="12"/>
      <c r="CZ3" s="90">
        <f>SUM(CV3:CY3)</f>
        <v>0</v>
      </c>
      <c r="DA3" s="12"/>
      <c r="DB3" s="90">
        <f>CZ3+DA3</f>
        <v>0</v>
      </c>
      <c r="DC3" s="90" t="str">
        <f>IF(DB3&lt;10,"",RANK(DB3,DB$3:DB$52))</f>
        <v/>
      </c>
      <c r="DD3" s="90" t="str">
        <f>IF(DB3&gt;=75,"A1",IF(DB3&gt;=70,"B2",IF(DB3&gt;=65,"B3",IF(DB3&gt;=60,"C4",IF(DB3&gt;=55,"C5",IF(DB3&gt;=50,"C6",IF(DB3&gt;=45,"D7",IF(DB3&gt;=40,"E8",IF(DB3&gt;=6,"F",IF(DB3&lt;5,""))))))))))</f>
        <v/>
      </c>
      <c r="DE3" s="90" t="str">
        <f>IF(DB3&gt;=75,"Excellent",IF(DB3&gt;=70,"V.Good",IF(DB3&gt;=65,"Good",IF(DB3&gt;=60,"Credit",IF(DB3&gt;=55,"Credit",IF(DB3&gt;=50,"Credit",IF(DB3&gt;=45,"Pass",IF(DB3&gt;=40,"Pass",IF(DB3&gt;=6,"Fail",IF(DB3&lt;5,""))))))))))</f>
        <v/>
      </c>
      <c r="DF3">
        <v>1</v>
      </c>
      <c r="DG3" s="77" t="str">
        <f>Data!B2</f>
        <v xml:space="preserve">ABBA FIRA ALINGADTHER </v>
      </c>
      <c r="DH3" s="78">
        <v>7</v>
      </c>
      <c r="DI3" s="78">
        <v>3</v>
      </c>
      <c r="DJ3" s="78">
        <v>2</v>
      </c>
      <c r="DK3" s="78">
        <v>5</v>
      </c>
      <c r="DL3" s="85">
        <f>SUM(DH3:DK3)</f>
        <v>17</v>
      </c>
      <c r="DM3" s="84">
        <v>19</v>
      </c>
      <c r="DN3" s="85">
        <f>DL3+DM3</f>
        <v>36</v>
      </c>
      <c r="DO3" s="85">
        <f>IF(DN3&lt;10,"",RANK(DN3,DN$3:DN$52))</f>
        <v>6</v>
      </c>
      <c r="DP3" s="85" t="str">
        <f>IF(DN3&gt;=75,"A1",IF(DN3&gt;=70,"B2",IF(DN3&gt;=65,"B3",IF(DN3&gt;=60,"C4",IF(DN3&gt;=55,"C5",IF(DN3&gt;=50,"C6",IF(DN3&gt;=45,"D7",IF(DN3&gt;=40,"E8",IF(DN3&gt;=6,"F",IF(DN3&lt;5,""))))))))))</f>
        <v>F</v>
      </c>
      <c r="DQ3" s="85" t="str">
        <f>IF(DN3&gt;=75,"Excellent",IF(DN3&gt;=70,"V.Good",IF(DN3&gt;=65,"Good",IF(DN3&gt;=60,"Credit",IF(DN3&gt;=55,"Credit",IF(DN3&gt;=50,"Credit",IF(DN3&gt;=45,"Pass",IF(DN3&gt;=40,"Pass",IF(DN3&gt;=6,"Fail",IF(DN3&lt;5,""))))))))))</f>
        <v>Fail</v>
      </c>
      <c r="DR3">
        <v>1</v>
      </c>
      <c r="DS3" s="77" t="str">
        <f>Data!B2</f>
        <v xml:space="preserve">ABBA FIRA ALINGADTHER </v>
      </c>
      <c r="DT3" s="91"/>
      <c r="DU3" s="91"/>
      <c r="DV3" s="91"/>
      <c r="DW3" s="91"/>
      <c r="DX3" s="92">
        <f>SUM(DT3:DW3)</f>
        <v>0</v>
      </c>
      <c r="DY3" s="93"/>
      <c r="DZ3" s="92">
        <f>DX3+DY3</f>
        <v>0</v>
      </c>
      <c r="EA3" s="92" t="str">
        <f>IF(DZ3&lt;10,"",RANK(DZ3,DZ$3:DZ$52))</f>
        <v/>
      </c>
      <c r="EB3" s="92" t="str">
        <f>IF(DZ3&gt;=75,"A1",IF(DZ3&gt;=70,"B2",IF(DZ3&gt;=65,"B3",IF(DZ3&gt;=60,"C4",IF(DZ3&gt;=55,"C5",IF(DZ3&gt;=50,"C6",IF(DZ3&gt;=45,"D7",IF(DZ3&gt;=40,"E8",IF(DZ3&gt;=6,"F",IF(DZ3&lt;5,""))))))))))</f>
        <v/>
      </c>
      <c r="EC3" s="92" t="str">
        <f>IF(DZ3&gt;=75,"Excellent",IF(DZ3&gt;=70,"V.Good",IF(DZ3&gt;=65,"Good",IF(DZ3&gt;=60,"Credit",IF(DZ3&gt;=55,"Credit",IF(DZ3&gt;=50,"Credit",IF(DZ3&gt;=45,"Pass",IF(DZ3&gt;=40,"Pass",IF(DZ3&gt;=6,"Fail",IF(DZ3&lt;5,""))))))))))</f>
        <v/>
      </c>
      <c r="ED3">
        <v>1</v>
      </c>
      <c r="EE3" s="77" t="str">
        <f>Data!B2</f>
        <v xml:space="preserve">ABBA FIRA ALINGADTHER </v>
      </c>
      <c r="EF3" s="78"/>
      <c r="EG3" s="78"/>
      <c r="EH3" s="78"/>
      <c r="EI3" s="78"/>
      <c r="EJ3" s="94">
        <f>SUM(EF3:EI3)</f>
        <v>0</v>
      </c>
      <c r="EK3" s="94"/>
      <c r="EL3" s="94">
        <f>EJ3+EK3</f>
        <v>0</v>
      </c>
      <c r="EM3" s="94" t="str">
        <f>IF(EL3&lt;10,"",RANK(EL3,EL$3:EL$52))</f>
        <v/>
      </c>
      <c r="EN3" s="94" t="str">
        <f>IF(EL3&gt;=75,"A1",IF(EL3&gt;=70,"B2",IF(EL3&gt;=65,"B3",IF(EL3&gt;=60,"C4",IF(EL3&gt;=55,"C5",IF(EL3&gt;=50,"C6",IF(EL3&gt;=45,"D7",IF(EL3&gt;=40,"E8",IF(EL3&gt;=6,"F",IF(EL3&lt;5,""))))))))))</f>
        <v/>
      </c>
      <c r="EO3" s="94" t="str">
        <f>IF(EL3&gt;=75,"Excellent",IF(EL3&gt;=70,"V.Good",IF(EL3&gt;=65,"Good",IF(EL3&gt;=60,"Credit",IF(EL3&gt;=55,"Credit",IF(EL3&gt;=50,"Credit",IF(EL3&gt;=45,"Pass",IF(EL3&gt;=40,"Pass",IF(EL3&gt;=6,"Fail",IF(EL3&lt;5,""))))))))))</f>
        <v/>
      </c>
      <c r="EP3">
        <v>1</v>
      </c>
      <c r="EQ3" s="95" t="str">
        <f>Data!B2</f>
        <v xml:space="preserve">ABBA FIRA ALINGADTHER </v>
      </c>
      <c r="ER3" s="78"/>
      <c r="ES3" s="78"/>
      <c r="ET3" s="78"/>
      <c r="EU3" s="78"/>
      <c r="EV3" s="90">
        <f>SUM(ER3:EU3)</f>
        <v>0</v>
      </c>
      <c r="EW3" s="90"/>
      <c r="EX3" s="90">
        <f>EV3+EW3</f>
        <v>0</v>
      </c>
      <c r="EY3" s="90" t="str">
        <f>IF(EX3&lt;10,"",RANK(EX3,EX$3:EX$52))</f>
        <v/>
      </c>
      <c r="EZ3" s="90" t="str">
        <f>IF(EX3&gt;=75,"A1",IF(EX3&gt;=70,"B2",IF(EX3&gt;=65,"B3",IF(EX3&gt;=60,"C4",IF(EX3&gt;=55,"C5",IF(EX3&gt;=50,"C6",IF(EX3&gt;=45,"D7",IF(EX3&gt;=40,"E8",IF(EX3&gt;=6,"F",IF(EX3&lt;5,""))))))))))</f>
        <v/>
      </c>
      <c r="FA3" s="90" t="str">
        <f>IF(EX3&gt;=75,"Excellent",IF(EX3&gt;=70,"V.Good",IF(EX3&gt;=65,"Good",IF(EX3&gt;=60,"Credit",IF(EX3&gt;=55,"Credit",IF(EX3&gt;=50,"Credit",IF(EX3&gt;=45,"Pass",IF(EX3&gt;=40,"Pass",IF(EX3&gt;=6,"Fail",IF(EX3&lt;5,""))))))))))</f>
        <v/>
      </c>
      <c r="FB3">
        <v>1</v>
      </c>
      <c r="FC3" s="77" t="str">
        <f>Data!B2</f>
        <v xml:space="preserve">ABBA FIRA ALINGADTHER </v>
      </c>
      <c r="FD3" s="78"/>
      <c r="FE3" s="78"/>
      <c r="FF3" s="78"/>
      <c r="FG3" s="78"/>
      <c r="FH3" s="96">
        <f>SUM(FD3:FG3)</f>
        <v>0</v>
      </c>
      <c r="FI3" s="96"/>
      <c r="FJ3" s="96">
        <f>FH3+FI3</f>
        <v>0</v>
      </c>
      <c r="FK3" s="96" t="str">
        <f>IF(FJ3&lt;10,"",RANK(FJ3,FJ$3:FJ$52))</f>
        <v/>
      </c>
      <c r="FL3" s="96" t="str">
        <f>IF(FJ3&gt;=75,"A",IF(FJ3&gt;=70,"B2",IF(FJ3&gt;=50,"C",IF(FJ3&gt;=45,"D",IF(FJ3&gt;=40,"E",IF(FJ3&gt;=6,"F",IF(FJ3&lt;5,"")))))))</f>
        <v/>
      </c>
      <c r="FM3" s="96" t="str">
        <f>IF(FJ3&gt;=75,"Excellent",IF(FJ3&gt;=70,"V.Good",IF(FJ3&gt;=65,"Good",IF(FJ3&gt;=60,"Credit",IF(FJ3&gt;=55,"Credit",IF(FJ3&gt;=50,"Credit",IF(FJ3&gt;=45,"Pass",IF(FJ3&gt;=40,"Pass",IF(FJ3&gt;=6,"Fail",IF(FJ3&lt;5,""))))))))))</f>
        <v/>
      </c>
      <c r="FN3">
        <v>1</v>
      </c>
      <c r="FO3" s="77" t="str">
        <f>Data!B2</f>
        <v xml:space="preserve">ABBA FIRA ALINGADTHER </v>
      </c>
      <c r="FP3" s="78"/>
      <c r="FQ3" s="78"/>
      <c r="FR3" s="78"/>
      <c r="FS3" s="78"/>
      <c r="FT3" s="97">
        <f>SUM(FP3:FS3)</f>
        <v>0</v>
      </c>
      <c r="FU3" s="97"/>
      <c r="FV3" s="97">
        <f>FT3+FU3</f>
        <v>0</v>
      </c>
      <c r="FW3" s="97" t="str">
        <f>IF(FV3&lt;10,"",RANK(FV3,FV$3:FV$52))</f>
        <v/>
      </c>
      <c r="FX3" s="97" t="str">
        <f>IF(FV3&gt;=75,"A",IF(FV3&gt;=70,"B2",IF(FV3&gt;=50,"C",IF(FV3&gt;=45,"D",IF(FV3&gt;=40,"E",IF(FV3&gt;=6,"F",IF(FV3&lt;5,"")))))))</f>
        <v/>
      </c>
      <c r="FY3" s="97" t="str">
        <f>IF(FV3&gt;=75,"Excellent",IF(FV3&gt;=70,"V.Good",IF(FV3&gt;=65,"Good",IF(FV3&gt;=60,"Credit",IF(FV3&gt;=55,"Credit",IF(FV3&gt;=50,"Credit",IF(FV3&gt;=45,"Pass",IF(FV3&gt;=40,"Pass",IF(FV3&gt;=6,"Fail",IF(FV3&lt;5,""))))))))))</f>
        <v/>
      </c>
      <c r="FZ3">
        <v>1</v>
      </c>
      <c r="GA3" s="77" t="str">
        <f>Data!B2</f>
        <v xml:space="preserve">ABBA FIRA ALINGADTHER </v>
      </c>
      <c r="GB3" s="78"/>
      <c r="GC3" s="78"/>
      <c r="GD3" s="78"/>
      <c r="GE3" s="78"/>
      <c r="GF3" s="98">
        <f>SUM(GB3:GE3)</f>
        <v>0</v>
      </c>
      <c r="GG3" s="98"/>
      <c r="GH3" s="98">
        <f>GF3+GG3</f>
        <v>0</v>
      </c>
      <c r="GI3" s="98" t="str">
        <f>IF(GH3&lt;10,"",RANK(GH3,GH$3:GH$52))</f>
        <v/>
      </c>
      <c r="GJ3" s="98" t="str">
        <f>IF(GH3&gt;=75,"A",IF(GH3&gt;=70,"B2",IF(GH3&gt;=50,"C",IF(GH3&gt;=45,"D",IF(GH3&gt;=40,"E",IF(GH3&gt;=6,"F",IF(GH3&lt;5,"")))))))</f>
        <v/>
      </c>
      <c r="GK3" s="98" t="str">
        <f>IF(GH3&gt;=75,"Excellent",IF(GH3&gt;=70,"V.Good",IF(GH3&gt;=65,"Good",IF(GH3&gt;=60,"Credit",IF(GH3&gt;=55,"Credit",IF(GH3&gt;=50,"Credit",IF(GH3&gt;=45,"Pass",IF(GH3&gt;=40,"Pass",IF(GH3&gt;=6,"Fail",IF(GH3&lt;5,""))))))))))</f>
        <v/>
      </c>
      <c r="GL3">
        <v>1</v>
      </c>
      <c r="GM3" s="77" t="str">
        <f>Data!B2</f>
        <v xml:space="preserve">ABBA FIRA ALINGADTHER </v>
      </c>
      <c r="GN3" s="99"/>
      <c r="GO3" s="99"/>
      <c r="GP3" s="99"/>
      <c r="GQ3" s="99"/>
      <c r="GR3" s="100">
        <f>SUM(GN3:GQ3)</f>
        <v>0</v>
      </c>
      <c r="GS3" s="99"/>
      <c r="GT3" s="100">
        <f>GR3+GS3</f>
        <v>0</v>
      </c>
      <c r="GU3" s="100" t="str">
        <f>IF(GT3&lt;10,"",RANK(GT3,GT$3:GT$52))</f>
        <v/>
      </c>
      <c r="GV3" s="100" t="str">
        <f>IF(GT3&gt;=75,"A",IF(GT3&gt;=70,"B2",IF(GT3&gt;=50,"C",IF(GT3&gt;=45,"D",IF(GT3&gt;=40,"E",IF(GT3&gt;=6,"F",IF(GT3&lt;5,"")))))))</f>
        <v/>
      </c>
      <c r="GW3" s="100" t="str">
        <f>IF(GT3&gt;=75,"Excellent",IF(GT3&gt;=70,"V.Good",IF(GT3&gt;=65,"Good",IF(GT3&gt;=60,"Credit",IF(GT3&gt;=55,"Credit",IF(GT3&gt;=50,"Credit",IF(GT3&gt;=45,"Pass",IF(GT3&gt;=40,"Pass",IF(GT3&gt;=6,"Fail",IF(GT3&lt;5,""))))))))))</f>
        <v/>
      </c>
      <c r="GX3">
        <v>1</v>
      </c>
      <c r="GY3" s="77" t="str">
        <f>Data!B2</f>
        <v xml:space="preserve">ABBA FIRA ALINGADTHER </v>
      </c>
      <c r="GZ3" s="78"/>
      <c r="HA3" s="78"/>
      <c r="HB3" s="78"/>
      <c r="HC3" s="78"/>
      <c r="HD3" s="86">
        <f>SUM(GZ3:HC3)</f>
        <v>0</v>
      </c>
      <c r="HE3" s="86"/>
      <c r="HF3" s="86">
        <f>HD3+HE3</f>
        <v>0</v>
      </c>
      <c r="HG3" s="86" t="str">
        <f>IF(HF3&lt;10,"",RANK(HF3,HF$3:HF$52))</f>
        <v/>
      </c>
      <c r="HH3" s="86" t="str">
        <f>IF(HF3&gt;=75,"A",IF(HF3&gt;=70,"B2",IF(HF3&gt;=50,"C",IF(HF3&gt;=45,"D",IF(HF3&gt;=40,"E",IF(HF3&gt;=6,"F",IF(HF3&lt;5,"")))))))</f>
        <v/>
      </c>
      <c r="HI3" s="86" t="str">
        <f>IF(HF3&gt;=75,"Excellent",IF(HF3&gt;=70,"V.Good",IF(HF3&gt;=65,"Good",IF(HF3&gt;=60,"Credit",IF(HF3&gt;=55,"Credit",IF(HF3&gt;=50,"Credit",IF(HF3&gt;=45,"Pass",IF(HF3&gt;=40,"Pass",IF(HF3&gt;=6,"Fail",IF(HF3&lt;5,""))))))))))</f>
        <v/>
      </c>
      <c r="HJ3">
        <v>1</v>
      </c>
      <c r="HK3" s="77" t="str">
        <f>Data!B2</f>
        <v xml:space="preserve">ABBA FIRA ALINGADTHER </v>
      </c>
      <c r="HL3" s="101"/>
      <c r="HM3" s="102"/>
      <c r="HN3" s="102"/>
      <c r="HO3" s="102"/>
      <c r="HP3" s="103">
        <f>SUM(HL3:HO3)</f>
        <v>0</v>
      </c>
      <c r="HQ3" s="101"/>
      <c r="HR3" s="103">
        <f>HP3+HQ3</f>
        <v>0</v>
      </c>
      <c r="HS3" s="103" t="str">
        <f>IF(HR3&lt;10,"",RANK(HR3,HR$3:HR$52))</f>
        <v/>
      </c>
      <c r="HT3" s="103" t="str">
        <f>IF(HR3&gt;=75,"A",IF(HR3&gt;=70,"B2",IF(HR3&gt;=50,"C",IF(HR3&gt;=45,"D",IF(HR3&gt;=40,"E",IF(HR3&gt;=6,"F",IF(HR3&lt;5,"")))))))</f>
        <v/>
      </c>
      <c r="HU3" s="103" t="str">
        <f>IF(HR3&gt;=75,"Excellent",IF(HR3&gt;=70,"V.Good",IF(HR3&gt;=65,"Good",IF(HR3&gt;=60,"Credit",IF(HR3&gt;=55,"Credit",IF(HR3&gt;=50,"Credit",IF(HR3&gt;=45,"Pass",IF(HR3&gt;=40,"Pass",IF(HR3&gt;=6,"Fail",IF(HR3&lt;5,""))))))))))</f>
        <v/>
      </c>
      <c r="HV3">
        <v>1</v>
      </c>
      <c r="HW3" s="77" t="str">
        <f>Data!B2</f>
        <v xml:space="preserve">ABBA FIRA ALINGADTHER </v>
      </c>
      <c r="HX3" s="78"/>
      <c r="HY3" s="78"/>
      <c r="HZ3" s="78"/>
      <c r="IA3" s="78"/>
      <c r="IB3" s="85">
        <f>SUM(HX3:IA3)</f>
        <v>0</v>
      </c>
      <c r="IC3" s="85"/>
      <c r="ID3" s="85">
        <f>IB3+IC3</f>
        <v>0</v>
      </c>
      <c r="IE3" s="85" t="str">
        <f>IF(ID3&lt;10,"",RANK(ID3,ID$3:ID$52))</f>
        <v/>
      </c>
      <c r="IF3" s="85" t="str">
        <f>IF(ID3&gt;=75,"A",IF(ID3&gt;=70,"B2",IF(ID3&gt;=50,"C",IF(ID3&gt;=45,"D",IF(ID3&gt;=40,"E",IF(ID3&gt;=6,"F",IF(ID3&lt;5,"")))))))</f>
        <v/>
      </c>
      <c r="IG3" s="85" t="str">
        <f>IF(ID3&gt;=75,"Excellent",IF(ID3&gt;=70,"V.Good",IF(ID3&gt;=65,"Good",IF(ID3&gt;=60,"Credit",IF(ID3&gt;=55,"Credit",IF(ID3&gt;=50,"Credit",IF(ID3&gt;=45,"Pass",IF(ID3&gt;=40,"Pass",IF(ID3&gt;=6,"Fail",IF(ID3&lt;5,""))))))))))</f>
        <v/>
      </c>
      <c r="IH3">
        <v>1</v>
      </c>
      <c r="II3" s="77" t="str">
        <f>Data!B2</f>
        <v xml:space="preserve">ABBA FIRA ALINGADTHER </v>
      </c>
      <c r="IJ3" s="78"/>
      <c r="IK3" s="78"/>
      <c r="IL3" s="78"/>
      <c r="IM3" s="78"/>
      <c r="IN3" s="104">
        <f>SUM(IJ3:IM3)</f>
        <v>0</v>
      </c>
      <c r="IO3" s="104"/>
      <c r="IP3" s="104">
        <f>IN3+IO3</f>
        <v>0</v>
      </c>
      <c r="IQ3" s="104" t="str">
        <f>IF(IP3&lt;10,"",RANK(IP3,IP$3:IP$52))</f>
        <v/>
      </c>
      <c r="IR3" s="104" t="str">
        <f>IF(IP3&gt;=75,"A",IF(IP3&gt;=70,"B2",IF(IP3&gt;=50,"C",IF(IP3&gt;=45,"D",IF(IP3&gt;=40,"E",IF(IP3&gt;=6,"F",IF(IP3&lt;5,"")))))))</f>
        <v/>
      </c>
      <c r="IS3" s="104" t="str">
        <f>IF(IP3&gt;=75,"Excellent",IF(IP3&gt;=70,"V.Good",IF(IP3&gt;=65,"Good",IF(IP3&gt;=60,"Credit",IF(IP3&gt;=55,"Credit",IF(IP3&gt;=50,"Credit",IF(IP3&gt;=45,"Pass",IF(IP3&gt;=40,"Pass",IF(IP3&gt;=6,"Fail",IF(IP3&lt;5,""))))))))))</f>
        <v/>
      </c>
      <c r="IT3">
        <v>1</v>
      </c>
      <c r="IU3" s="77" t="str">
        <f>II3</f>
        <v xml:space="preserve">ABBA FIRA ALINGADTHER </v>
      </c>
      <c r="IV3" s="105"/>
      <c r="IW3" s="105"/>
      <c r="IX3" s="105"/>
      <c r="IY3" s="105"/>
      <c r="IZ3" s="98">
        <f>SUM(IV3:IY3)</f>
        <v>0</v>
      </c>
      <c r="JA3" s="105"/>
      <c r="JB3" s="98">
        <f>IZ3+JA3</f>
        <v>0</v>
      </c>
      <c r="JC3" s="98" t="str">
        <f>IF(JB3&lt;10,"",RANK(JB3,JB$3:JB$52))</f>
        <v/>
      </c>
      <c r="JD3" s="98" t="str">
        <f>IF(JB3&gt;=75,"A",IF(JB3&gt;=70,"B2",IF(JB3&gt;=50,"C",IF(JB3&gt;=45,"D",IF(JB3&gt;=40,"E",IF(JB3&gt;=6,"F",IF(JB3&lt;5,"")))))))</f>
        <v/>
      </c>
      <c r="JE3" s="98" t="str">
        <f>IF(JB3&gt;=75,"Excellent",IF(JB3&gt;=70,"V.Good",IF(JB3&gt;=65,"Good",IF(JB3&gt;=60,"Credit",IF(JB3&gt;=55,"Credit",IF(JB3&gt;=50,"Credit",IF(JB3&gt;=45,"Pass",IF(JB3&gt;=40,"Pass",IF(JB3&gt;=6,"Fail",IF(JB3&lt;5,""))))))))))</f>
        <v/>
      </c>
      <c r="JF3">
        <v>1</v>
      </c>
      <c r="JG3" s="77" t="str">
        <f>IU3</f>
        <v xml:space="preserve">ABBA FIRA ALINGADTHER </v>
      </c>
      <c r="JH3" s="106"/>
      <c r="JI3" s="106"/>
      <c r="JJ3" s="106"/>
      <c r="JK3" s="106"/>
      <c r="JL3" s="82">
        <f>SUM(JH3:JK3)</f>
        <v>0</v>
      </c>
      <c r="JM3" s="106"/>
      <c r="JN3" s="82">
        <f>JL3+JM3</f>
        <v>0</v>
      </c>
      <c r="JO3" s="82" t="str">
        <f>IF(JN3&lt;10,"",RANK(JN3,JN$3:JN$52))</f>
        <v/>
      </c>
      <c r="JP3" s="82" t="str">
        <f>IF(JN3&gt;=75,"A",IF(JN3&gt;=70,"B2",IF(JN3&gt;=50,"C",IF(JN3&gt;=45,"D",IF(JN3&gt;=40,"E",IF(JN3&gt;=6,"F",IF(JN3&lt;5,"")))))))</f>
        <v/>
      </c>
      <c r="JQ3" s="82" t="str">
        <f>IF(JN3&gt;=75,"Excellent",IF(JN3&gt;=70,"V.Good",IF(JN3&gt;=65,"Good",IF(JN3&gt;=60,"Credit",IF(JN3&gt;=55,"Credit",IF(JN3&gt;=50,"Credit",IF(JN3&gt;=45,"Pass",IF(JN3&gt;=40,"Pass",IF(JN3&gt;=6,"Fail",IF(JN3&lt;5,""))))))))))</f>
        <v/>
      </c>
      <c r="JR3">
        <v>1</v>
      </c>
      <c r="JS3" s="77" t="str">
        <f>JG3</f>
        <v xml:space="preserve">ABBA FIRA ALINGADTHER </v>
      </c>
      <c r="JT3" s="107"/>
      <c r="JU3" s="107"/>
      <c r="JV3" s="107"/>
      <c r="JW3" s="107"/>
      <c r="JX3" s="80">
        <f>SUM(JT3:JW3)</f>
        <v>0</v>
      </c>
      <c r="JY3" s="108"/>
      <c r="JZ3" s="80">
        <f t="shared" ref="JZ3:JZ52" si="0">JX3+JY3</f>
        <v>0</v>
      </c>
      <c r="KA3" s="80" t="str">
        <f>IF(JZ3&lt;10,"",RANK(JZ3,JZ$3:JZ$52))</f>
        <v/>
      </c>
      <c r="KB3" s="80" t="str">
        <f>IF(JZ3&gt;=75,"A",IF(JZ3&gt;=70,"B2",IF(JZ3&gt;=50,"C",IF(JZ3&gt;=45,"D",IF(JZ3&gt;=40,"E",IF(JZ3&gt;=6,"F",IF(JZ3&lt;5,"")))))))</f>
        <v/>
      </c>
      <c r="KC3" s="80" t="str">
        <f>IF(JZ3&gt;=75,"Excellent",IF(JZ3&gt;=70,"V.Good",IF(JZ3&gt;=65,"Good",IF(JZ3&gt;=60,"Credit",IF(JZ3&gt;=55,"Credit",IF(JZ3&gt;=50,"Credit",IF(JZ3&gt;=45,"Pass",IF(JZ3&gt;=40,"Pass",IF(JZ3&gt;=6,"Fail",IF(JZ3&lt;5,""))))))))))</f>
        <v/>
      </c>
      <c r="KE3" s="16"/>
      <c r="KF3" s="16"/>
      <c r="KG3" s="16"/>
      <c r="KH3" s="16"/>
      <c r="KI3" s="16"/>
      <c r="KJ3" s="16"/>
      <c r="KK3" s="16"/>
      <c r="KL3" s="16"/>
      <c r="KN3" s="16"/>
      <c r="KO3" s="16"/>
      <c r="KP3" s="16"/>
      <c r="KQ3" s="16"/>
      <c r="KR3" s="16"/>
      <c r="KS3" s="16"/>
      <c r="KT3" s="16"/>
      <c r="KU3" s="16"/>
      <c r="KV3" s="16"/>
      <c r="KW3" s="16"/>
    </row>
    <row r="4" spans="1:309" ht="23.25">
      <c r="A4" s="17">
        <v>2</v>
      </c>
      <c r="B4" s="186">
        <v>2</v>
      </c>
      <c r="C4" s="77" t="str">
        <f>Data!B3</f>
        <v xml:space="preserve">AMINU MUHAMMED AL MUSTAPHA </v>
      </c>
      <c r="D4" s="87">
        <v>6</v>
      </c>
      <c r="E4" s="87">
        <v>7</v>
      </c>
      <c r="F4" s="87">
        <v>8</v>
      </c>
      <c r="G4" s="87">
        <v>6</v>
      </c>
      <c r="H4" s="88">
        <f t="shared" ref="H4:H55" si="1">SUM(D4:G4)</f>
        <v>27</v>
      </c>
      <c r="I4" s="87">
        <v>19</v>
      </c>
      <c r="J4" s="88">
        <f t="shared" ref="J4:J55" si="2">H4+I4</f>
        <v>46</v>
      </c>
      <c r="K4" s="79">
        <f t="shared" ref="K4:K58" si="3">IF(J4&lt;10,"",RANK(J4,J$3:J$52))</f>
        <v>40</v>
      </c>
      <c r="L4" s="79" t="str">
        <f t="shared" ref="L4:L59" si="4">IF(J4&gt;=75,"A1",IF(J4&gt;=70,"B2",IF(J4&gt;=65,"B3",IF(J4&gt;=60,"C4",IF(J4&gt;=55,"C5",IF(J4&gt;=50,"C6",IF(J4&gt;=45,"D7",IF(J4&gt;=40,"E8",IF(J4&gt;=6,"F",IF(J4&lt;5,""))))))))))</f>
        <v>D7</v>
      </c>
      <c r="M4" s="79" t="str">
        <f t="shared" ref="M4:M57" si="5">IF(J4&gt;=75,"Excellent",IF(J4&gt;=70,"V.Good",IF(J4&gt;=65,"Good",IF(J4&gt;=60,"Credit",IF(J4&gt;=55,"Credit",IF(J4&gt;=50,"Credit",IF(J4&gt;=45,"Pass",IF(J4&gt;=40,"Pass",IF(J4&gt;=6,"Fail",IF(J4&lt;5,""))))))))))</f>
        <v>Pass</v>
      </c>
      <c r="N4" s="17">
        <v>2</v>
      </c>
      <c r="O4" s="77" t="str">
        <f>Data!B3</f>
        <v xml:space="preserve">AMINU MUHAMMED AL MUSTAPHA </v>
      </c>
      <c r="P4" s="78"/>
      <c r="Q4" s="78"/>
      <c r="R4" s="78"/>
      <c r="S4" s="78"/>
      <c r="T4" s="80">
        <f t="shared" ref="T4:T58" si="6">SUM(P4:S4)</f>
        <v>0</v>
      </c>
      <c r="U4" s="80"/>
      <c r="V4" s="80">
        <f t="shared" ref="V4:V57" si="7">T4+U4</f>
        <v>0</v>
      </c>
      <c r="W4" s="80" t="str">
        <f t="shared" ref="W4:W58" si="8">IF(V4&lt;10,"",RANK(V4,V$3:V$52))</f>
        <v/>
      </c>
      <c r="X4" s="80" t="str">
        <f t="shared" ref="X4:X50" si="9">IF(V4&gt;=75,"A1",IF(V4&gt;=70,"B2",IF(V4&gt;=65,"B3",IF(V4&gt;=60,"C4",IF(V4&gt;=55,"C5",IF(V4&gt;=50,"C6",IF(V4&gt;=45,"D7",IF(V4&gt;=40,"E8",IF(V4&gt;=6,"F",IF(V4&lt;5,""))))))))))</f>
        <v/>
      </c>
      <c r="Y4" s="80" t="str">
        <f t="shared" ref="Y4:Y58" si="10">IF(V4&gt;=75,"Excellent",IF(V4&gt;=70,"V.Good",IF(V4&gt;=65,"Good",IF(V4&gt;=60,"Credit",IF(V4&gt;=55,"Credit",IF(V4&gt;=50,"Credit",IF(V4&gt;=45,"Pass",IF(V4&gt;=40,"Pass",IF(V4&gt;=6,"Fail",IF(V4&lt;5,""))))))))))</f>
        <v/>
      </c>
      <c r="Z4" s="11">
        <v>2</v>
      </c>
      <c r="AA4" s="77" t="str">
        <f>Data!B3</f>
        <v xml:space="preserve">AMINU MUHAMMED AL MUSTAPHA </v>
      </c>
      <c r="AB4" s="87">
        <v>6</v>
      </c>
      <c r="AC4" s="87">
        <v>7</v>
      </c>
      <c r="AD4" s="87">
        <v>8</v>
      </c>
      <c r="AE4" s="87">
        <v>6</v>
      </c>
      <c r="AF4" s="88">
        <f t="shared" ref="AF4:AF55" si="11">SUM(AB4:AE4)</f>
        <v>27</v>
      </c>
      <c r="AG4" s="87">
        <v>19</v>
      </c>
      <c r="AH4" s="88">
        <f t="shared" ref="AH4:AH55" si="12">AF4+AG4</f>
        <v>46</v>
      </c>
      <c r="AI4" s="82">
        <f t="shared" ref="AI4:AI59" si="13">IF(AH4&lt;10,"",RANK(AH4,AH$3:AH$52))</f>
        <v>40</v>
      </c>
      <c r="AJ4" s="82" t="str">
        <f t="shared" ref="AJ4:AJ50" si="14">IF(AH4&gt;=75,"A1",IF(AH4&gt;=70,"B2",IF(AH4&gt;=65,"B3",IF(AH4&gt;=60,"C4",IF(AH4&gt;=55,"C5",IF(AH4&gt;=50,"C6",IF(AH4&gt;=45,"D7",IF(AH4&gt;=40,"E8",IF(AH4&gt;=6,"F",IF(AH4&lt;5,""))))))))))</f>
        <v>D7</v>
      </c>
      <c r="AK4" s="82" t="str">
        <f t="shared" ref="AK4:AK59" si="15">IF(AH4&gt;=75,"Excellent",IF(AH4&gt;=70,"V.Good",IF(AH4&gt;=65,"Good",IF(AH4&gt;=60,"Credit",IF(AH4&gt;=55,"Credit",IF(AH4&gt;=50,"Credit",IF(AH4&gt;=45,"Pass",IF(AH4&gt;=40,"Pass",IF(AH4&gt;=6,"Fail",IF(AH4&lt;5,""))))))))))</f>
        <v>Pass</v>
      </c>
      <c r="AL4" s="11">
        <v>2</v>
      </c>
      <c r="AM4" s="77" t="str">
        <f>Data!B3</f>
        <v xml:space="preserve">AMINU MUHAMMED AL MUSTAPHA </v>
      </c>
      <c r="AN4" s="87">
        <v>6</v>
      </c>
      <c r="AO4" s="87">
        <v>7</v>
      </c>
      <c r="AP4" s="87">
        <v>8</v>
      </c>
      <c r="AQ4" s="87">
        <v>6</v>
      </c>
      <c r="AR4" s="88">
        <f t="shared" ref="AR4:AR55" si="16">SUM(AN4:AQ4)</f>
        <v>27</v>
      </c>
      <c r="AS4" s="87">
        <v>19</v>
      </c>
      <c r="AT4" s="88">
        <f t="shared" ref="AT4:AT55" si="17">AR4+AS4</f>
        <v>46</v>
      </c>
      <c r="AU4" s="83">
        <f t="shared" ref="AU4:AU59" si="18">IF(AT4&lt;10,"",RANK(AT4,AT$3:AT$52))</f>
        <v>40</v>
      </c>
      <c r="AV4" s="83" t="str">
        <f t="shared" ref="AV4:AV50" si="19">IF(AT4&gt;=75,"A1",IF(AT4&gt;=70,"B2",IF(AT4&gt;=65,"B3",IF(AT4&gt;=60,"C4",IF(AT4&gt;=55,"C5",IF(AT4&gt;=50,"C6",IF(AT4&gt;=45,"D7",IF(AT4&gt;=40,"E8",IF(AT4&gt;=6,"F",IF(AT4&lt;5,""))))))))))</f>
        <v>D7</v>
      </c>
      <c r="AW4" s="83" t="str">
        <f t="shared" ref="AW4:AW59" si="20">IF(AT4&gt;=75,"Excellent",IF(AT4&gt;=70,"V.Good",IF(AT4&gt;=65,"Good",IF(AT4&gt;=60,"Credit",IF(AT4&gt;=55,"Credit",IF(AT4&gt;=50,"Credit",IF(AT4&gt;=45,"Pass",IF(AT4&gt;=40,"Pass",IF(AT4&gt;=6,"Fail",IF(AT4&lt;5,""))))))))))</f>
        <v>Pass</v>
      </c>
      <c r="AX4" s="11">
        <v>2</v>
      </c>
      <c r="AY4" s="77" t="str">
        <f>Data!B3</f>
        <v xml:space="preserve">AMINU MUHAMMED AL MUSTAPHA </v>
      </c>
      <c r="AZ4" s="87">
        <v>6</v>
      </c>
      <c r="BA4" s="87">
        <v>7</v>
      </c>
      <c r="BB4" s="87">
        <v>8</v>
      </c>
      <c r="BC4" s="87">
        <v>6</v>
      </c>
      <c r="BD4" s="88">
        <f t="shared" ref="BD4:BD55" si="21">SUM(AZ4:BC4)</f>
        <v>27</v>
      </c>
      <c r="BE4" s="87">
        <v>19</v>
      </c>
      <c r="BF4" s="88">
        <f t="shared" ref="BF4:BF55" si="22">BD4+BE4</f>
        <v>46</v>
      </c>
      <c r="BG4" s="85">
        <f t="shared" ref="BG4:BG60" si="23">IF(BF4&lt;10,"",RANK(BF4,BF$3:BF$52))</f>
        <v>40</v>
      </c>
      <c r="BH4" s="85" t="str">
        <f t="shared" ref="BH4:BH60" si="24">IF(BF4&gt;=75,"A1",IF(BF4&gt;=70,"B2",IF(BF4&gt;=65,"B3",IF(BF4&gt;=60,"C4",IF(BF4&gt;=55,"C5",IF(BF4&gt;=50,"C6",IF(BF4&gt;=45,"D7",IF(BF4&gt;=40,"E8",IF(BF4&gt;=6,"F",IF(BF4&lt;5,""))))))))))</f>
        <v>D7</v>
      </c>
      <c r="BI4" s="85" t="str">
        <f t="shared" ref="BI4:BI60" si="25">IF(BF4&gt;=75,"Excellent",IF(BF4&gt;=70,"V.Good",IF(BF4&gt;=65,"Good",IF(BF4&gt;=60,"Credit",IF(BF4&gt;=55,"Credit",IF(BF4&gt;=50,"Credit",IF(BF4&gt;=45,"Pass",IF(BF4&gt;=40,"Pass",IF(BF4&gt;=6,"Fail",IF(BF4&lt;5,""))))))))))</f>
        <v>Pass</v>
      </c>
      <c r="BJ4" s="36">
        <v>2</v>
      </c>
      <c r="BK4" s="77" t="str">
        <f>Data!B3</f>
        <v xml:space="preserve">AMINU MUHAMMED AL MUSTAPHA </v>
      </c>
      <c r="BL4" s="87">
        <v>6</v>
      </c>
      <c r="BM4" s="87">
        <v>7</v>
      </c>
      <c r="BN4" s="87">
        <v>8</v>
      </c>
      <c r="BO4" s="87">
        <v>6</v>
      </c>
      <c r="BP4" s="88">
        <f t="shared" ref="BP4:BP55" si="26">SUM(BL4:BO4)</f>
        <v>27</v>
      </c>
      <c r="BQ4" s="87">
        <v>19</v>
      </c>
      <c r="BR4" s="88">
        <f t="shared" ref="BR4:BR55" si="27">BP4+BQ4</f>
        <v>46</v>
      </c>
      <c r="BS4" s="86">
        <f t="shared" ref="BS4:BS60" si="28">IF(BR4&lt;10,"",RANK(BR4,BR$3:BR$52))</f>
        <v>40</v>
      </c>
      <c r="BT4" s="86" t="str">
        <f t="shared" ref="BT4:BT51" si="29">IF(BR4&gt;=75,"A1",IF(BR4&gt;=70,"B2",IF(BR4&gt;=65,"B3",IF(BR4&gt;=60,"C4",IF(BR4&gt;=55,"C5",IF(BR4&gt;=50,"C6",IF(BR4&gt;=45,"D7",IF(BR4&gt;=40,"E8",IF(BR4&gt;=6,"F",IF(BR4&lt;5,""))))))))))</f>
        <v>D7</v>
      </c>
      <c r="BU4" s="86" t="str">
        <f t="shared" ref="BU4:BU52" si="30">IF(BR4&gt;=75,"Excellent",IF(BR4&gt;=70,"V.Good",IF(BR4&gt;=65,"Good",IF(BR4&gt;=60,"Credit",IF(BR4&gt;=55,"Credit",IF(BR4&gt;=50,"Credit",IF(BR4&gt;=45,"Pass",IF(BR4&gt;=40,"Pass",IF(BR4&gt;=6,"Fail",IF(BR4&lt;5,""))))))))))</f>
        <v>Pass</v>
      </c>
      <c r="BV4">
        <v>2</v>
      </c>
      <c r="BW4" s="77" t="str">
        <f>Data!B3</f>
        <v xml:space="preserve">AMINU MUHAMMED AL MUSTAPHA </v>
      </c>
      <c r="BX4" s="87">
        <v>6</v>
      </c>
      <c r="BY4" s="87">
        <v>7</v>
      </c>
      <c r="BZ4" s="87">
        <v>8</v>
      </c>
      <c r="CA4" s="87">
        <v>6</v>
      </c>
      <c r="CB4" s="88">
        <f t="shared" ref="CB4:CB61" si="31">SUM(BX4:CA4)</f>
        <v>27</v>
      </c>
      <c r="CC4" s="87">
        <v>19</v>
      </c>
      <c r="CD4" s="88">
        <f t="shared" ref="CD4:CD60" si="32">CB4+CC4</f>
        <v>46</v>
      </c>
      <c r="CE4" s="88">
        <f t="shared" ref="CE4:CE60" si="33">IF(CD4&lt;10,"",RANK(CD4,CD$3:CD$52))</f>
        <v>40</v>
      </c>
      <c r="CF4" s="88" t="str">
        <f t="shared" ref="CF4:CF60" si="34">IF(CD4&gt;=75,"A1",IF(CD4&gt;=70,"B2",IF(CD4&gt;=65,"B3",IF(CD4&gt;=60,"C4",IF(CD4&gt;=55,"C5",IF(CD4&gt;=50,"C6",IF(CD4&gt;=45,"D7",IF(CD4&gt;=40,"E8",IF(CD4&gt;=6,"F",IF(CD4&lt;5,""))))))))))</f>
        <v>D7</v>
      </c>
      <c r="CG4" s="88" t="str">
        <f t="shared" ref="CG4:CG60" si="35">IF(CD4&gt;=75,"Excellent",IF(CD4&gt;=70,"V.Good",IF(CD4&gt;=65,"Good",IF(CD4&gt;=60,"Credit",IF(CD4&gt;=55,"Credit",IF(CD4&gt;=50,"Credit",IF(CD4&gt;=45,"Pass",IF(CD4&gt;=40,"Pass",IF(CD4&gt;=6,"Fail",IF(CD4&lt;5,""))))))))))</f>
        <v>Pass</v>
      </c>
      <c r="CH4">
        <v>2</v>
      </c>
      <c r="CI4" s="77" t="str">
        <f>Data!B3</f>
        <v xml:space="preserve">AMINU MUHAMMED AL MUSTAPHA </v>
      </c>
      <c r="CJ4" s="78"/>
      <c r="CK4" s="78"/>
      <c r="CL4" s="78"/>
      <c r="CM4" s="78"/>
      <c r="CN4" s="89">
        <f t="shared" ref="CN4:CN60" si="36">SUM(CJ4:CM4)</f>
        <v>0</v>
      </c>
      <c r="CO4" s="89"/>
      <c r="CP4" s="89">
        <f t="shared" ref="CP4:CP60" si="37">CN4+CO4</f>
        <v>0</v>
      </c>
      <c r="CQ4" s="89" t="str">
        <f t="shared" ref="CQ4:CQ60" si="38">IF(CP4&lt;10,"",RANK(CP4,CP$3:CP$52))</f>
        <v/>
      </c>
      <c r="CR4" s="89" t="str">
        <f t="shared" ref="CR4:CR60" si="39">IF(CP4&gt;=75,"A1",IF(CP4&gt;=70,"B2",IF(CP4&gt;=65,"B3",IF(CP4&gt;=60,"C4",IF(CP4&gt;=55,"C5",IF(CP4&gt;=50,"C6",IF(CP4&gt;=45,"D7",IF(CP4&gt;=40,"E8",IF(CP4&gt;=6,"F",IF(CP4&lt;5,""))))))))))</f>
        <v/>
      </c>
      <c r="CS4" s="89" t="str">
        <f t="shared" ref="CS4:CS60" si="40">IF(CP4&gt;=75,"Excellent",IF(CP4&gt;=70,"V.Good",IF(CP4&gt;=65,"Good",IF(CP4&gt;=60,"Credit",IF(CP4&gt;=55,"Credit",IF(CP4&gt;=50,"Credit",IF(CP4&gt;=45,"Pass",IF(CP4&gt;=40,"Pass",IF(CP4&gt;=6,"Fail",IF(CP4&lt;5,""))))))))))</f>
        <v/>
      </c>
      <c r="CT4">
        <v>2</v>
      </c>
      <c r="CU4" s="77" t="str">
        <f>Data!B3</f>
        <v xml:space="preserve">AMINU MUHAMMED AL MUSTAPHA </v>
      </c>
      <c r="CV4" s="12"/>
      <c r="CW4" s="12"/>
      <c r="CX4" s="109"/>
      <c r="CY4" s="12"/>
      <c r="CZ4" s="90">
        <f t="shared" ref="CZ4:CZ52" si="41">SUM(CV4:CY4)</f>
        <v>0</v>
      </c>
      <c r="DA4" s="12"/>
      <c r="DB4" s="90">
        <f t="shared" ref="DB4:DB52" si="42">CZ4+DA4</f>
        <v>0</v>
      </c>
      <c r="DC4" s="90" t="str">
        <f t="shared" ref="DC4:DC52" si="43">IF(DB4&lt;10,"",RANK(DB4,DB$3:DB$52))</f>
        <v/>
      </c>
      <c r="DD4" s="90" t="str">
        <f t="shared" ref="DD4:DD52" si="44">IF(DB4&gt;=75,"A1",IF(DB4&gt;=70,"B2",IF(DB4&gt;=65,"B3",IF(DB4&gt;=60,"C4",IF(DB4&gt;=55,"C5",IF(DB4&gt;=50,"C6",IF(DB4&gt;=45,"D7",IF(DB4&gt;=40,"E8",IF(DB4&gt;=6,"F",IF(DB4&lt;5,""))))))))))</f>
        <v/>
      </c>
      <c r="DE4" s="90" t="str">
        <f t="shared" ref="DE4:DE52" si="45">IF(DB4&gt;=75,"Excellent",IF(DB4&gt;=70,"V.Good",IF(DB4&gt;=65,"Good",IF(DB4&gt;=60,"Credit",IF(DB4&gt;=55,"Credit",IF(DB4&gt;=50,"Credit",IF(DB4&gt;=45,"Pass",IF(DB4&gt;=40,"Pass",IF(DB4&gt;=6,"Fail",IF(DB4&lt;5,""))))))))))</f>
        <v/>
      </c>
      <c r="DF4">
        <v>2</v>
      </c>
      <c r="DG4" s="77" t="str">
        <f>Data!B3</f>
        <v xml:space="preserve">AMINU MUHAMMED AL MUSTAPHA </v>
      </c>
      <c r="DH4" s="78"/>
      <c r="DI4" s="78"/>
      <c r="DJ4" s="78"/>
      <c r="DK4" s="78"/>
      <c r="DL4" s="85">
        <f t="shared" ref="DL4:DL52" si="46">SUM(DH4:DK4)</f>
        <v>0</v>
      </c>
      <c r="DM4" s="84"/>
      <c r="DN4" s="85">
        <f t="shared" ref="DN4:DN52" si="47">DL4+DM4</f>
        <v>0</v>
      </c>
      <c r="DO4" s="85" t="str">
        <f t="shared" ref="DO4:DO52" si="48">IF(DN4&lt;10,"",RANK(DN4,DN$3:DN$52))</f>
        <v/>
      </c>
      <c r="DP4" s="85" t="str">
        <f t="shared" ref="DP4:DP52" si="49">IF(DN4&gt;=75,"A1",IF(DN4&gt;=70,"B2",IF(DN4&gt;=65,"B3",IF(DN4&gt;=60,"C4",IF(DN4&gt;=55,"C5",IF(DN4&gt;=50,"C6",IF(DN4&gt;=45,"D7",IF(DN4&gt;=40,"E8",IF(DN4&gt;=6,"F",IF(DN4&lt;5,""))))))))))</f>
        <v/>
      </c>
      <c r="DQ4" s="85" t="str">
        <f t="shared" ref="DQ4:DQ52" si="50">IF(DN4&gt;=75,"Excellent",IF(DN4&gt;=70,"V.Good",IF(DN4&gt;=65,"Good",IF(DN4&gt;=60,"Credit",IF(DN4&gt;=55,"Credit",IF(DN4&gt;=50,"Credit",IF(DN4&gt;=45,"Pass",IF(DN4&gt;=40,"Pass",IF(DN4&gt;=6,"Fail",IF(DN4&lt;5,""))))))))))</f>
        <v/>
      </c>
      <c r="DR4">
        <v>2</v>
      </c>
      <c r="DS4" s="77" t="str">
        <f>Data!B3</f>
        <v xml:space="preserve">AMINU MUHAMMED AL MUSTAPHA </v>
      </c>
      <c r="DT4" s="91"/>
      <c r="DU4" s="91"/>
      <c r="DV4" s="110"/>
      <c r="DW4" s="91"/>
      <c r="DX4" s="92">
        <f t="shared" ref="DX4:DX52" si="51">SUM(DT4:DW4)</f>
        <v>0</v>
      </c>
      <c r="DY4" s="93"/>
      <c r="DZ4" s="92">
        <f t="shared" ref="DZ4:DZ52" si="52">DX4+DY4</f>
        <v>0</v>
      </c>
      <c r="EA4" s="92" t="str">
        <f t="shared" ref="EA4:EA52" si="53">IF(DZ4&lt;10,"",RANK(DZ4,DZ$3:DZ$52))</f>
        <v/>
      </c>
      <c r="EB4" s="92" t="str">
        <f t="shared" ref="EB4:EB52" si="54">IF(DZ4&gt;=75,"A1",IF(DZ4&gt;=70,"B2",IF(DZ4&gt;=65,"B3",IF(DZ4&gt;=60,"C4",IF(DZ4&gt;=55,"C5",IF(DZ4&gt;=50,"C6",IF(DZ4&gt;=45,"D7",IF(DZ4&gt;=40,"E8",IF(DZ4&gt;=6,"F",IF(DZ4&lt;5,""))))))))))</f>
        <v/>
      </c>
      <c r="EC4" s="92" t="str">
        <f t="shared" ref="EC4:EC52" si="55">IF(DZ4&gt;=75,"Excellent",IF(DZ4&gt;=70,"V.Good",IF(DZ4&gt;=65,"Good",IF(DZ4&gt;=60,"Credit",IF(DZ4&gt;=55,"Credit",IF(DZ4&gt;=50,"Credit",IF(DZ4&gt;=45,"Pass",IF(DZ4&gt;=40,"Pass",IF(DZ4&gt;=6,"Fail",IF(DZ4&lt;5,""))))))))))</f>
        <v/>
      </c>
      <c r="ED4">
        <v>2</v>
      </c>
      <c r="EE4" s="77" t="str">
        <f>Data!B3</f>
        <v xml:space="preserve">AMINU MUHAMMED AL MUSTAPHA </v>
      </c>
      <c r="EF4" s="78"/>
      <c r="EG4" s="78"/>
      <c r="EH4" s="78"/>
      <c r="EI4" s="78"/>
      <c r="EJ4" s="94">
        <f t="shared" ref="EJ4:EJ52" si="56">SUM(EF4:EI4)</f>
        <v>0</v>
      </c>
      <c r="EK4" s="94"/>
      <c r="EL4" s="94">
        <f t="shared" ref="EL4:EL52" si="57">EJ4+EK4</f>
        <v>0</v>
      </c>
      <c r="EM4" s="94" t="str">
        <f t="shared" ref="EM4:EM52" si="58">IF(EL4&lt;10,"",RANK(EL4,EL$3:EL$52))</f>
        <v/>
      </c>
      <c r="EN4" s="94" t="str">
        <f t="shared" ref="EN4:EN52" si="59">IF(EL4&gt;=75,"A1",IF(EL4&gt;=70,"B2",IF(EL4&gt;=65,"B3",IF(EL4&gt;=60,"C4",IF(EL4&gt;=55,"C5",IF(EL4&gt;=50,"C6",IF(EL4&gt;=45,"D7",IF(EL4&gt;=40,"E8",IF(EL4&gt;=6,"F",IF(EL4&lt;5,""))))))))))</f>
        <v/>
      </c>
      <c r="EO4" s="94" t="str">
        <f t="shared" ref="EO4:EO52" si="60">IF(EL4&gt;=75,"Excellent",IF(EL4&gt;=70,"V.Good",IF(EL4&gt;=65,"Good",IF(EL4&gt;=60,"Credit",IF(EL4&gt;=55,"Credit",IF(EL4&gt;=50,"Credit",IF(EL4&gt;=45,"Pass",IF(EL4&gt;=40,"Pass",IF(EL4&gt;=6,"Fail",IF(EL4&lt;5,""))))))))))</f>
        <v/>
      </c>
      <c r="EP4">
        <v>2</v>
      </c>
      <c r="EQ4" s="95" t="str">
        <f>Data!B3</f>
        <v xml:space="preserve">AMINU MUHAMMED AL MUSTAPHA </v>
      </c>
      <c r="ER4" s="78"/>
      <c r="ES4" s="78"/>
      <c r="ET4" s="78"/>
      <c r="EU4" s="78"/>
      <c r="EV4" s="90">
        <f t="shared" ref="EV4:EV52" si="61">SUM(ER4:EU4)</f>
        <v>0</v>
      </c>
      <c r="EW4" s="90"/>
      <c r="EX4" s="90">
        <f t="shared" ref="EX4:EX52" si="62">EV4+EW4</f>
        <v>0</v>
      </c>
      <c r="EY4" s="90" t="str">
        <f t="shared" ref="EY4:EY52" si="63">IF(EX4&lt;10,"",RANK(EX4,EX$3:EX$52))</f>
        <v/>
      </c>
      <c r="EZ4" s="90" t="str">
        <f t="shared" ref="EZ4:EZ52" si="64">IF(EX4&gt;=75,"A1",IF(EX4&gt;=70,"B2",IF(EX4&gt;=65,"B3",IF(EX4&gt;=60,"C4",IF(EX4&gt;=55,"C5",IF(EX4&gt;=50,"C6",IF(EX4&gt;=45,"D7",IF(EX4&gt;=40,"E8",IF(EX4&gt;=6,"F",IF(EX4&lt;5,""))))))))))</f>
        <v/>
      </c>
      <c r="FA4" s="90" t="str">
        <f t="shared" ref="FA4:FA52" si="65">IF(EX4&gt;=75,"Excellent",IF(EX4&gt;=70,"V.Good",IF(EX4&gt;=65,"Good",IF(EX4&gt;=60,"Credit",IF(EX4&gt;=55,"Credit",IF(EX4&gt;=50,"Credit",IF(EX4&gt;=45,"Pass",IF(EX4&gt;=40,"Pass",IF(EX4&gt;=6,"Fail",IF(EX4&lt;5,""))))))))))</f>
        <v/>
      </c>
      <c r="FB4">
        <v>2</v>
      </c>
      <c r="FC4" s="77" t="str">
        <f>Data!B3</f>
        <v xml:space="preserve">AMINU MUHAMMED AL MUSTAPHA </v>
      </c>
      <c r="FD4" s="78"/>
      <c r="FE4" s="78"/>
      <c r="FF4" s="78"/>
      <c r="FG4" s="78"/>
      <c r="FH4" s="96">
        <f t="shared" ref="FH4:FH52" si="66">SUM(FD4:FG4)</f>
        <v>0</v>
      </c>
      <c r="FI4" s="96"/>
      <c r="FJ4" s="96">
        <f t="shared" ref="FJ4:FJ52" si="67">FH4+FI4</f>
        <v>0</v>
      </c>
      <c r="FK4" s="96" t="str">
        <f t="shared" ref="FK4:FK52" si="68">IF(FJ4&lt;10,"",RANK(FJ4,FJ$3:FJ$52))</f>
        <v/>
      </c>
      <c r="FL4" s="96" t="str">
        <f t="shared" ref="FL4:FL52" si="69">IF(FJ4&gt;=75,"A",IF(FJ4&gt;=70,"B2",IF(FJ4&gt;=50,"C",IF(FJ4&gt;=45,"D",IF(FJ4&gt;=40,"E",IF(FJ4&gt;=6,"F",IF(FJ4&lt;5,"")))))))</f>
        <v/>
      </c>
      <c r="FM4" s="96" t="str">
        <f t="shared" ref="FM4:FM52" si="70">IF(FJ4&gt;=75,"Excellent",IF(FJ4&gt;=70,"V.Good",IF(FJ4&gt;=65,"Good",IF(FJ4&gt;=60,"Credit",IF(FJ4&gt;=55,"Credit",IF(FJ4&gt;=50,"Credit",IF(FJ4&gt;=45,"Pass",IF(FJ4&gt;=40,"Pass",IF(FJ4&gt;=6,"Fail",IF(FJ4&lt;5,""))))))))))</f>
        <v/>
      </c>
      <c r="FN4">
        <v>2</v>
      </c>
      <c r="FO4" s="77" t="str">
        <f>Data!B3</f>
        <v xml:space="preserve">AMINU MUHAMMED AL MUSTAPHA </v>
      </c>
      <c r="FP4" s="78"/>
      <c r="FQ4" s="78"/>
      <c r="FR4" s="78"/>
      <c r="FS4" s="78"/>
      <c r="FT4" s="97">
        <f t="shared" ref="FT4:FT52" si="71">SUM(FP4:FS4)</f>
        <v>0</v>
      </c>
      <c r="FU4" s="97"/>
      <c r="FV4" s="97">
        <f t="shared" ref="FV4:FV52" si="72">FT4+FU4</f>
        <v>0</v>
      </c>
      <c r="FW4" s="97" t="str">
        <f t="shared" ref="FW4:FW52" si="73">IF(FV4&lt;10,"",RANK(FV4,FV$3:FV$52))</f>
        <v/>
      </c>
      <c r="FX4" s="97" t="str">
        <f t="shared" ref="FX4:FX52" si="74">IF(FV4&gt;=75,"A",IF(FV4&gt;=70,"B2",IF(FV4&gt;=50,"C",IF(FV4&gt;=45,"D",IF(FV4&gt;=40,"E",IF(FV4&gt;=6,"F",IF(FV4&lt;5,"")))))))</f>
        <v/>
      </c>
      <c r="FY4" s="97" t="str">
        <f t="shared" ref="FY4:FY52" si="75">IF(FV4&gt;=75,"Excellent",IF(FV4&gt;=70,"V.Good",IF(FV4&gt;=65,"Good",IF(FV4&gt;=60,"Credit",IF(FV4&gt;=55,"Credit",IF(FV4&gt;=50,"Credit",IF(FV4&gt;=45,"Pass",IF(FV4&gt;=40,"Pass",IF(FV4&gt;=6,"Fail",IF(FV4&lt;5,""))))))))))</f>
        <v/>
      </c>
      <c r="FZ4">
        <v>2</v>
      </c>
      <c r="GA4" s="77" t="str">
        <f>Data!B3</f>
        <v xml:space="preserve">AMINU MUHAMMED AL MUSTAPHA </v>
      </c>
      <c r="GB4" s="78"/>
      <c r="GC4" s="78"/>
      <c r="GD4" s="78"/>
      <c r="GE4" s="78"/>
      <c r="GF4" s="98">
        <f t="shared" ref="GF4:GF52" si="76">SUM(GB4:GE4)</f>
        <v>0</v>
      </c>
      <c r="GG4" s="98"/>
      <c r="GH4" s="98">
        <f t="shared" ref="GH4:GH52" si="77">GF4+GG4</f>
        <v>0</v>
      </c>
      <c r="GI4" s="98" t="str">
        <f t="shared" ref="GI4:GI52" si="78">IF(GH4&lt;10,"",RANK(GH4,GH$3:GH$52))</f>
        <v/>
      </c>
      <c r="GJ4" s="98" t="str">
        <f t="shared" ref="GJ4:GJ52" si="79">IF(GH4&gt;=75,"A",IF(GH4&gt;=70,"B2",IF(GH4&gt;=50,"C",IF(GH4&gt;=45,"D",IF(GH4&gt;=40,"E",IF(GH4&gt;=6,"F",IF(GH4&lt;5,"")))))))</f>
        <v/>
      </c>
      <c r="GK4" s="98" t="str">
        <f t="shared" ref="GK4:GK52" si="80">IF(GH4&gt;=75,"Excellent",IF(GH4&gt;=70,"V.Good",IF(GH4&gt;=65,"Good",IF(GH4&gt;=60,"Credit",IF(GH4&gt;=55,"Credit",IF(GH4&gt;=50,"Credit",IF(GH4&gt;=45,"Pass",IF(GH4&gt;=40,"Pass",IF(GH4&gt;=6,"Fail",IF(GH4&lt;5,""))))))))))</f>
        <v/>
      </c>
      <c r="GL4">
        <v>2</v>
      </c>
      <c r="GM4" s="77" t="str">
        <f>Data!B3</f>
        <v xml:space="preserve">AMINU MUHAMMED AL MUSTAPHA </v>
      </c>
      <c r="GN4" s="99"/>
      <c r="GO4" s="99"/>
      <c r="GP4" s="99"/>
      <c r="GQ4" s="99"/>
      <c r="GR4" s="100">
        <f t="shared" ref="GR4:GR52" si="81">SUM(GN4:GQ4)</f>
        <v>0</v>
      </c>
      <c r="GS4" s="99"/>
      <c r="GT4" s="100">
        <f t="shared" ref="GT4:GT52" si="82">GR4+GS4</f>
        <v>0</v>
      </c>
      <c r="GU4" s="100" t="str">
        <f t="shared" ref="GU4:GU52" si="83">IF(GT4&lt;10,"",RANK(GT4,GT$3:GT$52))</f>
        <v/>
      </c>
      <c r="GV4" s="100" t="str">
        <f t="shared" ref="GV4:GV52" si="84">IF(GT4&gt;=75,"A",IF(GT4&gt;=70,"B2",IF(GT4&gt;=50,"C",IF(GT4&gt;=45,"D",IF(GT4&gt;=40,"E",IF(GT4&gt;=6,"F",IF(GT4&lt;5,"")))))))</f>
        <v/>
      </c>
      <c r="GW4" s="100" t="str">
        <f t="shared" ref="GW4:GW52" si="85">IF(GT4&gt;=75,"Excellent",IF(GT4&gt;=70,"V.Good",IF(GT4&gt;=65,"Good",IF(GT4&gt;=60,"Credit",IF(GT4&gt;=55,"Credit",IF(GT4&gt;=50,"Credit",IF(GT4&gt;=45,"Pass",IF(GT4&gt;=40,"Pass",IF(GT4&gt;=6,"Fail",IF(GT4&lt;5,""))))))))))</f>
        <v/>
      </c>
      <c r="GX4">
        <v>2</v>
      </c>
      <c r="GY4" s="77" t="str">
        <f>Data!B3</f>
        <v xml:space="preserve">AMINU MUHAMMED AL MUSTAPHA </v>
      </c>
      <c r="GZ4" s="78"/>
      <c r="HA4" s="78"/>
      <c r="HB4" s="78"/>
      <c r="HC4" s="78"/>
      <c r="HD4" s="86">
        <f t="shared" ref="HD4:HD52" si="86">SUM(GZ4:HC4)</f>
        <v>0</v>
      </c>
      <c r="HE4" s="86"/>
      <c r="HF4" s="86">
        <f t="shared" ref="HF4:HF52" si="87">HD4+HE4</f>
        <v>0</v>
      </c>
      <c r="HG4" s="86" t="str">
        <f t="shared" ref="HG4:HG52" si="88">IF(HF4&lt;10,"",RANK(HF4,HF$3:HF$52))</f>
        <v/>
      </c>
      <c r="HH4" s="86" t="str">
        <f t="shared" ref="HH4:HH52" si="89">IF(HF4&gt;=75,"A",IF(HF4&gt;=70,"B2",IF(HF4&gt;=50,"C",IF(HF4&gt;=45,"D",IF(HF4&gt;=40,"E",IF(HF4&gt;=6,"F",IF(HF4&lt;5,"")))))))</f>
        <v/>
      </c>
      <c r="HI4" s="86" t="str">
        <f t="shared" ref="HI4:HI52" si="90">IF(HF4&gt;=75,"Excellent",IF(HF4&gt;=70,"V.Good",IF(HF4&gt;=65,"Good",IF(HF4&gt;=60,"Credit",IF(HF4&gt;=55,"Credit",IF(HF4&gt;=50,"Credit",IF(HF4&gt;=45,"Pass",IF(HF4&gt;=40,"Pass",IF(HF4&gt;=6,"Fail",IF(HF4&lt;5,""))))))))))</f>
        <v/>
      </c>
      <c r="HJ4">
        <v>2</v>
      </c>
      <c r="HK4" s="77" t="str">
        <f>Data!B3</f>
        <v xml:space="preserve">AMINU MUHAMMED AL MUSTAPHA </v>
      </c>
      <c r="HL4" s="111"/>
      <c r="HM4" s="112"/>
      <c r="HN4" s="113"/>
      <c r="HO4" s="112"/>
      <c r="HP4" s="103">
        <f t="shared" ref="HP4:HP53" si="91">SUM(HL4:HO4)</f>
        <v>0</v>
      </c>
      <c r="HQ4" s="111"/>
      <c r="HR4" s="103">
        <f t="shared" ref="HR4:HR53" si="92">HP4+HQ4</f>
        <v>0</v>
      </c>
      <c r="HS4" s="103" t="str">
        <f t="shared" ref="HS4:HS53" si="93">IF(HR4&lt;10,"",RANK(HR4,HR$3:HR$52))</f>
        <v/>
      </c>
      <c r="HT4" s="103" t="str">
        <f t="shared" ref="HT4:HT53" si="94">IF(HR4&gt;=75,"A",IF(HR4&gt;=70,"B2",IF(HR4&gt;=50,"C",IF(HR4&gt;=45,"D",IF(HR4&gt;=40,"E",IF(HR4&gt;=6,"F",IF(HR4&lt;5,"")))))))</f>
        <v/>
      </c>
      <c r="HU4" s="103" t="str">
        <f t="shared" ref="HU4:HU53" si="95">IF(HR4&gt;=75,"Excellent",IF(HR4&gt;=70,"V.Good",IF(HR4&gt;=65,"Good",IF(HR4&gt;=60,"Credit",IF(HR4&gt;=55,"Credit",IF(HR4&gt;=50,"Credit",IF(HR4&gt;=45,"Pass",IF(HR4&gt;=40,"Pass",IF(HR4&gt;=6,"Fail",IF(HR4&lt;5,""))))))))))</f>
        <v/>
      </c>
      <c r="HV4">
        <v>2</v>
      </c>
      <c r="HW4" s="77" t="str">
        <f>Data!B3</f>
        <v xml:space="preserve">AMINU MUHAMMED AL MUSTAPHA </v>
      </c>
      <c r="HX4" s="78"/>
      <c r="HY4" s="78"/>
      <c r="HZ4" s="78"/>
      <c r="IA4" s="78"/>
      <c r="IB4" s="85">
        <f t="shared" ref="IB4:IB52" si="96">SUM(HX4:IA4)</f>
        <v>0</v>
      </c>
      <c r="IC4" s="85"/>
      <c r="ID4" s="85">
        <f t="shared" ref="ID4:ID52" si="97">IB4+IC4</f>
        <v>0</v>
      </c>
      <c r="IE4" s="85" t="str">
        <f t="shared" ref="IE4:IE52" si="98">IF(ID4&lt;10,"",RANK(ID4,ID$3:ID$52))</f>
        <v/>
      </c>
      <c r="IF4" s="85" t="str">
        <f t="shared" ref="IF4:IF52" si="99">IF(ID4&gt;=75,"A",IF(ID4&gt;=70,"B2",IF(ID4&gt;=50,"C",IF(ID4&gt;=45,"D",IF(ID4&gt;=40,"E",IF(ID4&gt;=6,"F",IF(ID4&lt;5,"")))))))</f>
        <v/>
      </c>
      <c r="IG4" s="85" t="str">
        <f t="shared" ref="IG4:IG52" si="100">IF(ID4&gt;=75,"Excellent",IF(ID4&gt;=70,"V.Good",IF(ID4&gt;=65,"Good",IF(ID4&gt;=60,"Credit",IF(ID4&gt;=55,"Credit",IF(ID4&gt;=50,"Credit",IF(ID4&gt;=45,"Pass",IF(ID4&gt;=40,"Pass",IF(ID4&gt;=6,"Fail",IF(ID4&lt;5,""))))))))))</f>
        <v/>
      </c>
      <c r="IH4">
        <v>2</v>
      </c>
      <c r="II4" s="77" t="str">
        <f>Data!B3</f>
        <v xml:space="preserve">AMINU MUHAMMED AL MUSTAPHA </v>
      </c>
      <c r="IJ4" s="78"/>
      <c r="IK4" s="78"/>
      <c r="IL4" s="78"/>
      <c r="IM4" s="78"/>
      <c r="IN4" s="104">
        <f t="shared" ref="IN4:IN52" si="101">SUM(IJ4:IM4)</f>
        <v>0</v>
      </c>
      <c r="IO4" s="104"/>
      <c r="IP4" s="104">
        <f t="shared" ref="IP4:IP52" si="102">IN4+IO4</f>
        <v>0</v>
      </c>
      <c r="IQ4" s="104" t="str">
        <f t="shared" ref="IQ4:IQ52" si="103">IF(IP4&lt;10,"",RANK(IP4,IP$3:IP$52))</f>
        <v/>
      </c>
      <c r="IR4" s="104" t="str">
        <f t="shared" ref="IR4:IR52" si="104">IF(IP4&gt;=75,"A",IF(IP4&gt;=70,"B2",IF(IP4&gt;=50,"C",IF(IP4&gt;=45,"D",IF(IP4&gt;=40,"E",IF(IP4&gt;=6,"F",IF(IP4&lt;5,"")))))))</f>
        <v/>
      </c>
      <c r="IS4" s="104" t="str">
        <f t="shared" ref="IS4:IS52" si="105">IF(IP4&gt;=75,"Excellent",IF(IP4&gt;=70,"V.Good",IF(IP4&gt;=65,"Good",IF(IP4&gt;=60,"Credit",IF(IP4&gt;=55,"Credit",IF(IP4&gt;=50,"Credit",IF(IP4&gt;=45,"Pass",IF(IP4&gt;=40,"Pass",IF(IP4&gt;=6,"Fail",IF(IP4&lt;5,""))))))))))</f>
        <v/>
      </c>
      <c r="IT4">
        <v>2</v>
      </c>
      <c r="IU4" s="77" t="str">
        <f t="shared" ref="IU4:IU52" si="106">II4</f>
        <v xml:space="preserve">AMINU MUHAMMED AL MUSTAPHA </v>
      </c>
      <c r="IV4" s="105"/>
      <c r="IW4" s="105"/>
      <c r="IX4" s="105"/>
      <c r="IY4" s="105"/>
      <c r="IZ4" s="98">
        <f t="shared" ref="IZ4:IZ52" si="107">SUM(IV4:IY4)</f>
        <v>0</v>
      </c>
      <c r="JA4" s="105"/>
      <c r="JB4" s="98">
        <f t="shared" ref="JB4:JB52" si="108">IZ4+JA4</f>
        <v>0</v>
      </c>
      <c r="JC4" s="98" t="str">
        <f t="shared" ref="JC4:JC52" si="109">IF(JB4&lt;10,"",RANK(JB4,JB$3:JB$52))</f>
        <v/>
      </c>
      <c r="JD4" s="98" t="str">
        <f t="shared" ref="JD4:JD52" si="110">IF(JB4&gt;=75,"A",IF(JB4&gt;=70,"B2",IF(JB4&gt;=50,"C",IF(JB4&gt;=45,"D",IF(JB4&gt;=40,"E",IF(JB4&gt;=6,"F",IF(JB4&lt;5,"")))))))</f>
        <v/>
      </c>
      <c r="JE4" s="98" t="str">
        <f t="shared" ref="JE4:JE52" si="111">IF(JB4&gt;=75,"Excellent",IF(JB4&gt;=70,"V.Good",IF(JB4&gt;=65,"Good",IF(JB4&gt;=60,"Credit",IF(JB4&gt;=55,"Credit",IF(JB4&gt;=50,"Credit",IF(JB4&gt;=45,"Pass",IF(JB4&gt;=40,"Pass",IF(JB4&gt;=6,"Fail",IF(JB4&lt;5,""))))))))))</f>
        <v/>
      </c>
      <c r="JF4">
        <v>2</v>
      </c>
      <c r="JG4" s="77" t="str">
        <f t="shared" ref="JG4:JG52" si="112">IU4</f>
        <v xml:space="preserve">AMINU MUHAMMED AL MUSTAPHA </v>
      </c>
      <c r="JH4" s="114"/>
      <c r="JI4" s="114"/>
      <c r="JJ4" s="114"/>
      <c r="JK4" s="114"/>
      <c r="JL4" s="82">
        <f t="shared" ref="JL4:JL52" si="113">SUM(JH4:JK4)</f>
        <v>0</v>
      </c>
      <c r="JM4" s="114"/>
      <c r="JN4" s="82">
        <f t="shared" ref="JN4:JN52" si="114">JL4+JM4</f>
        <v>0</v>
      </c>
      <c r="JO4" s="82" t="str">
        <f t="shared" ref="JO4:JO52" si="115">IF(JN4&lt;10,"",RANK(JN4,JN$3:JN$52))</f>
        <v/>
      </c>
      <c r="JP4" s="82" t="str">
        <f t="shared" ref="JP4:JP52" si="116">IF(JN4&gt;=75,"A",IF(JN4&gt;=70,"B2",IF(JN4&gt;=50,"C",IF(JN4&gt;=45,"D",IF(JN4&gt;=40,"E",IF(JN4&gt;=6,"F",IF(JN4&lt;5,"")))))))</f>
        <v/>
      </c>
      <c r="JQ4" s="82" t="str">
        <f t="shared" ref="JQ4:JQ52" si="117">IF(JN4&gt;=75,"Excellent",IF(JN4&gt;=70,"V.Good",IF(JN4&gt;=65,"Good",IF(JN4&gt;=60,"Credit",IF(JN4&gt;=55,"Credit",IF(JN4&gt;=50,"Credit",IF(JN4&gt;=45,"Pass",IF(JN4&gt;=40,"Pass",IF(JN4&gt;=6,"Fail",IF(JN4&lt;5,""))))))))))</f>
        <v/>
      </c>
      <c r="JR4">
        <v>2</v>
      </c>
      <c r="JS4" s="77" t="str">
        <f t="shared" ref="JS4:JS52" si="118">JG4</f>
        <v xml:space="preserve">AMINU MUHAMMED AL MUSTAPHA </v>
      </c>
      <c r="JT4" s="107"/>
      <c r="JU4" s="107"/>
      <c r="JV4" s="107"/>
      <c r="JW4" s="107"/>
      <c r="JX4" s="80">
        <f t="shared" ref="JX4:JX52" si="119">SUM(JT4:JW4)</f>
        <v>0</v>
      </c>
      <c r="JY4" s="108"/>
      <c r="JZ4" s="80">
        <f t="shared" si="0"/>
        <v>0</v>
      </c>
      <c r="KA4" s="80" t="str">
        <f t="shared" ref="KA4:KA52" si="120">IF(JZ4&lt;10,"",RANK(JZ4,JZ$3:JZ$52))</f>
        <v/>
      </c>
      <c r="KB4" s="80" t="str">
        <f t="shared" ref="KB4:KB52" si="121">IF(JZ4&gt;=75,"A",IF(JZ4&gt;=70,"B2",IF(JZ4&gt;=50,"C",IF(JZ4&gt;=45,"D",IF(JZ4&gt;=40,"E",IF(JZ4&gt;=6,"F",IF(JZ4&lt;5,"")))))))</f>
        <v/>
      </c>
      <c r="KC4" s="80" t="str">
        <f t="shared" ref="KC4:KC52" si="122">IF(JZ4&gt;=75,"Excellent",IF(JZ4&gt;=70,"V.Good",IF(JZ4&gt;=65,"Good",IF(JZ4&gt;=60,"Credit",IF(JZ4&gt;=55,"Credit",IF(JZ4&gt;=50,"Credit",IF(JZ4&gt;=45,"Pass",IF(JZ4&gt;=40,"Pass",IF(JZ4&gt;=6,"Fail",IF(JZ4&lt;5,""))))))))))</f>
        <v/>
      </c>
      <c r="KE4" s="16"/>
      <c r="KF4" s="16"/>
      <c r="KG4" s="16"/>
      <c r="KH4" s="16"/>
      <c r="KI4" s="16"/>
      <c r="KJ4" s="16"/>
      <c r="KK4" s="16"/>
      <c r="KL4" s="16"/>
      <c r="KN4" s="16"/>
      <c r="KO4" s="16"/>
      <c r="KP4" s="16"/>
      <c r="KQ4" s="16"/>
      <c r="KR4" s="16"/>
      <c r="KS4" s="16"/>
      <c r="KT4" s="16"/>
      <c r="KU4" s="16"/>
      <c r="KV4" s="16"/>
      <c r="KW4" s="16"/>
    </row>
    <row r="5" spans="1:309" ht="23.25">
      <c r="A5" s="17">
        <v>3</v>
      </c>
      <c r="B5" s="186">
        <v>3</v>
      </c>
      <c r="C5" s="77" t="str">
        <f>Data!B4</f>
        <v xml:space="preserve">AMOS ANJILI STANLEY </v>
      </c>
      <c r="D5" s="87">
        <v>2</v>
      </c>
      <c r="E5" s="87">
        <v>4</v>
      </c>
      <c r="F5" s="87">
        <v>6</v>
      </c>
      <c r="G5" s="87">
        <v>8</v>
      </c>
      <c r="H5" s="88">
        <f t="shared" si="1"/>
        <v>20</v>
      </c>
      <c r="I5" s="87">
        <v>21</v>
      </c>
      <c r="J5" s="88">
        <f t="shared" si="2"/>
        <v>41</v>
      </c>
      <c r="K5" s="79">
        <f t="shared" si="3"/>
        <v>44</v>
      </c>
      <c r="L5" s="79" t="str">
        <f t="shared" si="4"/>
        <v>E8</v>
      </c>
      <c r="M5" s="79" t="str">
        <f t="shared" si="5"/>
        <v>Pass</v>
      </c>
      <c r="N5" s="17">
        <v>3</v>
      </c>
      <c r="O5" s="77" t="str">
        <f>Data!B4</f>
        <v xml:space="preserve">AMOS ANJILI STANLEY </v>
      </c>
      <c r="P5" s="78"/>
      <c r="Q5" s="78"/>
      <c r="R5" s="78"/>
      <c r="S5" s="78"/>
      <c r="T5" s="80">
        <f t="shared" si="6"/>
        <v>0</v>
      </c>
      <c r="U5" s="80"/>
      <c r="V5" s="80">
        <f t="shared" si="7"/>
        <v>0</v>
      </c>
      <c r="W5" s="80" t="str">
        <f t="shared" si="8"/>
        <v/>
      </c>
      <c r="X5" s="80" t="str">
        <f t="shared" si="9"/>
        <v/>
      </c>
      <c r="Y5" s="80" t="str">
        <f t="shared" si="10"/>
        <v/>
      </c>
      <c r="Z5" s="11">
        <v>3</v>
      </c>
      <c r="AA5" s="77" t="str">
        <f>Data!B4</f>
        <v xml:space="preserve">AMOS ANJILI STANLEY </v>
      </c>
      <c r="AB5" s="87">
        <v>2</v>
      </c>
      <c r="AC5" s="87">
        <v>4</v>
      </c>
      <c r="AD5" s="87">
        <v>6</v>
      </c>
      <c r="AE5" s="87">
        <v>8</v>
      </c>
      <c r="AF5" s="88">
        <f t="shared" si="11"/>
        <v>20</v>
      </c>
      <c r="AG5" s="87">
        <v>21</v>
      </c>
      <c r="AH5" s="88">
        <f t="shared" si="12"/>
        <v>41</v>
      </c>
      <c r="AI5" s="82">
        <f t="shared" si="13"/>
        <v>44</v>
      </c>
      <c r="AJ5" s="82" t="str">
        <f t="shared" si="14"/>
        <v>E8</v>
      </c>
      <c r="AK5" s="82" t="str">
        <f t="shared" si="15"/>
        <v>Pass</v>
      </c>
      <c r="AL5" s="11">
        <v>3</v>
      </c>
      <c r="AM5" s="77" t="str">
        <f>Data!B4</f>
        <v xml:space="preserve">AMOS ANJILI STANLEY </v>
      </c>
      <c r="AN5" s="87">
        <v>2</v>
      </c>
      <c r="AO5" s="87">
        <v>4</v>
      </c>
      <c r="AP5" s="87">
        <v>6</v>
      </c>
      <c r="AQ5" s="87">
        <v>8</v>
      </c>
      <c r="AR5" s="88">
        <f t="shared" si="16"/>
        <v>20</v>
      </c>
      <c r="AS5" s="87">
        <v>21</v>
      </c>
      <c r="AT5" s="88">
        <f t="shared" si="17"/>
        <v>41</v>
      </c>
      <c r="AU5" s="83">
        <f t="shared" si="18"/>
        <v>44</v>
      </c>
      <c r="AV5" s="83" t="str">
        <f t="shared" si="19"/>
        <v>E8</v>
      </c>
      <c r="AW5" s="83" t="str">
        <f t="shared" si="20"/>
        <v>Pass</v>
      </c>
      <c r="AX5" s="11">
        <v>3</v>
      </c>
      <c r="AY5" s="77" t="str">
        <f>Data!B4</f>
        <v xml:space="preserve">AMOS ANJILI STANLEY </v>
      </c>
      <c r="AZ5" s="87">
        <v>2</v>
      </c>
      <c r="BA5" s="87">
        <v>4</v>
      </c>
      <c r="BB5" s="87">
        <v>6</v>
      </c>
      <c r="BC5" s="87">
        <v>8</v>
      </c>
      <c r="BD5" s="88">
        <f t="shared" si="21"/>
        <v>20</v>
      </c>
      <c r="BE5" s="87">
        <v>21</v>
      </c>
      <c r="BF5" s="88">
        <f t="shared" si="22"/>
        <v>41</v>
      </c>
      <c r="BG5" s="85">
        <f t="shared" si="23"/>
        <v>44</v>
      </c>
      <c r="BH5" s="85" t="str">
        <f t="shared" si="24"/>
        <v>E8</v>
      </c>
      <c r="BI5" s="85" t="str">
        <f t="shared" si="25"/>
        <v>Pass</v>
      </c>
      <c r="BJ5" s="36">
        <v>3</v>
      </c>
      <c r="BK5" s="77" t="str">
        <f>Data!B4</f>
        <v xml:space="preserve">AMOS ANJILI STANLEY </v>
      </c>
      <c r="BL5" s="87">
        <v>2</v>
      </c>
      <c r="BM5" s="87">
        <v>4</v>
      </c>
      <c r="BN5" s="87">
        <v>6</v>
      </c>
      <c r="BO5" s="87">
        <v>8</v>
      </c>
      <c r="BP5" s="88">
        <f t="shared" si="26"/>
        <v>20</v>
      </c>
      <c r="BQ5" s="87">
        <v>21</v>
      </c>
      <c r="BR5" s="88">
        <f t="shared" si="27"/>
        <v>41</v>
      </c>
      <c r="BS5" s="86">
        <f t="shared" si="28"/>
        <v>44</v>
      </c>
      <c r="BT5" s="86" t="str">
        <f t="shared" si="29"/>
        <v>E8</v>
      </c>
      <c r="BU5" s="86" t="str">
        <f t="shared" si="30"/>
        <v>Pass</v>
      </c>
      <c r="BV5">
        <v>3</v>
      </c>
      <c r="BW5" s="77" t="str">
        <f>Data!B4</f>
        <v xml:space="preserve">AMOS ANJILI STANLEY </v>
      </c>
      <c r="BX5" s="87">
        <v>2</v>
      </c>
      <c r="BY5" s="87">
        <v>4</v>
      </c>
      <c r="BZ5" s="87">
        <v>6</v>
      </c>
      <c r="CA5" s="87">
        <v>8</v>
      </c>
      <c r="CB5" s="88">
        <f t="shared" si="31"/>
        <v>20</v>
      </c>
      <c r="CC5" s="87">
        <v>21</v>
      </c>
      <c r="CD5" s="88">
        <f t="shared" si="32"/>
        <v>41</v>
      </c>
      <c r="CE5" s="88">
        <f t="shared" si="33"/>
        <v>44</v>
      </c>
      <c r="CF5" s="88" t="str">
        <f t="shared" si="34"/>
        <v>E8</v>
      </c>
      <c r="CG5" s="88" t="str">
        <f t="shared" si="35"/>
        <v>Pass</v>
      </c>
      <c r="CH5">
        <v>3</v>
      </c>
      <c r="CI5" s="77" t="str">
        <f>Data!B4</f>
        <v xml:space="preserve">AMOS ANJILI STANLEY </v>
      </c>
      <c r="CJ5" s="78"/>
      <c r="CK5" s="78"/>
      <c r="CL5" s="78"/>
      <c r="CM5" s="78"/>
      <c r="CN5" s="89">
        <f t="shared" si="36"/>
        <v>0</v>
      </c>
      <c r="CO5" s="89"/>
      <c r="CP5" s="89">
        <f t="shared" si="37"/>
        <v>0</v>
      </c>
      <c r="CQ5" s="89" t="str">
        <f t="shared" si="38"/>
        <v/>
      </c>
      <c r="CR5" s="89" t="str">
        <f t="shared" si="39"/>
        <v/>
      </c>
      <c r="CS5" s="89" t="str">
        <f t="shared" si="40"/>
        <v/>
      </c>
      <c r="CT5">
        <v>3</v>
      </c>
      <c r="CU5" s="77" t="str">
        <f>Data!B4</f>
        <v xml:space="preserve">AMOS ANJILI STANLEY </v>
      </c>
      <c r="CV5" s="12"/>
      <c r="CW5" s="12"/>
      <c r="CX5" s="12"/>
      <c r="CY5" s="12"/>
      <c r="CZ5" s="90">
        <f t="shared" si="41"/>
        <v>0</v>
      </c>
      <c r="DA5" s="12"/>
      <c r="DB5" s="90">
        <f t="shared" si="42"/>
        <v>0</v>
      </c>
      <c r="DC5" s="90" t="str">
        <f t="shared" si="43"/>
        <v/>
      </c>
      <c r="DD5" s="90" t="str">
        <f t="shared" si="44"/>
        <v/>
      </c>
      <c r="DE5" s="90" t="str">
        <f t="shared" si="45"/>
        <v/>
      </c>
      <c r="DF5">
        <v>3</v>
      </c>
      <c r="DG5" s="77" t="str">
        <f>Data!B4</f>
        <v xml:space="preserve">AMOS ANJILI STANLEY </v>
      </c>
      <c r="DH5" s="78"/>
      <c r="DI5" s="78"/>
      <c r="DJ5" s="78"/>
      <c r="DK5" s="78"/>
      <c r="DL5" s="85">
        <f t="shared" si="46"/>
        <v>0</v>
      </c>
      <c r="DM5" s="84"/>
      <c r="DN5" s="85">
        <f t="shared" si="47"/>
        <v>0</v>
      </c>
      <c r="DO5" s="85" t="str">
        <f t="shared" si="48"/>
        <v/>
      </c>
      <c r="DP5" s="85" t="str">
        <f t="shared" si="49"/>
        <v/>
      </c>
      <c r="DQ5" s="85" t="str">
        <f t="shared" si="50"/>
        <v/>
      </c>
      <c r="DR5">
        <v>3</v>
      </c>
      <c r="DS5" s="77" t="str">
        <f>Data!B4</f>
        <v xml:space="preserve">AMOS ANJILI STANLEY </v>
      </c>
      <c r="DT5" s="91"/>
      <c r="DU5" s="91"/>
      <c r="DV5" s="91"/>
      <c r="DW5" s="91"/>
      <c r="DX5" s="92">
        <f t="shared" si="51"/>
        <v>0</v>
      </c>
      <c r="DY5" s="93"/>
      <c r="DZ5" s="92">
        <f t="shared" si="52"/>
        <v>0</v>
      </c>
      <c r="EA5" s="92" t="str">
        <f t="shared" si="53"/>
        <v/>
      </c>
      <c r="EB5" s="92" t="str">
        <f t="shared" si="54"/>
        <v/>
      </c>
      <c r="EC5" s="92" t="str">
        <f t="shared" si="55"/>
        <v/>
      </c>
      <c r="ED5">
        <v>3</v>
      </c>
      <c r="EE5" s="77" t="str">
        <f>Data!B4</f>
        <v xml:space="preserve">AMOS ANJILI STANLEY </v>
      </c>
      <c r="EF5" s="78"/>
      <c r="EG5" s="78"/>
      <c r="EH5" s="78"/>
      <c r="EI5" s="78"/>
      <c r="EJ5" s="94">
        <f t="shared" si="56"/>
        <v>0</v>
      </c>
      <c r="EK5" s="94"/>
      <c r="EL5" s="94">
        <f t="shared" si="57"/>
        <v>0</v>
      </c>
      <c r="EM5" s="94" t="str">
        <f t="shared" si="58"/>
        <v/>
      </c>
      <c r="EN5" s="94" t="str">
        <f t="shared" si="59"/>
        <v/>
      </c>
      <c r="EO5" s="94" t="str">
        <f t="shared" si="60"/>
        <v/>
      </c>
      <c r="EP5">
        <v>3</v>
      </c>
      <c r="EQ5" s="95" t="str">
        <f>Data!B4</f>
        <v xml:space="preserve">AMOS ANJILI STANLEY </v>
      </c>
      <c r="ER5" s="78"/>
      <c r="ES5" s="78"/>
      <c r="ET5" s="78"/>
      <c r="EU5" s="78"/>
      <c r="EV5" s="90">
        <f t="shared" si="61"/>
        <v>0</v>
      </c>
      <c r="EW5" s="90"/>
      <c r="EX5" s="90">
        <f t="shared" si="62"/>
        <v>0</v>
      </c>
      <c r="EY5" s="90" t="str">
        <f t="shared" si="63"/>
        <v/>
      </c>
      <c r="EZ5" s="90" t="str">
        <f t="shared" si="64"/>
        <v/>
      </c>
      <c r="FA5" s="90" t="str">
        <f t="shared" si="65"/>
        <v/>
      </c>
      <c r="FB5">
        <v>3</v>
      </c>
      <c r="FC5" s="77" t="str">
        <f>Data!B4</f>
        <v xml:space="preserve">AMOS ANJILI STANLEY </v>
      </c>
      <c r="FD5" s="78"/>
      <c r="FE5" s="78"/>
      <c r="FF5" s="78"/>
      <c r="FG5" s="78"/>
      <c r="FH5" s="96">
        <f t="shared" si="66"/>
        <v>0</v>
      </c>
      <c r="FI5" s="96"/>
      <c r="FJ5" s="96">
        <f t="shared" si="67"/>
        <v>0</v>
      </c>
      <c r="FK5" s="96" t="str">
        <f t="shared" si="68"/>
        <v/>
      </c>
      <c r="FL5" s="96" t="str">
        <f t="shared" si="69"/>
        <v/>
      </c>
      <c r="FM5" s="96" t="str">
        <f t="shared" si="70"/>
        <v/>
      </c>
      <c r="FN5">
        <v>3</v>
      </c>
      <c r="FO5" s="77" t="str">
        <f>Data!B4</f>
        <v xml:space="preserve">AMOS ANJILI STANLEY </v>
      </c>
      <c r="FP5" s="78"/>
      <c r="FQ5" s="78"/>
      <c r="FR5" s="78"/>
      <c r="FS5" s="78"/>
      <c r="FT5" s="97">
        <f t="shared" si="71"/>
        <v>0</v>
      </c>
      <c r="FU5" s="97"/>
      <c r="FV5" s="97">
        <f t="shared" si="72"/>
        <v>0</v>
      </c>
      <c r="FW5" s="97" t="str">
        <f t="shared" si="73"/>
        <v/>
      </c>
      <c r="FX5" s="97" t="str">
        <f t="shared" si="74"/>
        <v/>
      </c>
      <c r="FY5" s="97" t="str">
        <f t="shared" si="75"/>
        <v/>
      </c>
      <c r="FZ5">
        <v>3</v>
      </c>
      <c r="GA5" s="77" t="str">
        <f>Data!B4</f>
        <v xml:space="preserve">AMOS ANJILI STANLEY </v>
      </c>
      <c r="GB5" s="78"/>
      <c r="GC5" s="78"/>
      <c r="GD5" s="78"/>
      <c r="GE5" s="78"/>
      <c r="GF5" s="98">
        <f t="shared" si="76"/>
        <v>0</v>
      </c>
      <c r="GG5" s="98"/>
      <c r="GH5" s="98">
        <f t="shared" si="77"/>
        <v>0</v>
      </c>
      <c r="GI5" s="98" t="str">
        <f t="shared" si="78"/>
        <v/>
      </c>
      <c r="GJ5" s="98" t="str">
        <f t="shared" si="79"/>
        <v/>
      </c>
      <c r="GK5" s="98" t="str">
        <f t="shared" si="80"/>
        <v/>
      </c>
      <c r="GL5">
        <v>3</v>
      </c>
      <c r="GM5" s="77" t="str">
        <f>Data!B4</f>
        <v xml:space="preserve">AMOS ANJILI STANLEY </v>
      </c>
      <c r="GN5" s="99"/>
      <c r="GO5" s="99"/>
      <c r="GP5" s="99"/>
      <c r="GQ5" s="99"/>
      <c r="GR5" s="100">
        <f t="shared" si="81"/>
        <v>0</v>
      </c>
      <c r="GS5" s="99"/>
      <c r="GT5" s="100">
        <f t="shared" si="82"/>
        <v>0</v>
      </c>
      <c r="GU5" s="100" t="str">
        <f t="shared" si="83"/>
        <v/>
      </c>
      <c r="GV5" s="100" t="str">
        <f t="shared" si="84"/>
        <v/>
      </c>
      <c r="GW5" s="100" t="str">
        <f t="shared" si="85"/>
        <v/>
      </c>
      <c r="GX5">
        <v>3</v>
      </c>
      <c r="GY5" s="77" t="str">
        <f>Data!B4</f>
        <v xml:space="preserve">AMOS ANJILI STANLEY </v>
      </c>
      <c r="GZ5" s="78"/>
      <c r="HA5" s="78"/>
      <c r="HB5" s="78"/>
      <c r="HC5" s="78"/>
      <c r="HD5" s="86">
        <f t="shared" si="86"/>
        <v>0</v>
      </c>
      <c r="HE5" s="86"/>
      <c r="HF5" s="86">
        <f t="shared" si="87"/>
        <v>0</v>
      </c>
      <c r="HG5" s="86" t="str">
        <f t="shared" si="88"/>
        <v/>
      </c>
      <c r="HH5" s="86" t="str">
        <f t="shared" si="89"/>
        <v/>
      </c>
      <c r="HI5" s="86" t="str">
        <f t="shared" si="90"/>
        <v/>
      </c>
      <c r="HJ5">
        <v>3</v>
      </c>
      <c r="HK5" s="77" t="str">
        <f>Data!B4</f>
        <v xml:space="preserve">AMOS ANJILI STANLEY </v>
      </c>
      <c r="HL5" s="111"/>
      <c r="HM5" s="112"/>
      <c r="HN5" s="112"/>
      <c r="HO5" s="112"/>
      <c r="HP5" s="103">
        <f t="shared" si="91"/>
        <v>0</v>
      </c>
      <c r="HQ5" s="111"/>
      <c r="HR5" s="103">
        <f t="shared" si="92"/>
        <v>0</v>
      </c>
      <c r="HS5" s="103" t="str">
        <f t="shared" si="93"/>
        <v/>
      </c>
      <c r="HT5" s="103" t="str">
        <f t="shared" si="94"/>
        <v/>
      </c>
      <c r="HU5" s="103" t="str">
        <f t="shared" si="95"/>
        <v/>
      </c>
      <c r="HV5">
        <v>3</v>
      </c>
      <c r="HW5" s="77" t="str">
        <f>Data!B4</f>
        <v xml:space="preserve">AMOS ANJILI STANLEY </v>
      </c>
      <c r="HX5" s="78"/>
      <c r="HY5" s="78"/>
      <c r="HZ5" s="78"/>
      <c r="IA5" s="78"/>
      <c r="IB5" s="85">
        <f t="shared" si="96"/>
        <v>0</v>
      </c>
      <c r="IC5" s="85"/>
      <c r="ID5" s="85">
        <f t="shared" si="97"/>
        <v>0</v>
      </c>
      <c r="IE5" s="85" t="str">
        <f t="shared" si="98"/>
        <v/>
      </c>
      <c r="IF5" s="85" t="str">
        <f t="shared" si="99"/>
        <v/>
      </c>
      <c r="IG5" s="85" t="str">
        <f t="shared" si="100"/>
        <v/>
      </c>
      <c r="IH5">
        <v>3</v>
      </c>
      <c r="II5" s="77" t="str">
        <f>Data!B4</f>
        <v xml:space="preserve">AMOS ANJILI STANLEY </v>
      </c>
      <c r="IJ5" s="78"/>
      <c r="IK5" s="78"/>
      <c r="IL5" s="78"/>
      <c r="IM5" s="78"/>
      <c r="IN5" s="104">
        <f t="shared" si="101"/>
        <v>0</v>
      </c>
      <c r="IO5" s="104"/>
      <c r="IP5" s="104">
        <f t="shared" si="102"/>
        <v>0</v>
      </c>
      <c r="IQ5" s="104" t="str">
        <f t="shared" si="103"/>
        <v/>
      </c>
      <c r="IR5" s="104" t="str">
        <f t="shared" si="104"/>
        <v/>
      </c>
      <c r="IS5" s="104" t="str">
        <f t="shared" si="105"/>
        <v/>
      </c>
      <c r="IT5">
        <v>3</v>
      </c>
      <c r="IU5" s="77" t="str">
        <f t="shared" si="106"/>
        <v xml:space="preserve">AMOS ANJILI STANLEY </v>
      </c>
      <c r="IV5" s="105"/>
      <c r="IW5" s="105"/>
      <c r="IX5" s="105"/>
      <c r="IY5" s="105"/>
      <c r="IZ5" s="98">
        <f t="shared" si="107"/>
        <v>0</v>
      </c>
      <c r="JA5" s="105"/>
      <c r="JB5" s="98">
        <f t="shared" si="108"/>
        <v>0</v>
      </c>
      <c r="JC5" s="98" t="str">
        <f t="shared" si="109"/>
        <v/>
      </c>
      <c r="JD5" s="98" t="str">
        <f t="shared" si="110"/>
        <v/>
      </c>
      <c r="JE5" s="98" t="str">
        <f t="shared" si="111"/>
        <v/>
      </c>
      <c r="JF5">
        <v>3</v>
      </c>
      <c r="JG5" s="77" t="str">
        <f t="shared" si="112"/>
        <v xml:space="preserve">AMOS ANJILI STANLEY </v>
      </c>
      <c r="JH5" s="114"/>
      <c r="JI5" s="114"/>
      <c r="JJ5" s="114"/>
      <c r="JK5" s="114"/>
      <c r="JL5" s="82">
        <f t="shared" si="113"/>
        <v>0</v>
      </c>
      <c r="JM5" s="114"/>
      <c r="JN5" s="82">
        <f t="shared" si="114"/>
        <v>0</v>
      </c>
      <c r="JO5" s="82" t="str">
        <f t="shared" si="115"/>
        <v/>
      </c>
      <c r="JP5" s="82" t="str">
        <f t="shared" si="116"/>
        <v/>
      </c>
      <c r="JQ5" s="82" t="str">
        <f t="shared" si="117"/>
        <v/>
      </c>
      <c r="JR5">
        <v>3</v>
      </c>
      <c r="JS5" s="77" t="str">
        <f t="shared" si="118"/>
        <v xml:space="preserve">AMOS ANJILI STANLEY </v>
      </c>
      <c r="JT5" s="107"/>
      <c r="JU5" s="107"/>
      <c r="JV5" s="107"/>
      <c r="JW5" s="107"/>
      <c r="JX5" s="80">
        <f t="shared" si="119"/>
        <v>0</v>
      </c>
      <c r="JY5" s="108"/>
      <c r="JZ5" s="80">
        <f t="shared" si="0"/>
        <v>0</v>
      </c>
      <c r="KA5" s="80" t="str">
        <f t="shared" si="120"/>
        <v/>
      </c>
      <c r="KB5" s="80" t="str">
        <f t="shared" si="121"/>
        <v/>
      </c>
      <c r="KC5" s="80" t="str">
        <f t="shared" si="122"/>
        <v/>
      </c>
      <c r="KE5" s="16"/>
      <c r="KF5" s="16"/>
      <c r="KG5" s="16"/>
      <c r="KH5" s="16"/>
      <c r="KI5" s="16"/>
      <c r="KJ5" s="16"/>
      <c r="KK5" s="16"/>
      <c r="KL5" s="16"/>
      <c r="KN5" s="16"/>
      <c r="KO5" s="16"/>
      <c r="KP5" s="16"/>
      <c r="KQ5" s="16"/>
      <c r="KR5" s="16"/>
      <c r="KS5" s="16"/>
      <c r="KT5" s="16"/>
      <c r="KU5" s="16"/>
      <c r="KV5" s="16"/>
      <c r="KW5" s="16"/>
    </row>
    <row r="6" spans="1:309" ht="23.25">
      <c r="A6" s="17">
        <v>4</v>
      </c>
      <c r="B6" s="186">
        <v>4</v>
      </c>
      <c r="C6" s="77" t="str">
        <f>Data!B5</f>
        <v>BABAKURA ABUBAKAR YUSUF</v>
      </c>
      <c r="D6" s="87">
        <v>10</v>
      </c>
      <c r="E6" s="87">
        <v>6</v>
      </c>
      <c r="F6" s="87">
        <v>9</v>
      </c>
      <c r="G6" s="87">
        <v>10</v>
      </c>
      <c r="H6" s="88">
        <f t="shared" si="1"/>
        <v>35</v>
      </c>
      <c r="I6" s="87">
        <v>25</v>
      </c>
      <c r="J6" s="88">
        <f t="shared" si="2"/>
        <v>60</v>
      </c>
      <c r="K6" s="79">
        <f t="shared" si="3"/>
        <v>18</v>
      </c>
      <c r="L6" s="79" t="str">
        <f t="shared" si="4"/>
        <v>C4</v>
      </c>
      <c r="M6" s="79" t="str">
        <f t="shared" si="5"/>
        <v>Credit</v>
      </c>
      <c r="N6" s="17">
        <v>4</v>
      </c>
      <c r="O6" s="77" t="str">
        <f>Data!B5</f>
        <v>BABAKURA ABUBAKAR YUSUF</v>
      </c>
      <c r="P6" s="78"/>
      <c r="Q6" s="78"/>
      <c r="R6" s="78"/>
      <c r="S6" s="78"/>
      <c r="T6" s="80">
        <f t="shared" si="6"/>
        <v>0</v>
      </c>
      <c r="U6" s="80"/>
      <c r="V6" s="80">
        <f t="shared" si="7"/>
        <v>0</v>
      </c>
      <c r="W6" s="80" t="str">
        <f t="shared" si="8"/>
        <v/>
      </c>
      <c r="X6" s="80" t="str">
        <f t="shared" si="9"/>
        <v/>
      </c>
      <c r="Y6" s="80" t="str">
        <f t="shared" si="10"/>
        <v/>
      </c>
      <c r="Z6" s="11">
        <v>4</v>
      </c>
      <c r="AA6" s="77" t="str">
        <f>Data!B5</f>
        <v>BABAKURA ABUBAKAR YUSUF</v>
      </c>
      <c r="AB6" s="87">
        <v>10</v>
      </c>
      <c r="AC6" s="87">
        <v>6</v>
      </c>
      <c r="AD6" s="87">
        <v>9</v>
      </c>
      <c r="AE6" s="87">
        <v>10</v>
      </c>
      <c r="AF6" s="88">
        <f t="shared" si="11"/>
        <v>35</v>
      </c>
      <c r="AG6" s="87">
        <v>25</v>
      </c>
      <c r="AH6" s="88">
        <f t="shared" si="12"/>
        <v>60</v>
      </c>
      <c r="AI6" s="82">
        <f t="shared" si="13"/>
        <v>18</v>
      </c>
      <c r="AJ6" s="82" t="str">
        <f t="shared" si="14"/>
        <v>C4</v>
      </c>
      <c r="AK6" s="82" t="str">
        <f t="shared" si="15"/>
        <v>Credit</v>
      </c>
      <c r="AL6" s="11">
        <v>4</v>
      </c>
      <c r="AM6" s="77" t="str">
        <f>Data!B5</f>
        <v>BABAKURA ABUBAKAR YUSUF</v>
      </c>
      <c r="AN6" s="87">
        <v>10</v>
      </c>
      <c r="AO6" s="87">
        <v>6</v>
      </c>
      <c r="AP6" s="87">
        <v>9</v>
      </c>
      <c r="AQ6" s="87">
        <v>10</v>
      </c>
      <c r="AR6" s="88">
        <f t="shared" si="16"/>
        <v>35</v>
      </c>
      <c r="AS6" s="87">
        <v>25</v>
      </c>
      <c r="AT6" s="88">
        <f t="shared" si="17"/>
        <v>60</v>
      </c>
      <c r="AU6" s="83">
        <f t="shared" si="18"/>
        <v>18</v>
      </c>
      <c r="AV6" s="83" t="str">
        <f t="shared" si="19"/>
        <v>C4</v>
      </c>
      <c r="AW6" s="83" t="str">
        <f t="shared" si="20"/>
        <v>Credit</v>
      </c>
      <c r="AX6" s="11">
        <v>4</v>
      </c>
      <c r="AY6" s="77" t="str">
        <f>Data!B5</f>
        <v>BABAKURA ABUBAKAR YUSUF</v>
      </c>
      <c r="AZ6" s="87">
        <v>10</v>
      </c>
      <c r="BA6" s="87">
        <v>6</v>
      </c>
      <c r="BB6" s="87">
        <v>9</v>
      </c>
      <c r="BC6" s="87">
        <v>10</v>
      </c>
      <c r="BD6" s="88">
        <f t="shared" si="21"/>
        <v>35</v>
      </c>
      <c r="BE6" s="87">
        <v>25</v>
      </c>
      <c r="BF6" s="88">
        <f t="shared" si="22"/>
        <v>60</v>
      </c>
      <c r="BG6" s="85">
        <f t="shared" si="23"/>
        <v>18</v>
      </c>
      <c r="BH6" s="85" t="str">
        <f t="shared" si="24"/>
        <v>C4</v>
      </c>
      <c r="BI6" s="85" t="str">
        <f t="shared" si="25"/>
        <v>Credit</v>
      </c>
      <c r="BJ6" s="36">
        <v>4</v>
      </c>
      <c r="BK6" s="77" t="str">
        <f>Data!B5</f>
        <v>BABAKURA ABUBAKAR YUSUF</v>
      </c>
      <c r="BL6" s="87">
        <v>10</v>
      </c>
      <c r="BM6" s="87">
        <v>6</v>
      </c>
      <c r="BN6" s="87">
        <v>9</v>
      </c>
      <c r="BO6" s="87">
        <v>10</v>
      </c>
      <c r="BP6" s="88">
        <f t="shared" si="26"/>
        <v>35</v>
      </c>
      <c r="BQ6" s="87">
        <v>25</v>
      </c>
      <c r="BR6" s="88">
        <f t="shared" si="27"/>
        <v>60</v>
      </c>
      <c r="BS6" s="86">
        <f t="shared" si="28"/>
        <v>18</v>
      </c>
      <c r="BT6" s="86" t="str">
        <f t="shared" si="29"/>
        <v>C4</v>
      </c>
      <c r="BU6" s="86" t="str">
        <f t="shared" si="30"/>
        <v>Credit</v>
      </c>
      <c r="BV6">
        <v>4</v>
      </c>
      <c r="BW6" s="77" t="str">
        <f>Data!B5</f>
        <v>BABAKURA ABUBAKAR YUSUF</v>
      </c>
      <c r="BX6" s="87">
        <v>10</v>
      </c>
      <c r="BY6" s="87">
        <v>6</v>
      </c>
      <c r="BZ6" s="87">
        <v>9</v>
      </c>
      <c r="CA6" s="87">
        <v>10</v>
      </c>
      <c r="CB6" s="88">
        <f t="shared" si="31"/>
        <v>35</v>
      </c>
      <c r="CC6" s="87">
        <v>25</v>
      </c>
      <c r="CD6" s="88">
        <f t="shared" si="32"/>
        <v>60</v>
      </c>
      <c r="CE6" s="88">
        <f t="shared" si="33"/>
        <v>18</v>
      </c>
      <c r="CF6" s="88" t="str">
        <f t="shared" si="34"/>
        <v>C4</v>
      </c>
      <c r="CG6" s="88" t="str">
        <f t="shared" si="35"/>
        <v>Credit</v>
      </c>
      <c r="CH6">
        <v>4</v>
      </c>
      <c r="CI6" s="77" t="str">
        <f>Data!B5</f>
        <v>BABAKURA ABUBAKAR YUSUF</v>
      </c>
      <c r="CJ6" s="78"/>
      <c r="CK6" s="78"/>
      <c r="CL6" s="78"/>
      <c r="CM6" s="78"/>
      <c r="CN6" s="89">
        <f t="shared" si="36"/>
        <v>0</v>
      </c>
      <c r="CO6" s="89"/>
      <c r="CP6" s="89">
        <f t="shared" si="37"/>
        <v>0</v>
      </c>
      <c r="CQ6" s="89" t="str">
        <f t="shared" si="38"/>
        <v/>
      </c>
      <c r="CR6" s="89" t="str">
        <f t="shared" si="39"/>
        <v/>
      </c>
      <c r="CS6" s="89" t="str">
        <f t="shared" si="40"/>
        <v/>
      </c>
      <c r="CT6">
        <v>4</v>
      </c>
      <c r="CU6" s="77" t="str">
        <f>Data!B5</f>
        <v>BABAKURA ABUBAKAR YUSUF</v>
      </c>
      <c r="CV6" s="12"/>
      <c r="CW6" s="12"/>
      <c r="CX6" s="12"/>
      <c r="CY6" s="12"/>
      <c r="CZ6" s="90">
        <f t="shared" si="41"/>
        <v>0</v>
      </c>
      <c r="DA6" s="12"/>
      <c r="DB6" s="90">
        <f t="shared" si="42"/>
        <v>0</v>
      </c>
      <c r="DC6" s="90" t="str">
        <f t="shared" si="43"/>
        <v/>
      </c>
      <c r="DD6" s="90" t="str">
        <f t="shared" si="44"/>
        <v/>
      </c>
      <c r="DE6" s="90" t="str">
        <f t="shared" si="45"/>
        <v/>
      </c>
      <c r="DF6">
        <v>4</v>
      </c>
      <c r="DG6" s="77" t="str">
        <f>Data!B5</f>
        <v>BABAKURA ABUBAKAR YUSUF</v>
      </c>
      <c r="DH6" s="78"/>
      <c r="DI6" s="78"/>
      <c r="DJ6" s="78"/>
      <c r="DK6" s="78"/>
      <c r="DL6" s="85">
        <f t="shared" si="46"/>
        <v>0</v>
      </c>
      <c r="DM6" s="84"/>
      <c r="DN6" s="85">
        <f t="shared" si="47"/>
        <v>0</v>
      </c>
      <c r="DO6" s="85" t="str">
        <f t="shared" si="48"/>
        <v/>
      </c>
      <c r="DP6" s="85" t="str">
        <f t="shared" si="49"/>
        <v/>
      </c>
      <c r="DQ6" s="85" t="str">
        <f t="shared" si="50"/>
        <v/>
      </c>
      <c r="DR6">
        <v>4</v>
      </c>
      <c r="DS6" s="77" t="str">
        <f>Data!B5</f>
        <v>BABAKURA ABUBAKAR YUSUF</v>
      </c>
      <c r="DT6" s="91"/>
      <c r="DU6" s="91"/>
      <c r="DV6" s="91"/>
      <c r="DW6" s="91"/>
      <c r="DX6" s="92">
        <f t="shared" si="51"/>
        <v>0</v>
      </c>
      <c r="DY6" s="93"/>
      <c r="DZ6" s="92">
        <f t="shared" si="52"/>
        <v>0</v>
      </c>
      <c r="EA6" s="92" t="str">
        <f t="shared" si="53"/>
        <v/>
      </c>
      <c r="EB6" s="92" t="str">
        <f t="shared" si="54"/>
        <v/>
      </c>
      <c r="EC6" s="92" t="str">
        <f t="shared" si="55"/>
        <v/>
      </c>
      <c r="ED6">
        <v>4</v>
      </c>
      <c r="EE6" s="77" t="str">
        <f>Data!B5</f>
        <v>BABAKURA ABUBAKAR YUSUF</v>
      </c>
      <c r="EF6" s="78"/>
      <c r="EG6" s="78"/>
      <c r="EH6" s="78"/>
      <c r="EI6" s="78"/>
      <c r="EJ6" s="94">
        <f t="shared" si="56"/>
        <v>0</v>
      </c>
      <c r="EK6" s="94"/>
      <c r="EL6" s="94">
        <f t="shared" si="57"/>
        <v>0</v>
      </c>
      <c r="EM6" s="94" t="str">
        <f t="shared" si="58"/>
        <v/>
      </c>
      <c r="EN6" s="94" t="str">
        <f t="shared" si="59"/>
        <v/>
      </c>
      <c r="EO6" s="94" t="str">
        <f t="shared" si="60"/>
        <v/>
      </c>
      <c r="EP6">
        <v>4</v>
      </c>
      <c r="EQ6" s="95" t="str">
        <f>Data!B5</f>
        <v>BABAKURA ABUBAKAR YUSUF</v>
      </c>
      <c r="ER6" s="78"/>
      <c r="ES6" s="78"/>
      <c r="ET6" s="78"/>
      <c r="EU6" s="78"/>
      <c r="EV6" s="90">
        <f t="shared" si="61"/>
        <v>0</v>
      </c>
      <c r="EW6" s="90"/>
      <c r="EX6" s="90">
        <f t="shared" si="62"/>
        <v>0</v>
      </c>
      <c r="EY6" s="90" t="str">
        <f t="shared" si="63"/>
        <v/>
      </c>
      <c r="EZ6" s="90" t="str">
        <f t="shared" si="64"/>
        <v/>
      </c>
      <c r="FA6" s="90" t="str">
        <f t="shared" si="65"/>
        <v/>
      </c>
      <c r="FB6">
        <v>4</v>
      </c>
      <c r="FC6" s="77" t="str">
        <f>Data!B5</f>
        <v>BABAKURA ABUBAKAR YUSUF</v>
      </c>
      <c r="FD6" s="78"/>
      <c r="FE6" s="78"/>
      <c r="FF6" s="78"/>
      <c r="FG6" s="78"/>
      <c r="FH6" s="96">
        <f t="shared" si="66"/>
        <v>0</v>
      </c>
      <c r="FI6" s="96"/>
      <c r="FJ6" s="96">
        <f t="shared" si="67"/>
        <v>0</v>
      </c>
      <c r="FK6" s="96" t="str">
        <f t="shared" si="68"/>
        <v/>
      </c>
      <c r="FL6" s="96" t="str">
        <f t="shared" si="69"/>
        <v/>
      </c>
      <c r="FM6" s="96" t="str">
        <f t="shared" si="70"/>
        <v/>
      </c>
      <c r="FN6">
        <v>4</v>
      </c>
      <c r="FO6" s="77" t="str">
        <f>Data!B5</f>
        <v>BABAKURA ABUBAKAR YUSUF</v>
      </c>
      <c r="FP6" s="78"/>
      <c r="FQ6" s="78"/>
      <c r="FR6" s="78"/>
      <c r="FS6" s="78"/>
      <c r="FT6" s="97">
        <f t="shared" si="71"/>
        <v>0</v>
      </c>
      <c r="FU6" s="97"/>
      <c r="FV6" s="97">
        <f t="shared" si="72"/>
        <v>0</v>
      </c>
      <c r="FW6" s="97" t="str">
        <f t="shared" si="73"/>
        <v/>
      </c>
      <c r="FX6" s="97" t="str">
        <f t="shared" si="74"/>
        <v/>
      </c>
      <c r="FY6" s="97" t="str">
        <f t="shared" si="75"/>
        <v/>
      </c>
      <c r="FZ6">
        <v>4</v>
      </c>
      <c r="GA6" s="77" t="str">
        <f>Data!B5</f>
        <v>BABAKURA ABUBAKAR YUSUF</v>
      </c>
      <c r="GB6" s="78"/>
      <c r="GC6" s="78"/>
      <c r="GD6" s="78"/>
      <c r="GE6" s="78"/>
      <c r="GF6" s="98">
        <f t="shared" si="76"/>
        <v>0</v>
      </c>
      <c r="GG6" s="98"/>
      <c r="GH6" s="98">
        <f t="shared" si="77"/>
        <v>0</v>
      </c>
      <c r="GI6" s="98" t="str">
        <f t="shared" si="78"/>
        <v/>
      </c>
      <c r="GJ6" s="98" t="str">
        <f t="shared" si="79"/>
        <v/>
      </c>
      <c r="GK6" s="98" t="str">
        <f t="shared" si="80"/>
        <v/>
      </c>
      <c r="GL6">
        <v>4</v>
      </c>
      <c r="GM6" s="77" t="str">
        <f>Data!B5</f>
        <v>BABAKURA ABUBAKAR YUSUF</v>
      </c>
      <c r="GN6" s="99"/>
      <c r="GO6" s="99"/>
      <c r="GP6" s="99"/>
      <c r="GQ6" s="99"/>
      <c r="GR6" s="100">
        <f t="shared" si="81"/>
        <v>0</v>
      </c>
      <c r="GS6" s="99"/>
      <c r="GT6" s="100">
        <f t="shared" si="82"/>
        <v>0</v>
      </c>
      <c r="GU6" s="100" t="str">
        <f t="shared" si="83"/>
        <v/>
      </c>
      <c r="GV6" s="100" t="str">
        <f t="shared" si="84"/>
        <v/>
      </c>
      <c r="GW6" s="100" t="str">
        <f t="shared" si="85"/>
        <v/>
      </c>
      <c r="GX6">
        <v>4</v>
      </c>
      <c r="GY6" s="77" t="str">
        <f>Data!B5</f>
        <v>BABAKURA ABUBAKAR YUSUF</v>
      </c>
      <c r="GZ6" s="78"/>
      <c r="HA6" s="78"/>
      <c r="HB6" s="78"/>
      <c r="HC6" s="78"/>
      <c r="HD6" s="86">
        <f t="shared" si="86"/>
        <v>0</v>
      </c>
      <c r="HE6" s="86"/>
      <c r="HF6" s="86">
        <f t="shared" si="87"/>
        <v>0</v>
      </c>
      <c r="HG6" s="86" t="str">
        <f t="shared" si="88"/>
        <v/>
      </c>
      <c r="HH6" s="86" t="str">
        <f t="shared" si="89"/>
        <v/>
      </c>
      <c r="HI6" s="86" t="str">
        <f t="shared" si="90"/>
        <v/>
      </c>
      <c r="HJ6">
        <v>4</v>
      </c>
      <c r="HK6" s="77" t="str">
        <f>Data!B5</f>
        <v>BABAKURA ABUBAKAR YUSUF</v>
      </c>
      <c r="HL6" s="111">
        <v>6</v>
      </c>
      <c r="HM6" s="112">
        <v>5</v>
      </c>
      <c r="HN6" s="112">
        <v>8</v>
      </c>
      <c r="HO6" s="112">
        <v>8</v>
      </c>
      <c r="HP6" s="103">
        <f t="shared" si="91"/>
        <v>27</v>
      </c>
      <c r="HQ6" s="111"/>
      <c r="HR6" s="103">
        <f t="shared" si="92"/>
        <v>27</v>
      </c>
      <c r="HS6" s="103">
        <f t="shared" si="93"/>
        <v>17</v>
      </c>
      <c r="HT6" s="103" t="str">
        <f t="shared" si="94"/>
        <v>F</v>
      </c>
      <c r="HU6" s="103" t="str">
        <f t="shared" si="95"/>
        <v>Fail</v>
      </c>
      <c r="HV6">
        <v>4</v>
      </c>
      <c r="HW6" s="77" t="str">
        <f>Data!B5</f>
        <v>BABAKURA ABUBAKAR YUSUF</v>
      </c>
      <c r="HX6" s="78"/>
      <c r="HY6" s="78"/>
      <c r="HZ6" s="78"/>
      <c r="IA6" s="78"/>
      <c r="IB6" s="85">
        <f t="shared" si="96"/>
        <v>0</v>
      </c>
      <c r="IC6" s="85"/>
      <c r="ID6" s="85">
        <f t="shared" si="97"/>
        <v>0</v>
      </c>
      <c r="IE6" s="85" t="str">
        <f t="shared" si="98"/>
        <v/>
      </c>
      <c r="IF6" s="85" t="str">
        <f t="shared" si="99"/>
        <v/>
      </c>
      <c r="IG6" s="85" t="str">
        <f t="shared" si="100"/>
        <v/>
      </c>
      <c r="IH6">
        <v>4</v>
      </c>
      <c r="II6" s="77" t="str">
        <f>Data!B5</f>
        <v>BABAKURA ABUBAKAR YUSUF</v>
      </c>
      <c r="IJ6" s="78"/>
      <c r="IK6" s="78"/>
      <c r="IL6" s="78"/>
      <c r="IM6" s="78"/>
      <c r="IN6" s="104">
        <f t="shared" si="101"/>
        <v>0</v>
      </c>
      <c r="IO6" s="104"/>
      <c r="IP6" s="104">
        <f t="shared" si="102"/>
        <v>0</v>
      </c>
      <c r="IQ6" s="104" t="str">
        <f t="shared" si="103"/>
        <v/>
      </c>
      <c r="IR6" s="104" t="str">
        <f t="shared" si="104"/>
        <v/>
      </c>
      <c r="IS6" s="104" t="str">
        <f t="shared" si="105"/>
        <v/>
      </c>
      <c r="IT6">
        <v>4</v>
      </c>
      <c r="IU6" s="77" t="str">
        <f t="shared" si="106"/>
        <v>BABAKURA ABUBAKAR YUSUF</v>
      </c>
      <c r="IV6" s="105"/>
      <c r="IW6" s="105"/>
      <c r="IX6" s="105"/>
      <c r="IY6" s="105"/>
      <c r="IZ6" s="98">
        <f t="shared" si="107"/>
        <v>0</v>
      </c>
      <c r="JA6" s="105"/>
      <c r="JB6" s="98">
        <f t="shared" si="108"/>
        <v>0</v>
      </c>
      <c r="JC6" s="98" t="str">
        <f t="shared" si="109"/>
        <v/>
      </c>
      <c r="JD6" s="98" t="str">
        <f t="shared" si="110"/>
        <v/>
      </c>
      <c r="JE6" s="98" t="str">
        <f t="shared" si="111"/>
        <v/>
      </c>
      <c r="JF6">
        <v>4</v>
      </c>
      <c r="JG6" s="77" t="str">
        <f t="shared" si="112"/>
        <v>BABAKURA ABUBAKAR YUSUF</v>
      </c>
      <c r="JH6" s="114"/>
      <c r="JI6" s="114"/>
      <c r="JJ6" s="114"/>
      <c r="JK6" s="114"/>
      <c r="JL6" s="82">
        <f t="shared" si="113"/>
        <v>0</v>
      </c>
      <c r="JM6" s="114"/>
      <c r="JN6" s="82">
        <f t="shared" si="114"/>
        <v>0</v>
      </c>
      <c r="JO6" s="82" t="str">
        <f t="shared" si="115"/>
        <v/>
      </c>
      <c r="JP6" s="82" t="str">
        <f t="shared" si="116"/>
        <v/>
      </c>
      <c r="JQ6" s="82" t="str">
        <f t="shared" si="117"/>
        <v/>
      </c>
      <c r="JR6">
        <v>4</v>
      </c>
      <c r="JS6" s="77" t="str">
        <f t="shared" si="118"/>
        <v>BABAKURA ABUBAKAR YUSUF</v>
      </c>
      <c r="JT6" s="107"/>
      <c r="JU6" s="107"/>
      <c r="JV6" s="107"/>
      <c r="JW6" s="107"/>
      <c r="JX6" s="80">
        <f t="shared" si="119"/>
        <v>0</v>
      </c>
      <c r="JY6" s="108"/>
      <c r="JZ6" s="80">
        <f t="shared" si="0"/>
        <v>0</v>
      </c>
      <c r="KA6" s="80" t="str">
        <f t="shared" si="120"/>
        <v/>
      </c>
      <c r="KB6" s="80" t="str">
        <f t="shared" si="121"/>
        <v/>
      </c>
      <c r="KC6" s="80" t="str">
        <f t="shared" si="122"/>
        <v/>
      </c>
      <c r="KE6" s="16"/>
      <c r="KF6" s="16"/>
      <c r="KG6" s="16"/>
      <c r="KH6" s="16"/>
      <c r="KI6" s="16"/>
      <c r="KJ6" s="16"/>
      <c r="KK6" s="16"/>
      <c r="KL6" s="16"/>
      <c r="KN6" s="16"/>
      <c r="KO6" s="16"/>
      <c r="KP6" s="16"/>
      <c r="KQ6" s="16"/>
      <c r="KR6" s="16"/>
      <c r="KS6" s="16"/>
      <c r="KT6" s="16"/>
      <c r="KU6" s="16"/>
      <c r="KV6" s="16"/>
      <c r="KW6" s="16"/>
    </row>
    <row r="7" spans="1:309" ht="23.25">
      <c r="A7" s="17">
        <v>5</v>
      </c>
      <c r="B7" s="186">
        <v>5</v>
      </c>
      <c r="C7" s="77" t="str">
        <f>Data!B6</f>
        <v>BUKAR MOHAMMED KADI</v>
      </c>
      <c r="D7" s="87">
        <v>7</v>
      </c>
      <c r="E7" s="87">
        <v>6</v>
      </c>
      <c r="F7" s="87">
        <v>9</v>
      </c>
      <c r="G7" s="87">
        <v>10</v>
      </c>
      <c r="H7" s="88">
        <f t="shared" si="1"/>
        <v>32</v>
      </c>
      <c r="I7" s="87">
        <v>11</v>
      </c>
      <c r="J7" s="88">
        <f t="shared" si="2"/>
        <v>43</v>
      </c>
      <c r="K7" s="79">
        <f t="shared" si="3"/>
        <v>43</v>
      </c>
      <c r="L7" s="79" t="str">
        <f t="shared" si="4"/>
        <v>E8</v>
      </c>
      <c r="M7" s="79" t="str">
        <f t="shared" si="5"/>
        <v>Pass</v>
      </c>
      <c r="N7" s="17">
        <v>5</v>
      </c>
      <c r="O7" s="77" t="str">
        <f>Data!B6</f>
        <v>BUKAR MOHAMMED KADI</v>
      </c>
      <c r="P7" s="78"/>
      <c r="Q7" s="78"/>
      <c r="R7" s="78"/>
      <c r="S7" s="78"/>
      <c r="T7" s="80">
        <f t="shared" si="6"/>
        <v>0</v>
      </c>
      <c r="U7" s="80"/>
      <c r="V7" s="80">
        <f t="shared" si="7"/>
        <v>0</v>
      </c>
      <c r="W7" s="80" t="str">
        <f t="shared" si="8"/>
        <v/>
      </c>
      <c r="X7" s="80" t="str">
        <f t="shared" si="9"/>
        <v/>
      </c>
      <c r="Y7" s="80" t="str">
        <f t="shared" si="10"/>
        <v/>
      </c>
      <c r="Z7" s="11">
        <v>5</v>
      </c>
      <c r="AA7" s="77" t="str">
        <f>Data!B6</f>
        <v>BUKAR MOHAMMED KADI</v>
      </c>
      <c r="AB7" s="87">
        <v>7</v>
      </c>
      <c r="AC7" s="87">
        <v>6</v>
      </c>
      <c r="AD7" s="87">
        <v>9</v>
      </c>
      <c r="AE7" s="87">
        <v>10</v>
      </c>
      <c r="AF7" s="88">
        <f t="shared" si="11"/>
        <v>32</v>
      </c>
      <c r="AG7" s="87">
        <v>11</v>
      </c>
      <c r="AH7" s="88">
        <f t="shared" si="12"/>
        <v>43</v>
      </c>
      <c r="AI7" s="82">
        <f t="shared" si="13"/>
        <v>43</v>
      </c>
      <c r="AJ7" s="82" t="str">
        <f t="shared" si="14"/>
        <v>E8</v>
      </c>
      <c r="AK7" s="82" t="str">
        <f t="shared" si="15"/>
        <v>Pass</v>
      </c>
      <c r="AL7" s="11">
        <v>5</v>
      </c>
      <c r="AM7" s="77" t="str">
        <f>Data!B6</f>
        <v>BUKAR MOHAMMED KADI</v>
      </c>
      <c r="AN7" s="87">
        <v>7</v>
      </c>
      <c r="AO7" s="87">
        <v>6</v>
      </c>
      <c r="AP7" s="87">
        <v>9</v>
      </c>
      <c r="AQ7" s="87">
        <v>10</v>
      </c>
      <c r="AR7" s="88">
        <f t="shared" si="16"/>
        <v>32</v>
      </c>
      <c r="AS7" s="87">
        <v>11</v>
      </c>
      <c r="AT7" s="88">
        <f t="shared" si="17"/>
        <v>43</v>
      </c>
      <c r="AU7" s="83">
        <f t="shared" si="18"/>
        <v>43</v>
      </c>
      <c r="AV7" s="83" t="str">
        <f t="shared" si="19"/>
        <v>E8</v>
      </c>
      <c r="AW7" s="83" t="str">
        <f t="shared" si="20"/>
        <v>Pass</v>
      </c>
      <c r="AX7" s="11">
        <v>5</v>
      </c>
      <c r="AY7" s="77" t="str">
        <f>Data!B6</f>
        <v>BUKAR MOHAMMED KADI</v>
      </c>
      <c r="AZ7" s="87">
        <v>7</v>
      </c>
      <c r="BA7" s="87">
        <v>6</v>
      </c>
      <c r="BB7" s="87">
        <v>9</v>
      </c>
      <c r="BC7" s="87">
        <v>10</v>
      </c>
      <c r="BD7" s="88">
        <f t="shared" si="21"/>
        <v>32</v>
      </c>
      <c r="BE7" s="87">
        <v>11</v>
      </c>
      <c r="BF7" s="88">
        <f t="shared" si="22"/>
        <v>43</v>
      </c>
      <c r="BG7" s="85">
        <f t="shared" si="23"/>
        <v>43</v>
      </c>
      <c r="BH7" s="85" t="str">
        <f t="shared" si="24"/>
        <v>E8</v>
      </c>
      <c r="BI7" s="85" t="str">
        <f t="shared" si="25"/>
        <v>Pass</v>
      </c>
      <c r="BJ7" s="36">
        <v>5</v>
      </c>
      <c r="BK7" s="77" t="str">
        <f>Data!B6</f>
        <v>BUKAR MOHAMMED KADI</v>
      </c>
      <c r="BL7" s="87">
        <v>7</v>
      </c>
      <c r="BM7" s="87">
        <v>6</v>
      </c>
      <c r="BN7" s="87">
        <v>9</v>
      </c>
      <c r="BO7" s="87">
        <v>10</v>
      </c>
      <c r="BP7" s="88">
        <f t="shared" si="26"/>
        <v>32</v>
      </c>
      <c r="BQ7" s="87">
        <v>11</v>
      </c>
      <c r="BR7" s="88">
        <f t="shared" si="27"/>
        <v>43</v>
      </c>
      <c r="BS7" s="86">
        <f t="shared" si="28"/>
        <v>43</v>
      </c>
      <c r="BT7" s="86" t="str">
        <f t="shared" si="29"/>
        <v>E8</v>
      </c>
      <c r="BU7" s="86" t="str">
        <f t="shared" si="30"/>
        <v>Pass</v>
      </c>
      <c r="BV7">
        <v>5</v>
      </c>
      <c r="BW7" s="77" t="str">
        <f>Data!B6</f>
        <v>BUKAR MOHAMMED KADI</v>
      </c>
      <c r="BX7" s="87">
        <v>7</v>
      </c>
      <c r="BY7" s="87">
        <v>6</v>
      </c>
      <c r="BZ7" s="87">
        <v>9</v>
      </c>
      <c r="CA7" s="87">
        <v>10</v>
      </c>
      <c r="CB7" s="88">
        <f t="shared" si="31"/>
        <v>32</v>
      </c>
      <c r="CC7" s="87">
        <v>11</v>
      </c>
      <c r="CD7" s="88">
        <f t="shared" si="32"/>
        <v>43</v>
      </c>
      <c r="CE7" s="88">
        <f t="shared" si="33"/>
        <v>43</v>
      </c>
      <c r="CF7" s="88" t="str">
        <f t="shared" si="34"/>
        <v>E8</v>
      </c>
      <c r="CG7" s="88" t="str">
        <f t="shared" si="35"/>
        <v>Pass</v>
      </c>
      <c r="CH7">
        <v>5</v>
      </c>
      <c r="CI7" s="77" t="str">
        <f>Data!B6</f>
        <v>BUKAR MOHAMMED KADI</v>
      </c>
      <c r="CJ7" s="78"/>
      <c r="CK7" s="78"/>
      <c r="CL7" s="78"/>
      <c r="CM7" s="78"/>
      <c r="CN7" s="89">
        <f t="shared" si="36"/>
        <v>0</v>
      </c>
      <c r="CO7" s="89"/>
      <c r="CP7" s="89">
        <f t="shared" si="37"/>
        <v>0</v>
      </c>
      <c r="CQ7" s="89" t="str">
        <f t="shared" si="38"/>
        <v/>
      </c>
      <c r="CR7" s="89" t="str">
        <f t="shared" si="39"/>
        <v/>
      </c>
      <c r="CS7" s="89" t="str">
        <f t="shared" si="40"/>
        <v/>
      </c>
      <c r="CT7">
        <v>5</v>
      </c>
      <c r="CU7" s="77" t="str">
        <f>Data!B6</f>
        <v>BUKAR MOHAMMED KADI</v>
      </c>
      <c r="CV7" s="12"/>
      <c r="CW7" s="12"/>
      <c r="CX7" s="12"/>
      <c r="CY7" s="12"/>
      <c r="CZ7" s="90">
        <f t="shared" si="41"/>
        <v>0</v>
      </c>
      <c r="DA7" s="12"/>
      <c r="DB7" s="90">
        <f t="shared" si="42"/>
        <v>0</v>
      </c>
      <c r="DC7" s="90" t="str">
        <f t="shared" si="43"/>
        <v/>
      </c>
      <c r="DD7" s="90" t="str">
        <f t="shared" si="44"/>
        <v/>
      </c>
      <c r="DE7" s="90" t="str">
        <f t="shared" si="45"/>
        <v/>
      </c>
      <c r="DF7">
        <v>5</v>
      </c>
      <c r="DG7" s="77" t="str">
        <f>Data!B6</f>
        <v>BUKAR MOHAMMED KADI</v>
      </c>
      <c r="DH7" s="78"/>
      <c r="DI7" s="78"/>
      <c r="DJ7" s="78"/>
      <c r="DK7" s="78"/>
      <c r="DL7" s="85">
        <f t="shared" si="46"/>
        <v>0</v>
      </c>
      <c r="DM7" s="84"/>
      <c r="DN7" s="85">
        <f t="shared" si="47"/>
        <v>0</v>
      </c>
      <c r="DO7" s="85" t="str">
        <f t="shared" si="48"/>
        <v/>
      </c>
      <c r="DP7" s="85" t="str">
        <f t="shared" si="49"/>
        <v/>
      </c>
      <c r="DQ7" s="85" t="str">
        <f t="shared" si="50"/>
        <v/>
      </c>
      <c r="DR7">
        <v>5</v>
      </c>
      <c r="DS7" s="77" t="str">
        <f>Data!B6</f>
        <v>BUKAR MOHAMMED KADI</v>
      </c>
      <c r="DT7" s="91"/>
      <c r="DU7" s="91"/>
      <c r="DV7" s="91"/>
      <c r="DW7" s="91"/>
      <c r="DX7" s="92">
        <f t="shared" si="51"/>
        <v>0</v>
      </c>
      <c r="DY7" s="93"/>
      <c r="DZ7" s="92">
        <f t="shared" si="52"/>
        <v>0</v>
      </c>
      <c r="EA7" s="92" t="str">
        <f t="shared" si="53"/>
        <v/>
      </c>
      <c r="EB7" s="92" t="str">
        <f t="shared" si="54"/>
        <v/>
      </c>
      <c r="EC7" s="92" t="str">
        <f t="shared" si="55"/>
        <v/>
      </c>
      <c r="ED7">
        <v>5</v>
      </c>
      <c r="EE7" s="77" t="str">
        <f>Data!B6</f>
        <v>BUKAR MOHAMMED KADI</v>
      </c>
      <c r="EF7" s="78"/>
      <c r="EG7" s="78"/>
      <c r="EH7" s="78"/>
      <c r="EI7" s="78"/>
      <c r="EJ7" s="94">
        <f t="shared" si="56"/>
        <v>0</v>
      </c>
      <c r="EK7" s="94"/>
      <c r="EL7" s="94">
        <f t="shared" si="57"/>
        <v>0</v>
      </c>
      <c r="EM7" s="94" t="str">
        <f t="shared" si="58"/>
        <v/>
      </c>
      <c r="EN7" s="94" t="str">
        <f t="shared" si="59"/>
        <v/>
      </c>
      <c r="EO7" s="94" t="str">
        <f t="shared" si="60"/>
        <v/>
      </c>
      <c r="EP7">
        <v>5</v>
      </c>
      <c r="EQ7" s="95" t="str">
        <f>Data!B6</f>
        <v>BUKAR MOHAMMED KADI</v>
      </c>
      <c r="ER7" s="78"/>
      <c r="ES7" s="78"/>
      <c r="ET7" s="78"/>
      <c r="EU7" s="78"/>
      <c r="EV7" s="90">
        <f t="shared" si="61"/>
        <v>0</v>
      </c>
      <c r="EW7" s="90"/>
      <c r="EX7" s="90">
        <f t="shared" si="62"/>
        <v>0</v>
      </c>
      <c r="EY7" s="90" t="str">
        <f t="shared" si="63"/>
        <v/>
      </c>
      <c r="EZ7" s="90" t="str">
        <f t="shared" si="64"/>
        <v/>
      </c>
      <c r="FA7" s="90" t="str">
        <f t="shared" si="65"/>
        <v/>
      </c>
      <c r="FB7">
        <v>5</v>
      </c>
      <c r="FC7" s="77" t="str">
        <f>Data!B6</f>
        <v>BUKAR MOHAMMED KADI</v>
      </c>
      <c r="FD7" s="78"/>
      <c r="FE7" s="78"/>
      <c r="FF7" s="78"/>
      <c r="FG7" s="78"/>
      <c r="FH7" s="96">
        <f t="shared" si="66"/>
        <v>0</v>
      </c>
      <c r="FI7" s="96"/>
      <c r="FJ7" s="96">
        <f t="shared" si="67"/>
        <v>0</v>
      </c>
      <c r="FK7" s="96" t="str">
        <f t="shared" si="68"/>
        <v/>
      </c>
      <c r="FL7" s="96" t="str">
        <f t="shared" si="69"/>
        <v/>
      </c>
      <c r="FM7" s="96" t="str">
        <f t="shared" si="70"/>
        <v/>
      </c>
      <c r="FN7">
        <v>5</v>
      </c>
      <c r="FO7" s="77" t="str">
        <f>Data!B6</f>
        <v>BUKAR MOHAMMED KADI</v>
      </c>
      <c r="FP7" s="78"/>
      <c r="FQ7" s="78"/>
      <c r="FR7" s="78"/>
      <c r="FS7" s="78"/>
      <c r="FT7" s="97">
        <f t="shared" si="71"/>
        <v>0</v>
      </c>
      <c r="FU7" s="97"/>
      <c r="FV7" s="97">
        <f t="shared" si="72"/>
        <v>0</v>
      </c>
      <c r="FW7" s="97" t="str">
        <f t="shared" si="73"/>
        <v/>
      </c>
      <c r="FX7" s="97" t="str">
        <f t="shared" si="74"/>
        <v/>
      </c>
      <c r="FY7" s="97" t="str">
        <f t="shared" si="75"/>
        <v/>
      </c>
      <c r="FZ7">
        <v>5</v>
      </c>
      <c r="GA7" s="77" t="str">
        <f>Data!B6</f>
        <v>BUKAR MOHAMMED KADI</v>
      </c>
      <c r="GB7" s="78"/>
      <c r="GC7" s="78"/>
      <c r="GD7" s="78"/>
      <c r="GE7" s="78"/>
      <c r="GF7" s="98">
        <f t="shared" si="76"/>
        <v>0</v>
      </c>
      <c r="GG7" s="98"/>
      <c r="GH7" s="98">
        <f t="shared" si="77"/>
        <v>0</v>
      </c>
      <c r="GI7" s="98" t="str">
        <f t="shared" si="78"/>
        <v/>
      </c>
      <c r="GJ7" s="98" t="str">
        <f t="shared" si="79"/>
        <v/>
      </c>
      <c r="GK7" s="98" t="str">
        <f t="shared" si="80"/>
        <v/>
      </c>
      <c r="GL7">
        <v>5</v>
      </c>
      <c r="GM7" s="77" t="str">
        <f>Data!B6</f>
        <v>BUKAR MOHAMMED KADI</v>
      </c>
      <c r="GN7" s="99"/>
      <c r="GO7" s="99"/>
      <c r="GP7" s="99"/>
      <c r="GQ7" s="99"/>
      <c r="GR7" s="100">
        <f t="shared" si="81"/>
        <v>0</v>
      </c>
      <c r="GS7" s="99"/>
      <c r="GT7" s="100">
        <f t="shared" si="82"/>
        <v>0</v>
      </c>
      <c r="GU7" s="100" t="str">
        <f t="shared" si="83"/>
        <v/>
      </c>
      <c r="GV7" s="100" t="str">
        <f t="shared" si="84"/>
        <v/>
      </c>
      <c r="GW7" s="100" t="str">
        <f t="shared" si="85"/>
        <v/>
      </c>
      <c r="GX7">
        <v>5</v>
      </c>
      <c r="GY7" s="77" t="str">
        <f>Data!B6</f>
        <v>BUKAR MOHAMMED KADI</v>
      </c>
      <c r="GZ7" s="78"/>
      <c r="HA7" s="78"/>
      <c r="HB7" s="78"/>
      <c r="HC7" s="78"/>
      <c r="HD7" s="86">
        <f t="shared" si="86"/>
        <v>0</v>
      </c>
      <c r="HE7" s="86"/>
      <c r="HF7" s="86">
        <f t="shared" si="87"/>
        <v>0</v>
      </c>
      <c r="HG7" s="86" t="str">
        <f t="shared" si="88"/>
        <v/>
      </c>
      <c r="HH7" s="86" t="str">
        <f t="shared" si="89"/>
        <v/>
      </c>
      <c r="HI7" s="86" t="str">
        <f t="shared" si="90"/>
        <v/>
      </c>
      <c r="HJ7">
        <v>5</v>
      </c>
      <c r="HK7" s="77" t="str">
        <f>Data!B6</f>
        <v>BUKAR MOHAMMED KADI</v>
      </c>
      <c r="HL7" s="111"/>
      <c r="HM7" s="112"/>
      <c r="HN7" s="112"/>
      <c r="HO7" s="112"/>
      <c r="HP7" s="103">
        <f t="shared" si="91"/>
        <v>0</v>
      </c>
      <c r="HQ7" s="111"/>
      <c r="HR7" s="103">
        <f t="shared" si="92"/>
        <v>0</v>
      </c>
      <c r="HS7" s="103" t="str">
        <f t="shared" si="93"/>
        <v/>
      </c>
      <c r="HT7" s="103" t="str">
        <f t="shared" si="94"/>
        <v/>
      </c>
      <c r="HU7" s="103" t="str">
        <f t="shared" si="95"/>
        <v/>
      </c>
      <c r="HV7">
        <v>5</v>
      </c>
      <c r="HW7" s="77" t="str">
        <f>Data!B6</f>
        <v>BUKAR MOHAMMED KADI</v>
      </c>
      <c r="HX7" s="78"/>
      <c r="HY7" s="78"/>
      <c r="HZ7" s="78"/>
      <c r="IA7" s="78"/>
      <c r="IB7" s="85">
        <f t="shared" si="96"/>
        <v>0</v>
      </c>
      <c r="IC7" s="85"/>
      <c r="ID7" s="85">
        <f t="shared" si="97"/>
        <v>0</v>
      </c>
      <c r="IE7" s="85" t="str">
        <f t="shared" si="98"/>
        <v/>
      </c>
      <c r="IF7" s="85" t="str">
        <f t="shared" si="99"/>
        <v/>
      </c>
      <c r="IG7" s="85" t="str">
        <f t="shared" si="100"/>
        <v/>
      </c>
      <c r="IH7">
        <v>5</v>
      </c>
      <c r="II7" s="77" t="str">
        <f>Data!B6</f>
        <v>BUKAR MOHAMMED KADI</v>
      </c>
      <c r="IJ7" s="78"/>
      <c r="IK7" s="78"/>
      <c r="IL7" s="78"/>
      <c r="IM7" s="78"/>
      <c r="IN7" s="104">
        <f t="shared" si="101"/>
        <v>0</v>
      </c>
      <c r="IO7" s="104"/>
      <c r="IP7" s="104">
        <f t="shared" si="102"/>
        <v>0</v>
      </c>
      <c r="IQ7" s="104" t="str">
        <f t="shared" si="103"/>
        <v/>
      </c>
      <c r="IR7" s="104" t="str">
        <f t="shared" si="104"/>
        <v/>
      </c>
      <c r="IS7" s="104" t="str">
        <f t="shared" si="105"/>
        <v/>
      </c>
      <c r="IT7">
        <v>5</v>
      </c>
      <c r="IU7" s="77" t="str">
        <f t="shared" si="106"/>
        <v>BUKAR MOHAMMED KADI</v>
      </c>
      <c r="IV7" s="105"/>
      <c r="IW7" s="105"/>
      <c r="IX7" s="105"/>
      <c r="IY7" s="105"/>
      <c r="IZ7" s="98">
        <f t="shared" si="107"/>
        <v>0</v>
      </c>
      <c r="JA7" s="105"/>
      <c r="JB7" s="98">
        <f t="shared" si="108"/>
        <v>0</v>
      </c>
      <c r="JC7" s="98" t="str">
        <f t="shared" si="109"/>
        <v/>
      </c>
      <c r="JD7" s="98" t="str">
        <f t="shared" si="110"/>
        <v/>
      </c>
      <c r="JE7" s="98" t="str">
        <f t="shared" si="111"/>
        <v/>
      </c>
      <c r="JF7">
        <v>5</v>
      </c>
      <c r="JG7" s="77" t="str">
        <f t="shared" si="112"/>
        <v>BUKAR MOHAMMED KADI</v>
      </c>
      <c r="JH7" s="114"/>
      <c r="JI7" s="114"/>
      <c r="JJ7" s="114"/>
      <c r="JK7" s="114"/>
      <c r="JL7" s="82">
        <f t="shared" si="113"/>
        <v>0</v>
      </c>
      <c r="JM7" s="114"/>
      <c r="JN7" s="82">
        <f t="shared" si="114"/>
        <v>0</v>
      </c>
      <c r="JO7" s="82" t="str">
        <f t="shared" si="115"/>
        <v/>
      </c>
      <c r="JP7" s="82" t="str">
        <f t="shared" si="116"/>
        <v/>
      </c>
      <c r="JQ7" s="82" t="str">
        <f t="shared" si="117"/>
        <v/>
      </c>
      <c r="JR7">
        <v>5</v>
      </c>
      <c r="JS7" s="77" t="str">
        <f t="shared" si="118"/>
        <v>BUKAR MOHAMMED KADI</v>
      </c>
      <c r="JT7" s="107"/>
      <c r="JU7" s="107"/>
      <c r="JV7" s="107"/>
      <c r="JW7" s="107"/>
      <c r="JX7" s="80">
        <f t="shared" si="119"/>
        <v>0</v>
      </c>
      <c r="JY7" s="108"/>
      <c r="JZ7" s="80">
        <f t="shared" si="0"/>
        <v>0</v>
      </c>
      <c r="KA7" s="80" t="str">
        <f t="shared" si="120"/>
        <v/>
      </c>
      <c r="KB7" s="80" t="str">
        <f t="shared" si="121"/>
        <v/>
      </c>
      <c r="KC7" s="80" t="str">
        <f t="shared" si="122"/>
        <v/>
      </c>
      <c r="KE7" s="16"/>
      <c r="KF7" s="16"/>
      <c r="KG7" s="16"/>
      <c r="KH7" s="16"/>
      <c r="KI7" s="16"/>
      <c r="KJ7" s="16"/>
      <c r="KK7" s="16"/>
      <c r="KL7" s="16"/>
      <c r="KN7" s="16"/>
      <c r="KO7" s="16"/>
      <c r="KP7" s="16"/>
      <c r="KQ7" s="16"/>
      <c r="KR7" s="16"/>
      <c r="KS7" s="16"/>
      <c r="KT7" s="16"/>
      <c r="KU7" s="16"/>
      <c r="KV7" s="16"/>
      <c r="KW7" s="16"/>
    </row>
    <row r="8" spans="1:309" ht="23.25">
      <c r="A8" s="17">
        <v>6</v>
      </c>
      <c r="B8" s="186">
        <v>6</v>
      </c>
      <c r="C8" s="77" t="str">
        <f>Data!B7</f>
        <v xml:space="preserve">BUKAR MUSTAPHA AJI </v>
      </c>
      <c r="D8" s="87">
        <v>5</v>
      </c>
      <c r="E8" s="87">
        <v>4</v>
      </c>
      <c r="F8" s="87">
        <v>7</v>
      </c>
      <c r="G8" s="87">
        <v>9</v>
      </c>
      <c r="H8" s="88">
        <f t="shared" si="1"/>
        <v>25</v>
      </c>
      <c r="I8" s="87">
        <v>23</v>
      </c>
      <c r="J8" s="88">
        <f t="shared" si="2"/>
        <v>48</v>
      </c>
      <c r="K8" s="79">
        <f t="shared" si="3"/>
        <v>36</v>
      </c>
      <c r="L8" s="79" t="str">
        <f t="shared" si="4"/>
        <v>D7</v>
      </c>
      <c r="M8" s="79" t="str">
        <f t="shared" si="5"/>
        <v>Pass</v>
      </c>
      <c r="N8" s="17">
        <v>6</v>
      </c>
      <c r="O8" s="77" t="str">
        <f>Data!B7</f>
        <v xml:space="preserve">BUKAR MUSTAPHA AJI </v>
      </c>
      <c r="P8" s="78"/>
      <c r="Q8" s="78"/>
      <c r="R8" s="78"/>
      <c r="S8" s="78"/>
      <c r="T8" s="80">
        <f t="shared" si="6"/>
        <v>0</v>
      </c>
      <c r="U8" s="80"/>
      <c r="V8" s="80">
        <f t="shared" si="7"/>
        <v>0</v>
      </c>
      <c r="W8" s="80" t="str">
        <f t="shared" si="8"/>
        <v/>
      </c>
      <c r="X8" s="80" t="str">
        <f t="shared" si="9"/>
        <v/>
      </c>
      <c r="Y8" s="80" t="str">
        <f t="shared" si="10"/>
        <v/>
      </c>
      <c r="Z8" s="11">
        <v>6</v>
      </c>
      <c r="AA8" s="77" t="str">
        <f>Data!B7</f>
        <v xml:space="preserve">BUKAR MUSTAPHA AJI </v>
      </c>
      <c r="AB8" s="87">
        <v>5</v>
      </c>
      <c r="AC8" s="87">
        <v>4</v>
      </c>
      <c r="AD8" s="87">
        <v>7</v>
      </c>
      <c r="AE8" s="87">
        <v>9</v>
      </c>
      <c r="AF8" s="88">
        <f t="shared" si="11"/>
        <v>25</v>
      </c>
      <c r="AG8" s="87">
        <v>23</v>
      </c>
      <c r="AH8" s="88">
        <f t="shared" si="12"/>
        <v>48</v>
      </c>
      <c r="AI8" s="82">
        <f t="shared" si="13"/>
        <v>36</v>
      </c>
      <c r="AJ8" s="82" t="str">
        <f t="shared" si="14"/>
        <v>D7</v>
      </c>
      <c r="AK8" s="82" t="str">
        <f t="shared" si="15"/>
        <v>Pass</v>
      </c>
      <c r="AL8" s="11">
        <v>6</v>
      </c>
      <c r="AM8" s="77" t="str">
        <f>Data!B7</f>
        <v xml:space="preserve">BUKAR MUSTAPHA AJI </v>
      </c>
      <c r="AN8" s="87">
        <v>5</v>
      </c>
      <c r="AO8" s="87">
        <v>4</v>
      </c>
      <c r="AP8" s="87">
        <v>7</v>
      </c>
      <c r="AQ8" s="87">
        <v>9</v>
      </c>
      <c r="AR8" s="88">
        <f t="shared" si="16"/>
        <v>25</v>
      </c>
      <c r="AS8" s="87">
        <v>23</v>
      </c>
      <c r="AT8" s="88">
        <f t="shared" si="17"/>
        <v>48</v>
      </c>
      <c r="AU8" s="83">
        <f t="shared" si="18"/>
        <v>36</v>
      </c>
      <c r="AV8" s="83" t="str">
        <f t="shared" si="19"/>
        <v>D7</v>
      </c>
      <c r="AW8" s="83" t="str">
        <f t="shared" si="20"/>
        <v>Pass</v>
      </c>
      <c r="AX8" s="11">
        <v>6</v>
      </c>
      <c r="AY8" s="77" t="str">
        <f>Data!B7</f>
        <v xml:space="preserve">BUKAR MUSTAPHA AJI </v>
      </c>
      <c r="AZ8" s="87">
        <v>5</v>
      </c>
      <c r="BA8" s="87">
        <v>4</v>
      </c>
      <c r="BB8" s="87">
        <v>7</v>
      </c>
      <c r="BC8" s="87">
        <v>9</v>
      </c>
      <c r="BD8" s="88">
        <f t="shared" si="21"/>
        <v>25</v>
      </c>
      <c r="BE8" s="87">
        <v>23</v>
      </c>
      <c r="BF8" s="88">
        <f t="shared" si="22"/>
        <v>48</v>
      </c>
      <c r="BG8" s="85">
        <f t="shared" si="23"/>
        <v>36</v>
      </c>
      <c r="BH8" s="85" t="str">
        <f t="shared" si="24"/>
        <v>D7</v>
      </c>
      <c r="BI8" s="85" t="str">
        <f t="shared" si="25"/>
        <v>Pass</v>
      </c>
      <c r="BJ8" s="36">
        <v>6</v>
      </c>
      <c r="BK8" s="77" t="str">
        <f>Data!B7</f>
        <v xml:space="preserve">BUKAR MUSTAPHA AJI </v>
      </c>
      <c r="BL8" s="87">
        <v>5</v>
      </c>
      <c r="BM8" s="87">
        <v>4</v>
      </c>
      <c r="BN8" s="87">
        <v>7</v>
      </c>
      <c r="BO8" s="87">
        <v>9</v>
      </c>
      <c r="BP8" s="88">
        <f t="shared" si="26"/>
        <v>25</v>
      </c>
      <c r="BQ8" s="87">
        <v>23</v>
      </c>
      <c r="BR8" s="88">
        <f t="shared" si="27"/>
        <v>48</v>
      </c>
      <c r="BS8" s="86">
        <f t="shared" si="28"/>
        <v>36</v>
      </c>
      <c r="BT8" s="86" t="str">
        <f t="shared" si="29"/>
        <v>D7</v>
      </c>
      <c r="BU8" s="86" t="str">
        <f t="shared" si="30"/>
        <v>Pass</v>
      </c>
      <c r="BV8">
        <v>6</v>
      </c>
      <c r="BW8" s="77" t="str">
        <f>Data!B7</f>
        <v xml:space="preserve">BUKAR MUSTAPHA AJI </v>
      </c>
      <c r="BX8" s="87">
        <v>5</v>
      </c>
      <c r="BY8" s="87">
        <v>4</v>
      </c>
      <c r="BZ8" s="87">
        <v>7</v>
      </c>
      <c r="CA8" s="87">
        <v>9</v>
      </c>
      <c r="CB8" s="88">
        <f t="shared" si="31"/>
        <v>25</v>
      </c>
      <c r="CC8" s="87">
        <v>23</v>
      </c>
      <c r="CD8" s="88">
        <f t="shared" si="32"/>
        <v>48</v>
      </c>
      <c r="CE8" s="88">
        <f t="shared" si="33"/>
        <v>36</v>
      </c>
      <c r="CF8" s="88" t="str">
        <f t="shared" si="34"/>
        <v>D7</v>
      </c>
      <c r="CG8" s="88" t="str">
        <f t="shared" si="35"/>
        <v>Pass</v>
      </c>
      <c r="CH8">
        <v>6</v>
      </c>
      <c r="CI8" s="77" t="str">
        <f>Data!B7</f>
        <v xml:space="preserve">BUKAR MUSTAPHA AJI </v>
      </c>
      <c r="CJ8" s="78"/>
      <c r="CK8" s="78"/>
      <c r="CL8" s="78"/>
      <c r="CM8" s="78"/>
      <c r="CN8" s="89">
        <f t="shared" si="36"/>
        <v>0</v>
      </c>
      <c r="CO8" s="89"/>
      <c r="CP8" s="89">
        <f t="shared" si="37"/>
        <v>0</v>
      </c>
      <c r="CQ8" s="89" t="str">
        <f t="shared" si="38"/>
        <v/>
      </c>
      <c r="CR8" s="89" t="str">
        <f t="shared" si="39"/>
        <v/>
      </c>
      <c r="CS8" s="89" t="str">
        <f t="shared" si="40"/>
        <v/>
      </c>
      <c r="CT8">
        <v>6</v>
      </c>
      <c r="CU8" s="77" t="str">
        <f>Data!B7</f>
        <v xml:space="preserve">BUKAR MUSTAPHA AJI </v>
      </c>
      <c r="CV8" s="12"/>
      <c r="CW8" s="12"/>
      <c r="CX8" s="12"/>
      <c r="CY8" s="12"/>
      <c r="CZ8" s="90">
        <f t="shared" si="41"/>
        <v>0</v>
      </c>
      <c r="DA8" s="12"/>
      <c r="DB8" s="90">
        <f t="shared" si="42"/>
        <v>0</v>
      </c>
      <c r="DC8" s="90" t="str">
        <f t="shared" si="43"/>
        <v/>
      </c>
      <c r="DD8" s="90" t="str">
        <f t="shared" si="44"/>
        <v/>
      </c>
      <c r="DE8" s="90" t="str">
        <f t="shared" si="45"/>
        <v/>
      </c>
      <c r="DF8">
        <v>6</v>
      </c>
      <c r="DG8" s="77" t="str">
        <f>Data!B7</f>
        <v xml:space="preserve">BUKAR MUSTAPHA AJI </v>
      </c>
      <c r="DH8" s="78"/>
      <c r="DI8" s="78"/>
      <c r="DJ8" s="78"/>
      <c r="DK8" s="78"/>
      <c r="DL8" s="85">
        <f t="shared" si="46"/>
        <v>0</v>
      </c>
      <c r="DM8" s="84"/>
      <c r="DN8" s="85">
        <f t="shared" si="47"/>
        <v>0</v>
      </c>
      <c r="DO8" s="85" t="str">
        <f t="shared" si="48"/>
        <v/>
      </c>
      <c r="DP8" s="85" t="str">
        <f t="shared" si="49"/>
        <v/>
      </c>
      <c r="DQ8" s="85" t="str">
        <f t="shared" si="50"/>
        <v/>
      </c>
      <c r="DR8">
        <v>6</v>
      </c>
      <c r="DS8" s="77" t="str">
        <f>Data!B7</f>
        <v xml:space="preserve">BUKAR MUSTAPHA AJI </v>
      </c>
      <c r="DT8" s="91"/>
      <c r="DU8" s="91"/>
      <c r="DV8" s="91"/>
      <c r="DW8" s="91"/>
      <c r="DX8" s="92">
        <f t="shared" si="51"/>
        <v>0</v>
      </c>
      <c r="DY8" s="93"/>
      <c r="DZ8" s="92">
        <f t="shared" si="52"/>
        <v>0</v>
      </c>
      <c r="EA8" s="92" t="str">
        <f t="shared" si="53"/>
        <v/>
      </c>
      <c r="EB8" s="92" t="str">
        <f t="shared" si="54"/>
        <v/>
      </c>
      <c r="EC8" s="92" t="str">
        <f t="shared" si="55"/>
        <v/>
      </c>
      <c r="ED8">
        <v>6</v>
      </c>
      <c r="EE8" s="77" t="str">
        <f>Data!B7</f>
        <v xml:space="preserve">BUKAR MUSTAPHA AJI </v>
      </c>
      <c r="EF8" s="78"/>
      <c r="EG8" s="78"/>
      <c r="EH8" s="78"/>
      <c r="EI8" s="78"/>
      <c r="EJ8" s="94">
        <f t="shared" si="56"/>
        <v>0</v>
      </c>
      <c r="EK8" s="94"/>
      <c r="EL8" s="94">
        <f t="shared" si="57"/>
        <v>0</v>
      </c>
      <c r="EM8" s="94" t="str">
        <f t="shared" si="58"/>
        <v/>
      </c>
      <c r="EN8" s="94" t="str">
        <f t="shared" si="59"/>
        <v/>
      </c>
      <c r="EO8" s="94" t="str">
        <f t="shared" si="60"/>
        <v/>
      </c>
      <c r="EP8">
        <v>6</v>
      </c>
      <c r="EQ8" s="95" t="str">
        <f>Data!B7</f>
        <v xml:space="preserve">BUKAR MUSTAPHA AJI </v>
      </c>
      <c r="ER8" s="78"/>
      <c r="ES8" s="78"/>
      <c r="ET8" s="78"/>
      <c r="EU8" s="78"/>
      <c r="EV8" s="90">
        <f t="shared" si="61"/>
        <v>0</v>
      </c>
      <c r="EW8" s="90"/>
      <c r="EX8" s="90">
        <f t="shared" si="62"/>
        <v>0</v>
      </c>
      <c r="EY8" s="90" t="str">
        <f t="shared" si="63"/>
        <v/>
      </c>
      <c r="EZ8" s="90" t="str">
        <f t="shared" si="64"/>
        <v/>
      </c>
      <c r="FA8" s="90" t="str">
        <f t="shared" si="65"/>
        <v/>
      </c>
      <c r="FB8">
        <v>6</v>
      </c>
      <c r="FC8" s="77" t="str">
        <f>Data!B7</f>
        <v xml:space="preserve">BUKAR MUSTAPHA AJI </v>
      </c>
      <c r="FD8" s="78"/>
      <c r="FE8" s="78"/>
      <c r="FF8" s="78"/>
      <c r="FG8" s="78"/>
      <c r="FH8" s="96">
        <f t="shared" si="66"/>
        <v>0</v>
      </c>
      <c r="FI8" s="96"/>
      <c r="FJ8" s="96">
        <f t="shared" si="67"/>
        <v>0</v>
      </c>
      <c r="FK8" s="96" t="str">
        <f t="shared" si="68"/>
        <v/>
      </c>
      <c r="FL8" s="96" t="str">
        <f t="shared" si="69"/>
        <v/>
      </c>
      <c r="FM8" s="96" t="str">
        <f t="shared" si="70"/>
        <v/>
      </c>
      <c r="FN8">
        <v>6</v>
      </c>
      <c r="FO8" s="77" t="str">
        <f>Data!B7</f>
        <v xml:space="preserve">BUKAR MUSTAPHA AJI </v>
      </c>
      <c r="FP8" s="78"/>
      <c r="FQ8" s="78"/>
      <c r="FR8" s="78"/>
      <c r="FS8" s="78"/>
      <c r="FT8" s="97">
        <f t="shared" si="71"/>
        <v>0</v>
      </c>
      <c r="FU8" s="97"/>
      <c r="FV8" s="97">
        <f t="shared" si="72"/>
        <v>0</v>
      </c>
      <c r="FW8" s="97" t="str">
        <f t="shared" si="73"/>
        <v/>
      </c>
      <c r="FX8" s="97" t="str">
        <f t="shared" si="74"/>
        <v/>
      </c>
      <c r="FY8" s="97" t="str">
        <f t="shared" si="75"/>
        <v/>
      </c>
      <c r="FZ8">
        <v>6</v>
      </c>
      <c r="GA8" s="77" t="str">
        <f>Data!B7</f>
        <v xml:space="preserve">BUKAR MUSTAPHA AJI </v>
      </c>
      <c r="GB8" s="78"/>
      <c r="GC8" s="78"/>
      <c r="GD8" s="78"/>
      <c r="GE8" s="78"/>
      <c r="GF8" s="98">
        <f t="shared" si="76"/>
        <v>0</v>
      </c>
      <c r="GG8" s="98"/>
      <c r="GH8" s="98">
        <f t="shared" si="77"/>
        <v>0</v>
      </c>
      <c r="GI8" s="98" t="str">
        <f t="shared" si="78"/>
        <v/>
      </c>
      <c r="GJ8" s="98" t="str">
        <f t="shared" si="79"/>
        <v/>
      </c>
      <c r="GK8" s="98" t="str">
        <f t="shared" si="80"/>
        <v/>
      </c>
      <c r="GL8">
        <v>6</v>
      </c>
      <c r="GM8" s="77" t="str">
        <f>Data!B7</f>
        <v xml:space="preserve">BUKAR MUSTAPHA AJI </v>
      </c>
      <c r="GN8" s="99"/>
      <c r="GO8" s="99"/>
      <c r="GP8" s="99"/>
      <c r="GQ8" s="99"/>
      <c r="GR8" s="100">
        <f t="shared" si="81"/>
        <v>0</v>
      </c>
      <c r="GS8" s="99"/>
      <c r="GT8" s="100">
        <f t="shared" si="82"/>
        <v>0</v>
      </c>
      <c r="GU8" s="100" t="str">
        <f t="shared" si="83"/>
        <v/>
      </c>
      <c r="GV8" s="100" t="str">
        <f t="shared" si="84"/>
        <v/>
      </c>
      <c r="GW8" s="100" t="str">
        <f t="shared" si="85"/>
        <v/>
      </c>
      <c r="GX8">
        <v>6</v>
      </c>
      <c r="GY8" s="77" t="str">
        <f>Data!B7</f>
        <v xml:space="preserve">BUKAR MUSTAPHA AJI </v>
      </c>
      <c r="GZ8" s="78"/>
      <c r="HA8" s="78"/>
      <c r="HB8" s="78"/>
      <c r="HC8" s="78"/>
      <c r="HD8" s="86">
        <f t="shared" si="86"/>
        <v>0</v>
      </c>
      <c r="HE8" s="86"/>
      <c r="HF8" s="86">
        <f t="shared" si="87"/>
        <v>0</v>
      </c>
      <c r="HG8" s="86" t="str">
        <f t="shared" si="88"/>
        <v/>
      </c>
      <c r="HH8" s="86" t="str">
        <f t="shared" si="89"/>
        <v/>
      </c>
      <c r="HI8" s="86" t="str">
        <f t="shared" si="90"/>
        <v/>
      </c>
      <c r="HJ8">
        <v>6</v>
      </c>
      <c r="HK8" s="77" t="str">
        <f>Data!B7</f>
        <v xml:space="preserve">BUKAR MUSTAPHA AJI </v>
      </c>
      <c r="HL8" s="111"/>
      <c r="HM8" s="112"/>
      <c r="HN8" s="112"/>
      <c r="HO8" s="112"/>
      <c r="HP8" s="103">
        <f t="shared" si="91"/>
        <v>0</v>
      </c>
      <c r="HQ8" s="111"/>
      <c r="HR8" s="103">
        <f t="shared" si="92"/>
        <v>0</v>
      </c>
      <c r="HS8" s="103" t="str">
        <f t="shared" si="93"/>
        <v/>
      </c>
      <c r="HT8" s="103" t="str">
        <f t="shared" si="94"/>
        <v/>
      </c>
      <c r="HU8" s="103" t="str">
        <f t="shared" si="95"/>
        <v/>
      </c>
      <c r="HV8">
        <v>6</v>
      </c>
      <c r="HW8" s="77" t="str">
        <f>Data!B7</f>
        <v xml:space="preserve">BUKAR MUSTAPHA AJI </v>
      </c>
      <c r="HX8" s="78"/>
      <c r="HY8" s="78"/>
      <c r="HZ8" s="78"/>
      <c r="IA8" s="78"/>
      <c r="IB8" s="85">
        <f t="shared" si="96"/>
        <v>0</v>
      </c>
      <c r="IC8" s="85"/>
      <c r="ID8" s="85">
        <f t="shared" si="97"/>
        <v>0</v>
      </c>
      <c r="IE8" s="85" t="str">
        <f t="shared" si="98"/>
        <v/>
      </c>
      <c r="IF8" s="85" t="str">
        <f t="shared" si="99"/>
        <v/>
      </c>
      <c r="IG8" s="85" t="str">
        <f t="shared" si="100"/>
        <v/>
      </c>
      <c r="IH8">
        <v>6</v>
      </c>
      <c r="II8" s="77" t="str">
        <f>Data!B7</f>
        <v xml:space="preserve">BUKAR MUSTAPHA AJI </v>
      </c>
      <c r="IJ8" s="78"/>
      <c r="IK8" s="78"/>
      <c r="IL8" s="78"/>
      <c r="IM8" s="78"/>
      <c r="IN8" s="104">
        <f t="shared" si="101"/>
        <v>0</v>
      </c>
      <c r="IO8" s="104"/>
      <c r="IP8" s="104">
        <f t="shared" si="102"/>
        <v>0</v>
      </c>
      <c r="IQ8" s="104" t="str">
        <f t="shared" si="103"/>
        <v/>
      </c>
      <c r="IR8" s="104" t="str">
        <f t="shared" si="104"/>
        <v/>
      </c>
      <c r="IS8" s="104" t="str">
        <f t="shared" si="105"/>
        <v/>
      </c>
      <c r="IT8">
        <v>6</v>
      </c>
      <c r="IU8" s="77" t="str">
        <f t="shared" si="106"/>
        <v xml:space="preserve">BUKAR MUSTAPHA AJI </v>
      </c>
      <c r="IV8" s="105"/>
      <c r="IW8" s="105"/>
      <c r="IX8" s="105"/>
      <c r="IY8" s="105"/>
      <c r="IZ8" s="98">
        <f t="shared" si="107"/>
        <v>0</v>
      </c>
      <c r="JA8" s="105"/>
      <c r="JB8" s="98">
        <f t="shared" si="108"/>
        <v>0</v>
      </c>
      <c r="JC8" s="98" t="str">
        <f t="shared" si="109"/>
        <v/>
      </c>
      <c r="JD8" s="98" t="str">
        <f t="shared" si="110"/>
        <v/>
      </c>
      <c r="JE8" s="98" t="str">
        <f t="shared" si="111"/>
        <v/>
      </c>
      <c r="JF8">
        <v>6</v>
      </c>
      <c r="JG8" s="77" t="str">
        <f t="shared" si="112"/>
        <v xml:space="preserve">BUKAR MUSTAPHA AJI </v>
      </c>
      <c r="JH8" s="114"/>
      <c r="JI8" s="114"/>
      <c r="JJ8" s="114"/>
      <c r="JK8" s="114"/>
      <c r="JL8" s="82">
        <f t="shared" si="113"/>
        <v>0</v>
      </c>
      <c r="JM8" s="114"/>
      <c r="JN8" s="82">
        <f t="shared" si="114"/>
        <v>0</v>
      </c>
      <c r="JO8" s="82" t="str">
        <f t="shared" si="115"/>
        <v/>
      </c>
      <c r="JP8" s="82" t="str">
        <f t="shared" si="116"/>
        <v/>
      </c>
      <c r="JQ8" s="82" t="str">
        <f t="shared" si="117"/>
        <v/>
      </c>
      <c r="JR8">
        <v>6</v>
      </c>
      <c r="JS8" s="77" t="str">
        <f t="shared" si="118"/>
        <v xml:space="preserve">BUKAR MUSTAPHA AJI </v>
      </c>
      <c r="JT8" s="107"/>
      <c r="JU8" s="107"/>
      <c r="JV8" s="107"/>
      <c r="JW8" s="107"/>
      <c r="JX8" s="80">
        <f t="shared" si="119"/>
        <v>0</v>
      </c>
      <c r="JY8" s="108"/>
      <c r="JZ8" s="80">
        <f t="shared" si="0"/>
        <v>0</v>
      </c>
      <c r="KA8" s="80" t="str">
        <f t="shared" si="120"/>
        <v/>
      </c>
      <c r="KB8" s="80" t="str">
        <f t="shared" si="121"/>
        <v/>
      </c>
      <c r="KC8" s="80" t="str">
        <f t="shared" si="122"/>
        <v/>
      </c>
      <c r="KE8" s="16"/>
      <c r="KF8" s="16"/>
      <c r="KG8" s="16"/>
      <c r="KH8" s="16"/>
      <c r="KI8" s="16"/>
      <c r="KJ8" s="16"/>
      <c r="KK8" s="16"/>
      <c r="KL8" s="16"/>
      <c r="KN8" s="16"/>
      <c r="KO8" s="16"/>
      <c r="KP8" s="16"/>
      <c r="KQ8" s="16"/>
      <c r="KR8" s="16"/>
      <c r="KS8" s="16"/>
      <c r="KT8" s="16"/>
      <c r="KU8" s="16"/>
      <c r="KV8" s="16"/>
      <c r="KW8" s="16"/>
    </row>
    <row r="9" spans="1:309" ht="23.25">
      <c r="A9" s="17">
        <v>7</v>
      </c>
      <c r="B9" s="186">
        <v>7</v>
      </c>
      <c r="C9" s="77" t="str">
        <f>Data!B8</f>
        <v>GADZAMA IJUDIGAL JOHN</v>
      </c>
      <c r="D9" s="87">
        <v>7</v>
      </c>
      <c r="E9" s="87">
        <v>4</v>
      </c>
      <c r="F9" s="87">
        <v>9</v>
      </c>
      <c r="G9" s="87">
        <v>6</v>
      </c>
      <c r="H9" s="88">
        <f t="shared" si="1"/>
        <v>26</v>
      </c>
      <c r="I9" s="87">
        <v>11</v>
      </c>
      <c r="J9" s="88">
        <f t="shared" si="2"/>
        <v>37</v>
      </c>
      <c r="K9" s="79">
        <f t="shared" si="3"/>
        <v>48</v>
      </c>
      <c r="L9" s="79" t="str">
        <f t="shared" si="4"/>
        <v>F</v>
      </c>
      <c r="M9" s="79" t="str">
        <f t="shared" si="5"/>
        <v>Fail</v>
      </c>
      <c r="N9" s="17">
        <v>7</v>
      </c>
      <c r="O9" s="77" t="str">
        <f>Data!B8</f>
        <v>GADZAMA IJUDIGAL JOHN</v>
      </c>
      <c r="P9" s="78"/>
      <c r="Q9" s="78"/>
      <c r="R9" s="78"/>
      <c r="S9" s="78"/>
      <c r="T9" s="80">
        <f t="shared" si="6"/>
        <v>0</v>
      </c>
      <c r="U9" s="80"/>
      <c r="V9" s="80">
        <f t="shared" si="7"/>
        <v>0</v>
      </c>
      <c r="W9" s="80" t="str">
        <f t="shared" si="8"/>
        <v/>
      </c>
      <c r="X9" s="80" t="str">
        <f t="shared" si="9"/>
        <v/>
      </c>
      <c r="Y9" s="80" t="str">
        <f t="shared" si="10"/>
        <v/>
      </c>
      <c r="Z9" s="11">
        <v>7</v>
      </c>
      <c r="AA9" s="77" t="str">
        <f>Data!B8</f>
        <v>GADZAMA IJUDIGAL JOHN</v>
      </c>
      <c r="AB9" s="87">
        <v>7</v>
      </c>
      <c r="AC9" s="87">
        <v>4</v>
      </c>
      <c r="AD9" s="87">
        <v>9</v>
      </c>
      <c r="AE9" s="87">
        <v>6</v>
      </c>
      <c r="AF9" s="88">
        <f t="shared" si="11"/>
        <v>26</v>
      </c>
      <c r="AG9" s="87">
        <v>11</v>
      </c>
      <c r="AH9" s="88">
        <f t="shared" si="12"/>
        <v>37</v>
      </c>
      <c r="AI9" s="82">
        <f t="shared" si="13"/>
        <v>48</v>
      </c>
      <c r="AJ9" s="82" t="str">
        <f t="shared" si="14"/>
        <v>F</v>
      </c>
      <c r="AK9" s="82" t="str">
        <f t="shared" si="15"/>
        <v>Fail</v>
      </c>
      <c r="AL9" s="11">
        <v>7</v>
      </c>
      <c r="AM9" s="77" t="str">
        <f>Data!B8</f>
        <v>GADZAMA IJUDIGAL JOHN</v>
      </c>
      <c r="AN9" s="87">
        <v>7</v>
      </c>
      <c r="AO9" s="87">
        <v>4</v>
      </c>
      <c r="AP9" s="87">
        <v>9</v>
      </c>
      <c r="AQ9" s="87">
        <v>6</v>
      </c>
      <c r="AR9" s="88">
        <f t="shared" si="16"/>
        <v>26</v>
      </c>
      <c r="AS9" s="87">
        <v>11</v>
      </c>
      <c r="AT9" s="88">
        <f t="shared" si="17"/>
        <v>37</v>
      </c>
      <c r="AU9" s="83">
        <f t="shared" si="18"/>
        <v>48</v>
      </c>
      <c r="AV9" s="83" t="str">
        <f t="shared" si="19"/>
        <v>F</v>
      </c>
      <c r="AW9" s="83" t="str">
        <f t="shared" si="20"/>
        <v>Fail</v>
      </c>
      <c r="AX9" s="11">
        <v>7</v>
      </c>
      <c r="AY9" s="77" t="str">
        <f>Data!B8</f>
        <v>GADZAMA IJUDIGAL JOHN</v>
      </c>
      <c r="AZ9" s="87">
        <v>7</v>
      </c>
      <c r="BA9" s="87">
        <v>4</v>
      </c>
      <c r="BB9" s="87">
        <v>9</v>
      </c>
      <c r="BC9" s="87">
        <v>6</v>
      </c>
      <c r="BD9" s="88">
        <f t="shared" si="21"/>
        <v>26</v>
      </c>
      <c r="BE9" s="87">
        <v>11</v>
      </c>
      <c r="BF9" s="88">
        <f t="shared" si="22"/>
        <v>37</v>
      </c>
      <c r="BG9" s="85">
        <f t="shared" si="23"/>
        <v>48</v>
      </c>
      <c r="BH9" s="85" t="str">
        <f t="shared" si="24"/>
        <v>F</v>
      </c>
      <c r="BI9" s="85" t="str">
        <f t="shared" si="25"/>
        <v>Fail</v>
      </c>
      <c r="BJ9" s="36">
        <v>7</v>
      </c>
      <c r="BK9" s="77" t="str">
        <f>Data!B8</f>
        <v>GADZAMA IJUDIGAL JOHN</v>
      </c>
      <c r="BL9" s="87">
        <v>7</v>
      </c>
      <c r="BM9" s="87">
        <v>4</v>
      </c>
      <c r="BN9" s="87">
        <v>9</v>
      </c>
      <c r="BO9" s="87">
        <v>6</v>
      </c>
      <c r="BP9" s="88">
        <f t="shared" si="26"/>
        <v>26</v>
      </c>
      <c r="BQ9" s="87">
        <v>11</v>
      </c>
      <c r="BR9" s="88">
        <f t="shared" si="27"/>
        <v>37</v>
      </c>
      <c r="BS9" s="86">
        <f t="shared" si="28"/>
        <v>48</v>
      </c>
      <c r="BT9" s="86" t="str">
        <f t="shared" si="29"/>
        <v>F</v>
      </c>
      <c r="BU9" s="86" t="str">
        <f t="shared" si="30"/>
        <v>Fail</v>
      </c>
      <c r="BV9">
        <v>7</v>
      </c>
      <c r="BW9" s="77" t="str">
        <f>Data!B8</f>
        <v>GADZAMA IJUDIGAL JOHN</v>
      </c>
      <c r="BX9" s="87">
        <v>7</v>
      </c>
      <c r="BY9" s="87">
        <v>4</v>
      </c>
      <c r="BZ9" s="87">
        <v>9</v>
      </c>
      <c r="CA9" s="87">
        <v>6</v>
      </c>
      <c r="CB9" s="88">
        <f t="shared" si="31"/>
        <v>26</v>
      </c>
      <c r="CC9" s="87">
        <v>11</v>
      </c>
      <c r="CD9" s="88">
        <f t="shared" si="32"/>
        <v>37</v>
      </c>
      <c r="CE9" s="88">
        <f t="shared" si="33"/>
        <v>48</v>
      </c>
      <c r="CF9" s="88" t="str">
        <f t="shared" si="34"/>
        <v>F</v>
      </c>
      <c r="CG9" s="88" t="str">
        <f t="shared" si="35"/>
        <v>Fail</v>
      </c>
      <c r="CH9">
        <v>7</v>
      </c>
      <c r="CI9" s="77" t="str">
        <f>Data!B8</f>
        <v>GADZAMA IJUDIGAL JOHN</v>
      </c>
      <c r="CJ9" s="78"/>
      <c r="CK9" s="78"/>
      <c r="CL9" s="78"/>
      <c r="CM9" s="78"/>
      <c r="CN9" s="89">
        <f t="shared" si="36"/>
        <v>0</v>
      </c>
      <c r="CO9" s="89"/>
      <c r="CP9" s="89">
        <f t="shared" si="37"/>
        <v>0</v>
      </c>
      <c r="CQ9" s="89" t="str">
        <f t="shared" si="38"/>
        <v/>
      </c>
      <c r="CR9" s="89" t="str">
        <f t="shared" si="39"/>
        <v/>
      </c>
      <c r="CS9" s="89" t="str">
        <f t="shared" si="40"/>
        <v/>
      </c>
      <c r="CT9">
        <v>7</v>
      </c>
      <c r="CU9" s="77" t="str">
        <f>Data!B8</f>
        <v>GADZAMA IJUDIGAL JOHN</v>
      </c>
      <c r="CV9" s="12"/>
      <c r="CW9" s="12"/>
      <c r="CX9" s="12"/>
      <c r="CY9" s="12"/>
      <c r="CZ9" s="90">
        <f t="shared" si="41"/>
        <v>0</v>
      </c>
      <c r="DA9" s="12"/>
      <c r="DB9" s="90">
        <f t="shared" si="42"/>
        <v>0</v>
      </c>
      <c r="DC9" s="90" t="str">
        <f t="shared" si="43"/>
        <v/>
      </c>
      <c r="DD9" s="90" t="str">
        <f t="shared" si="44"/>
        <v/>
      </c>
      <c r="DE9" s="90" t="str">
        <f t="shared" si="45"/>
        <v/>
      </c>
      <c r="DF9">
        <v>7</v>
      </c>
      <c r="DG9" s="77" t="str">
        <f>Data!B8</f>
        <v>GADZAMA IJUDIGAL JOHN</v>
      </c>
      <c r="DH9" s="78"/>
      <c r="DI9" s="78"/>
      <c r="DJ9" s="78"/>
      <c r="DK9" s="78"/>
      <c r="DL9" s="85">
        <f t="shared" si="46"/>
        <v>0</v>
      </c>
      <c r="DM9" s="84"/>
      <c r="DN9" s="85">
        <f t="shared" si="47"/>
        <v>0</v>
      </c>
      <c r="DO9" s="85" t="str">
        <f t="shared" si="48"/>
        <v/>
      </c>
      <c r="DP9" s="85" t="str">
        <f t="shared" si="49"/>
        <v/>
      </c>
      <c r="DQ9" s="85" t="str">
        <f t="shared" si="50"/>
        <v/>
      </c>
      <c r="DR9">
        <v>7</v>
      </c>
      <c r="DS9" s="77" t="str">
        <f>Data!B8</f>
        <v>GADZAMA IJUDIGAL JOHN</v>
      </c>
      <c r="DT9" s="91"/>
      <c r="DU9" s="91"/>
      <c r="DV9" s="91"/>
      <c r="DW9" s="91"/>
      <c r="DX9" s="92">
        <f t="shared" si="51"/>
        <v>0</v>
      </c>
      <c r="DY9" s="93"/>
      <c r="DZ9" s="92">
        <f t="shared" si="52"/>
        <v>0</v>
      </c>
      <c r="EA9" s="92" t="str">
        <f t="shared" si="53"/>
        <v/>
      </c>
      <c r="EB9" s="92" t="str">
        <f t="shared" si="54"/>
        <v/>
      </c>
      <c r="EC9" s="92" t="str">
        <f t="shared" si="55"/>
        <v/>
      </c>
      <c r="ED9">
        <v>7</v>
      </c>
      <c r="EE9" s="77" t="str">
        <f>Data!B8</f>
        <v>GADZAMA IJUDIGAL JOHN</v>
      </c>
      <c r="EF9" s="78"/>
      <c r="EG9" s="78"/>
      <c r="EH9" s="78"/>
      <c r="EI9" s="78"/>
      <c r="EJ9" s="94">
        <f t="shared" si="56"/>
        <v>0</v>
      </c>
      <c r="EK9" s="94"/>
      <c r="EL9" s="94">
        <f t="shared" si="57"/>
        <v>0</v>
      </c>
      <c r="EM9" s="94" t="str">
        <f t="shared" si="58"/>
        <v/>
      </c>
      <c r="EN9" s="94" t="str">
        <f t="shared" si="59"/>
        <v/>
      </c>
      <c r="EO9" s="94" t="str">
        <f t="shared" si="60"/>
        <v/>
      </c>
      <c r="EP9">
        <v>7</v>
      </c>
      <c r="EQ9" s="95" t="str">
        <f>Data!B8</f>
        <v>GADZAMA IJUDIGAL JOHN</v>
      </c>
      <c r="ER9" s="78"/>
      <c r="ES9" s="78"/>
      <c r="ET9" s="78"/>
      <c r="EU9" s="78"/>
      <c r="EV9" s="90">
        <f t="shared" si="61"/>
        <v>0</v>
      </c>
      <c r="EW9" s="90"/>
      <c r="EX9" s="90">
        <f t="shared" si="62"/>
        <v>0</v>
      </c>
      <c r="EY9" s="90" t="str">
        <f t="shared" si="63"/>
        <v/>
      </c>
      <c r="EZ9" s="90" t="str">
        <f t="shared" si="64"/>
        <v/>
      </c>
      <c r="FA9" s="90" t="str">
        <f t="shared" si="65"/>
        <v/>
      </c>
      <c r="FB9">
        <v>7</v>
      </c>
      <c r="FC9" s="77" t="str">
        <f>Data!B8</f>
        <v>GADZAMA IJUDIGAL JOHN</v>
      </c>
      <c r="FD9" s="78"/>
      <c r="FE9" s="78"/>
      <c r="FF9" s="78"/>
      <c r="FG9" s="78"/>
      <c r="FH9" s="96">
        <f t="shared" si="66"/>
        <v>0</v>
      </c>
      <c r="FI9" s="96"/>
      <c r="FJ9" s="96">
        <f t="shared" si="67"/>
        <v>0</v>
      </c>
      <c r="FK9" s="96" t="str">
        <f t="shared" si="68"/>
        <v/>
      </c>
      <c r="FL9" s="96" t="str">
        <f t="shared" si="69"/>
        <v/>
      </c>
      <c r="FM9" s="96" t="str">
        <f t="shared" si="70"/>
        <v/>
      </c>
      <c r="FN9">
        <v>7</v>
      </c>
      <c r="FO9" s="77" t="str">
        <f>Data!B8</f>
        <v>GADZAMA IJUDIGAL JOHN</v>
      </c>
      <c r="FP9" s="78"/>
      <c r="FQ9" s="78"/>
      <c r="FR9" s="78"/>
      <c r="FS9" s="78"/>
      <c r="FT9" s="97">
        <f t="shared" si="71"/>
        <v>0</v>
      </c>
      <c r="FU9" s="97"/>
      <c r="FV9" s="97">
        <f t="shared" si="72"/>
        <v>0</v>
      </c>
      <c r="FW9" s="97" t="str">
        <f t="shared" si="73"/>
        <v/>
      </c>
      <c r="FX9" s="97" t="str">
        <f t="shared" si="74"/>
        <v/>
      </c>
      <c r="FY9" s="97" t="str">
        <f t="shared" si="75"/>
        <v/>
      </c>
      <c r="FZ9">
        <v>7</v>
      </c>
      <c r="GA9" s="77" t="str">
        <f>Data!B8</f>
        <v>GADZAMA IJUDIGAL JOHN</v>
      </c>
      <c r="GB9" s="78"/>
      <c r="GC9" s="78"/>
      <c r="GD9" s="78"/>
      <c r="GE9" s="78"/>
      <c r="GF9" s="98">
        <f t="shared" si="76"/>
        <v>0</v>
      </c>
      <c r="GG9" s="98"/>
      <c r="GH9" s="98">
        <f t="shared" si="77"/>
        <v>0</v>
      </c>
      <c r="GI9" s="98" t="str">
        <f t="shared" si="78"/>
        <v/>
      </c>
      <c r="GJ9" s="98" t="str">
        <f t="shared" si="79"/>
        <v/>
      </c>
      <c r="GK9" s="98" t="str">
        <f t="shared" si="80"/>
        <v/>
      </c>
      <c r="GL9">
        <v>7</v>
      </c>
      <c r="GM9" s="77" t="str">
        <f>Data!B8</f>
        <v>GADZAMA IJUDIGAL JOHN</v>
      </c>
      <c r="GN9" s="99"/>
      <c r="GO9" s="99"/>
      <c r="GP9" s="99"/>
      <c r="GQ9" s="99"/>
      <c r="GR9" s="100">
        <f t="shared" si="81"/>
        <v>0</v>
      </c>
      <c r="GS9" s="99"/>
      <c r="GT9" s="100">
        <f t="shared" si="82"/>
        <v>0</v>
      </c>
      <c r="GU9" s="100" t="str">
        <f t="shared" si="83"/>
        <v/>
      </c>
      <c r="GV9" s="100" t="str">
        <f t="shared" si="84"/>
        <v/>
      </c>
      <c r="GW9" s="100" t="str">
        <f t="shared" si="85"/>
        <v/>
      </c>
      <c r="GX9">
        <v>7</v>
      </c>
      <c r="GY9" s="77" t="str">
        <f>Data!B8</f>
        <v>GADZAMA IJUDIGAL JOHN</v>
      </c>
      <c r="GZ9" s="78"/>
      <c r="HA9" s="78"/>
      <c r="HB9" s="78"/>
      <c r="HC9" s="78"/>
      <c r="HD9" s="86">
        <f t="shared" si="86"/>
        <v>0</v>
      </c>
      <c r="HE9" s="86"/>
      <c r="HF9" s="86">
        <f t="shared" si="87"/>
        <v>0</v>
      </c>
      <c r="HG9" s="86" t="str">
        <f t="shared" si="88"/>
        <v/>
      </c>
      <c r="HH9" s="86" t="str">
        <f t="shared" si="89"/>
        <v/>
      </c>
      <c r="HI9" s="86" t="str">
        <f t="shared" si="90"/>
        <v/>
      </c>
      <c r="HJ9">
        <v>7</v>
      </c>
      <c r="HK9" s="77" t="str">
        <f>Data!B8</f>
        <v>GADZAMA IJUDIGAL JOHN</v>
      </c>
      <c r="HL9" s="111"/>
      <c r="HM9" s="112"/>
      <c r="HN9" s="112"/>
      <c r="HO9" s="112"/>
      <c r="HP9" s="103">
        <f t="shared" si="91"/>
        <v>0</v>
      </c>
      <c r="HQ9" s="111"/>
      <c r="HR9" s="103">
        <f t="shared" si="92"/>
        <v>0</v>
      </c>
      <c r="HS9" s="103" t="str">
        <f t="shared" si="93"/>
        <v/>
      </c>
      <c r="HT9" s="103" t="str">
        <f t="shared" si="94"/>
        <v/>
      </c>
      <c r="HU9" s="103" t="str">
        <f t="shared" si="95"/>
        <v/>
      </c>
      <c r="HV9">
        <v>7</v>
      </c>
      <c r="HW9" s="77" t="str">
        <f>Data!B8</f>
        <v>GADZAMA IJUDIGAL JOHN</v>
      </c>
      <c r="HX9" s="78"/>
      <c r="HY9" s="78"/>
      <c r="HZ9" s="78"/>
      <c r="IA9" s="78"/>
      <c r="IB9" s="85">
        <f t="shared" si="96"/>
        <v>0</v>
      </c>
      <c r="IC9" s="85"/>
      <c r="ID9" s="85">
        <f t="shared" si="97"/>
        <v>0</v>
      </c>
      <c r="IE9" s="85" t="str">
        <f t="shared" si="98"/>
        <v/>
      </c>
      <c r="IF9" s="85" t="str">
        <f t="shared" si="99"/>
        <v/>
      </c>
      <c r="IG9" s="85" t="str">
        <f t="shared" si="100"/>
        <v/>
      </c>
      <c r="IH9">
        <v>7</v>
      </c>
      <c r="II9" s="77" t="str">
        <f>Data!B8</f>
        <v>GADZAMA IJUDIGAL JOHN</v>
      </c>
      <c r="IJ9" s="78"/>
      <c r="IK9" s="78"/>
      <c r="IL9" s="78"/>
      <c r="IM9" s="78"/>
      <c r="IN9" s="104">
        <f t="shared" si="101"/>
        <v>0</v>
      </c>
      <c r="IO9" s="104"/>
      <c r="IP9" s="104">
        <f t="shared" si="102"/>
        <v>0</v>
      </c>
      <c r="IQ9" s="104" t="str">
        <f t="shared" si="103"/>
        <v/>
      </c>
      <c r="IR9" s="104" t="str">
        <f t="shared" si="104"/>
        <v/>
      </c>
      <c r="IS9" s="104" t="str">
        <f t="shared" si="105"/>
        <v/>
      </c>
      <c r="IT9">
        <v>7</v>
      </c>
      <c r="IU9" s="77" t="str">
        <f t="shared" si="106"/>
        <v>GADZAMA IJUDIGAL JOHN</v>
      </c>
      <c r="IV9" s="105"/>
      <c r="IW9" s="105"/>
      <c r="IX9" s="105"/>
      <c r="IY9" s="105"/>
      <c r="IZ9" s="98">
        <f t="shared" si="107"/>
        <v>0</v>
      </c>
      <c r="JA9" s="105"/>
      <c r="JB9" s="98">
        <f t="shared" si="108"/>
        <v>0</v>
      </c>
      <c r="JC9" s="98" t="str">
        <f t="shared" si="109"/>
        <v/>
      </c>
      <c r="JD9" s="98" t="str">
        <f t="shared" si="110"/>
        <v/>
      </c>
      <c r="JE9" s="98" t="str">
        <f t="shared" si="111"/>
        <v/>
      </c>
      <c r="JF9">
        <v>7</v>
      </c>
      <c r="JG9" s="77" t="str">
        <f t="shared" si="112"/>
        <v>GADZAMA IJUDIGAL JOHN</v>
      </c>
      <c r="JH9" s="114"/>
      <c r="JI9" s="114"/>
      <c r="JJ9" s="114"/>
      <c r="JK9" s="114"/>
      <c r="JL9" s="82">
        <f t="shared" si="113"/>
        <v>0</v>
      </c>
      <c r="JM9" s="114"/>
      <c r="JN9" s="82">
        <f t="shared" si="114"/>
        <v>0</v>
      </c>
      <c r="JO9" s="82" t="str">
        <f t="shared" si="115"/>
        <v/>
      </c>
      <c r="JP9" s="82" t="str">
        <f t="shared" si="116"/>
        <v/>
      </c>
      <c r="JQ9" s="82" t="str">
        <f t="shared" si="117"/>
        <v/>
      </c>
      <c r="JR9">
        <v>7</v>
      </c>
      <c r="JS9" s="77" t="str">
        <f t="shared" si="118"/>
        <v>GADZAMA IJUDIGAL JOHN</v>
      </c>
      <c r="JT9" s="107"/>
      <c r="JU9" s="107"/>
      <c r="JV9" s="107"/>
      <c r="JW9" s="107"/>
      <c r="JX9" s="80">
        <f t="shared" si="119"/>
        <v>0</v>
      </c>
      <c r="JY9" s="108"/>
      <c r="JZ9" s="80">
        <f t="shared" si="0"/>
        <v>0</v>
      </c>
      <c r="KA9" s="80" t="str">
        <f t="shared" si="120"/>
        <v/>
      </c>
      <c r="KB9" s="80" t="str">
        <f t="shared" si="121"/>
        <v/>
      </c>
      <c r="KC9" s="80" t="str">
        <f t="shared" si="122"/>
        <v/>
      </c>
      <c r="KE9" s="16"/>
      <c r="KF9" s="16"/>
      <c r="KG9" s="16"/>
      <c r="KH9" s="16"/>
      <c r="KI9" s="16"/>
      <c r="KJ9" s="16"/>
      <c r="KK9" s="16"/>
      <c r="KL9" s="16"/>
      <c r="KN9" s="16"/>
      <c r="KO9" s="16"/>
      <c r="KP9" s="16"/>
      <c r="KQ9" s="16"/>
      <c r="KR9" s="16"/>
      <c r="KS9" s="16"/>
      <c r="KT9" s="16"/>
      <c r="KU9" s="16"/>
      <c r="KV9" s="16"/>
      <c r="KW9" s="16"/>
    </row>
    <row r="10" spans="1:309" ht="23.25">
      <c r="A10" s="17">
        <v>8</v>
      </c>
      <c r="B10" s="186">
        <v>8</v>
      </c>
      <c r="C10" s="77" t="str">
        <f>Data!B9</f>
        <v xml:space="preserve">IBRAHIM EMMANUEL </v>
      </c>
      <c r="D10" s="87">
        <v>4</v>
      </c>
      <c r="E10" s="87">
        <v>9</v>
      </c>
      <c r="F10" s="87">
        <v>6</v>
      </c>
      <c r="G10" s="87">
        <v>8</v>
      </c>
      <c r="H10" s="88">
        <f t="shared" si="1"/>
        <v>27</v>
      </c>
      <c r="I10" s="87">
        <v>37</v>
      </c>
      <c r="J10" s="88">
        <f t="shared" si="2"/>
        <v>64</v>
      </c>
      <c r="K10" s="79">
        <f t="shared" si="3"/>
        <v>13</v>
      </c>
      <c r="L10" s="79" t="str">
        <f t="shared" si="4"/>
        <v>C4</v>
      </c>
      <c r="M10" s="79" t="str">
        <f t="shared" si="5"/>
        <v>Credit</v>
      </c>
      <c r="N10" s="17">
        <v>8</v>
      </c>
      <c r="O10" s="77" t="str">
        <f>Data!B9</f>
        <v xml:space="preserve">IBRAHIM EMMANUEL </v>
      </c>
      <c r="P10" s="78"/>
      <c r="Q10" s="78"/>
      <c r="R10" s="78"/>
      <c r="S10" s="78"/>
      <c r="T10" s="80">
        <f t="shared" si="6"/>
        <v>0</v>
      </c>
      <c r="U10" s="80"/>
      <c r="V10" s="80">
        <f t="shared" si="7"/>
        <v>0</v>
      </c>
      <c r="W10" s="80" t="str">
        <f t="shared" si="8"/>
        <v/>
      </c>
      <c r="X10" s="80" t="str">
        <f t="shared" si="9"/>
        <v/>
      </c>
      <c r="Y10" s="80" t="str">
        <f t="shared" si="10"/>
        <v/>
      </c>
      <c r="Z10" s="11">
        <v>8</v>
      </c>
      <c r="AA10" s="77" t="str">
        <f>Data!B9</f>
        <v xml:space="preserve">IBRAHIM EMMANUEL </v>
      </c>
      <c r="AB10" s="87">
        <v>4</v>
      </c>
      <c r="AC10" s="87">
        <v>9</v>
      </c>
      <c r="AD10" s="87">
        <v>6</v>
      </c>
      <c r="AE10" s="87">
        <v>8</v>
      </c>
      <c r="AF10" s="88">
        <f t="shared" si="11"/>
        <v>27</v>
      </c>
      <c r="AG10" s="87">
        <v>37</v>
      </c>
      <c r="AH10" s="88">
        <f t="shared" si="12"/>
        <v>64</v>
      </c>
      <c r="AI10" s="82">
        <f t="shared" si="13"/>
        <v>13</v>
      </c>
      <c r="AJ10" s="82" t="str">
        <f t="shared" si="14"/>
        <v>C4</v>
      </c>
      <c r="AK10" s="82" t="str">
        <f t="shared" si="15"/>
        <v>Credit</v>
      </c>
      <c r="AL10" s="11">
        <v>8</v>
      </c>
      <c r="AM10" s="77" t="str">
        <f>Data!B9</f>
        <v xml:space="preserve">IBRAHIM EMMANUEL </v>
      </c>
      <c r="AN10" s="87">
        <v>4</v>
      </c>
      <c r="AO10" s="87">
        <v>9</v>
      </c>
      <c r="AP10" s="87">
        <v>6</v>
      </c>
      <c r="AQ10" s="87">
        <v>8</v>
      </c>
      <c r="AR10" s="88">
        <f t="shared" si="16"/>
        <v>27</v>
      </c>
      <c r="AS10" s="87">
        <v>37</v>
      </c>
      <c r="AT10" s="88">
        <f t="shared" si="17"/>
        <v>64</v>
      </c>
      <c r="AU10" s="83">
        <f t="shared" si="18"/>
        <v>13</v>
      </c>
      <c r="AV10" s="83" t="str">
        <f t="shared" si="19"/>
        <v>C4</v>
      </c>
      <c r="AW10" s="83" t="str">
        <f t="shared" si="20"/>
        <v>Credit</v>
      </c>
      <c r="AX10" s="11">
        <v>8</v>
      </c>
      <c r="AY10" s="77" t="str">
        <f>Data!B9</f>
        <v xml:space="preserve">IBRAHIM EMMANUEL </v>
      </c>
      <c r="AZ10" s="87">
        <v>4</v>
      </c>
      <c r="BA10" s="87">
        <v>9</v>
      </c>
      <c r="BB10" s="87">
        <v>6</v>
      </c>
      <c r="BC10" s="87">
        <v>8</v>
      </c>
      <c r="BD10" s="88">
        <f t="shared" si="21"/>
        <v>27</v>
      </c>
      <c r="BE10" s="87">
        <v>37</v>
      </c>
      <c r="BF10" s="88">
        <f t="shared" si="22"/>
        <v>64</v>
      </c>
      <c r="BG10" s="85">
        <f t="shared" si="23"/>
        <v>13</v>
      </c>
      <c r="BH10" s="85" t="str">
        <f t="shared" si="24"/>
        <v>C4</v>
      </c>
      <c r="BI10" s="85" t="str">
        <f t="shared" si="25"/>
        <v>Credit</v>
      </c>
      <c r="BJ10" s="36">
        <v>8</v>
      </c>
      <c r="BK10" s="77" t="str">
        <f>Data!B9</f>
        <v xml:space="preserve">IBRAHIM EMMANUEL </v>
      </c>
      <c r="BL10" s="87">
        <v>4</v>
      </c>
      <c r="BM10" s="87">
        <v>9</v>
      </c>
      <c r="BN10" s="87">
        <v>6</v>
      </c>
      <c r="BO10" s="87">
        <v>8</v>
      </c>
      <c r="BP10" s="88">
        <f t="shared" si="26"/>
        <v>27</v>
      </c>
      <c r="BQ10" s="87">
        <v>37</v>
      </c>
      <c r="BR10" s="88">
        <f t="shared" si="27"/>
        <v>64</v>
      </c>
      <c r="BS10" s="86">
        <f t="shared" si="28"/>
        <v>13</v>
      </c>
      <c r="BT10" s="86" t="str">
        <f t="shared" si="29"/>
        <v>C4</v>
      </c>
      <c r="BU10" s="86" t="str">
        <f t="shared" si="30"/>
        <v>Credit</v>
      </c>
      <c r="BV10">
        <v>8</v>
      </c>
      <c r="BW10" s="77" t="str">
        <f>Data!B9</f>
        <v xml:space="preserve">IBRAHIM EMMANUEL </v>
      </c>
      <c r="BX10" s="87">
        <v>4</v>
      </c>
      <c r="BY10" s="87">
        <v>9</v>
      </c>
      <c r="BZ10" s="87">
        <v>6</v>
      </c>
      <c r="CA10" s="87">
        <v>8</v>
      </c>
      <c r="CB10" s="88">
        <f t="shared" si="31"/>
        <v>27</v>
      </c>
      <c r="CC10" s="87">
        <v>37</v>
      </c>
      <c r="CD10" s="88">
        <f t="shared" si="32"/>
        <v>64</v>
      </c>
      <c r="CE10" s="88">
        <f t="shared" si="33"/>
        <v>13</v>
      </c>
      <c r="CF10" s="88" t="str">
        <f t="shared" si="34"/>
        <v>C4</v>
      </c>
      <c r="CG10" s="88" t="str">
        <f t="shared" si="35"/>
        <v>Credit</v>
      </c>
      <c r="CH10">
        <v>8</v>
      </c>
      <c r="CI10" s="77" t="str">
        <f>Data!B9</f>
        <v xml:space="preserve">IBRAHIM EMMANUEL </v>
      </c>
      <c r="CJ10" s="78"/>
      <c r="CK10" s="78"/>
      <c r="CL10" s="78"/>
      <c r="CM10" s="78"/>
      <c r="CN10" s="89">
        <f t="shared" si="36"/>
        <v>0</v>
      </c>
      <c r="CO10" s="89"/>
      <c r="CP10" s="89">
        <f t="shared" si="37"/>
        <v>0</v>
      </c>
      <c r="CQ10" s="89" t="str">
        <f t="shared" si="38"/>
        <v/>
      </c>
      <c r="CR10" s="89" t="str">
        <f t="shared" si="39"/>
        <v/>
      </c>
      <c r="CS10" s="89" t="str">
        <f t="shared" si="40"/>
        <v/>
      </c>
      <c r="CT10">
        <v>8</v>
      </c>
      <c r="CU10" s="77" t="str">
        <f>Data!B9</f>
        <v xml:space="preserve">IBRAHIM EMMANUEL </v>
      </c>
      <c r="CV10" s="12"/>
      <c r="CW10" s="12"/>
      <c r="CX10" s="12"/>
      <c r="CY10" s="12"/>
      <c r="CZ10" s="90">
        <f t="shared" si="41"/>
        <v>0</v>
      </c>
      <c r="DA10" s="12"/>
      <c r="DB10" s="90">
        <f t="shared" si="42"/>
        <v>0</v>
      </c>
      <c r="DC10" s="90" t="str">
        <f t="shared" si="43"/>
        <v/>
      </c>
      <c r="DD10" s="90" t="str">
        <f t="shared" si="44"/>
        <v/>
      </c>
      <c r="DE10" s="90" t="str">
        <f t="shared" si="45"/>
        <v/>
      </c>
      <c r="DF10">
        <v>8</v>
      </c>
      <c r="DG10" s="77" t="str">
        <f>Data!B9</f>
        <v xml:space="preserve">IBRAHIM EMMANUEL </v>
      </c>
      <c r="DH10" s="78"/>
      <c r="DI10" s="78"/>
      <c r="DJ10" s="78"/>
      <c r="DK10" s="78"/>
      <c r="DL10" s="85">
        <f t="shared" si="46"/>
        <v>0</v>
      </c>
      <c r="DM10" s="84"/>
      <c r="DN10" s="85">
        <f t="shared" si="47"/>
        <v>0</v>
      </c>
      <c r="DO10" s="85" t="str">
        <f t="shared" si="48"/>
        <v/>
      </c>
      <c r="DP10" s="85" t="str">
        <f t="shared" si="49"/>
        <v/>
      </c>
      <c r="DQ10" s="85" t="str">
        <f t="shared" si="50"/>
        <v/>
      </c>
      <c r="DR10">
        <v>8</v>
      </c>
      <c r="DS10" s="77" t="str">
        <f>Data!B9</f>
        <v xml:space="preserve">IBRAHIM EMMANUEL </v>
      </c>
      <c r="DT10" s="91"/>
      <c r="DU10" s="91"/>
      <c r="DV10" s="91"/>
      <c r="DW10" s="91"/>
      <c r="DX10" s="92">
        <f t="shared" si="51"/>
        <v>0</v>
      </c>
      <c r="DY10" s="93"/>
      <c r="DZ10" s="92">
        <f t="shared" si="52"/>
        <v>0</v>
      </c>
      <c r="EA10" s="92" t="str">
        <f t="shared" si="53"/>
        <v/>
      </c>
      <c r="EB10" s="92" t="str">
        <f t="shared" si="54"/>
        <v/>
      </c>
      <c r="EC10" s="92" t="str">
        <f t="shared" si="55"/>
        <v/>
      </c>
      <c r="ED10">
        <v>8</v>
      </c>
      <c r="EE10" s="77" t="str">
        <f>Data!B9</f>
        <v xml:space="preserve">IBRAHIM EMMANUEL </v>
      </c>
      <c r="EF10" s="78"/>
      <c r="EG10" s="78"/>
      <c r="EH10" s="78"/>
      <c r="EI10" s="78"/>
      <c r="EJ10" s="94">
        <f t="shared" si="56"/>
        <v>0</v>
      </c>
      <c r="EK10" s="94"/>
      <c r="EL10" s="94">
        <f t="shared" si="57"/>
        <v>0</v>
      </c>
      <c r="EM10" s="94" t="str">
        <f t="shared" si="58"/>
        <v/>
      </c>
      <c r="EN10" s="94" t="str">
        <f t="shared" si="59"/>
        <v/>
      </c>
      <c r="EO10" s="94" t="str">
        <f t="shared" si="60"/>
        <v/>
      </c>
      <c r="EP10">
        <v>8</v>
      </c>
      <c r="EQ10" s="95" t="str">
        <f>Data!B9</f>
        <v xml:space="preserve">IBRAHIM EMMANUEL </v>
      </c>
      <c r="ER10" s="78"/>
      <c r="ES10" s="78"/>
      <c r="ET10" s="78"/>
      <c r="EU10" s="78"/>
      <c r="EV10" s="90">
        <f t="shared" si="61"/>
        <v>0</v>
      </c>
      <c r="EW10" s="90"/>
      <c r="EX10" s="90">
        <f t="shared" si="62"/>
        <v>0</v>
      </c>
      <c r="EY10" s="90" t="str">
        <f t="shared" si="63"/>
        <v/>
      </c>
      <c r="EZ10" s="90" t="str">
        <f t="shared" si="64"/>
        <v/>
      </c>
      <c r="FA10" s="90" t="str">
        <f t="shared" si="65"/>
        <v/>
      </c>
      <c r="FB10">
        <v>8</v>
      </c>
      <c r="FC10" s="77" t="str">
        <f>Data!B9</f>
        <v xml:space="preserve">IBRAHIM EMMANUEL </v>
      </c>
      <c r="FD10" s="78"/>
      <c r="FE10" s="78"/>
      <c r="FF10" s="78"/>
      <c r="FG10" s="78"/>
      <c r="FH10" s="96">
        <f t="shared" si="66"/>
        <v>0</v>
      </c>
      <c r="FI10" s="96"/>
      <c r="FJ10" s="96">
        <f t="shared" si="67"/>
        <v>0</v>
      </c>
      <c r="FK10" s="96" t="str">
        <f t="shared" si="68"/>
        <v/>
      </c>
      <c r="FL10" s="96" t="str">
        <f t="shared" si="69"/>
        <v/>
      </c>
      <c r="FM10" s="96" t="str">
        <f t="shared" si="70"/>
        <v/>
      </c>
      <c r="FN10">
        <v>8</v>
      </c>
      <c r="FO10" s="77" t="str">
        <f>Data!B9</f>
        <v xml:space="preserve">IBRAHIM EMMANUEL </v>
      </c>
      <c r="FP10" s="78"/>
      <c r="FQ10" s="78"/>
      <c r="FR10" s="78"/>
      <c r="FS10" s="78"/>
      <c r="FT10" s="97">
        <f t="shared" si="71"/>
        <v>0</v>
      </c>
      <c r="FU10" s="97"/>
      <c r="FV10" s="97">
        <f t="shared" si="72"/>
        <v>0</v>
      </c>
      <c r="FW10" s="97" t="str">
        <f t="shared" si="73"/>
        <v/>
      </c>
      <c r="FX10" s="97" t="str">
        <f t="shared" si="74"/>
        <v/>
      </c>
      <c r="FY10" s="97" t="str">
        <f t="shared" si="75"/>
        <v/>
      </c>
      <c r="FZ10">
        <v>8</v>
      </c>
      <c r="GA10" s="77" t="str">
        <f>Data!B9</f>
        <v xml:space="preserve">IBRAHIM EMMANUEL </v>
      </c>
      <c r="GB10" s="78"/>
      <c r="GC10" s="78"/>
      <c r="GD10" s="78"/>
      <c r="GE10" s="78"/>
      <c r="GF10" s="98">
        <f t="shared" si="76"/>
        <v>0</v>
      </c>
      <c r="GG10" s="98"/>
      <c r="GH10" s="98">
        <f t="shared" si="77"/>
        <v>0</v>
      </c>
      <c r="GI10" s="98" t="str">
        <f t="shared" si="78"/>
        <v/>
      </c>
      <c r="GJ10" s="98" t="str">
        <f t="shared" si="79"/>
        <v/>
      </c>
      <c r="GK10" s="98" t="str">
        <f t="shared" si="80"/>
        <v/>
      </c>
      <c r="GL10">
        <v>8</v>
      </c>
      <c r="GM10" s="77" t="str">
        <f>Data!B9</f>
        <v xml:space="preserve">IBRAHIM EMMANUEL </v>
      </c>
      <c r="GN10" s="99"/>
      <c r="GO10" s="99"/>
      <c r="GP10" s="99"/>
      <c r="GQ10" s="99"/>
      <c r="GR10" s="100">
        <f t="shared" si="81"/>
        <v>0</v>
      </c>
      <c r="GS10" s="99"/>
      <c r="GT10" s="100">
        <f t="shared" si="82"/>
        <v>0</v>
      </c>
      <c r="GU10" s="100" t="str">
        <f t="shared" si="83"/>
        <v/>
      </c>
      <c r="GV10" s="100" t="str">
        <f t="shared" si="84"/>
        <v/>
      </c>
      <c r="GW10" s="100" t="str">
        <f t="shared" si="85"/>
        <v/>
      </c>
      <c r="GX10">
        <v>8</v>
      </c>
      <c r="GY10" s="77" t="str">
        <f>Data!B9</f>
        <v xml:space="preserve">IBRAHIM EMMANUEL </v>
      </c>
      <c r="GZ10" s="78"/>
      <c r="HA10" s="78"/>
      <c r="HB10" s="78"/>
      <c r="HC10" s="78"/>
      <c r="HD10" s="86">
        <f t="shared" si="86"/>
        <v>0</v>
      </c>
      <c r="HE10" s="86"/>
      <c r="HF10" s="86">
        <f t="shared" si="87"/>
        <v>0</v>
      </c>
      <c r="HG10" s="86" t="str">
        <f t="shared" si="88"/>
        <v/>
      </c>
      <c r="HH10" s="86" t="str">
        <f t="shared" si="89"/>
        <v/>
      </c>
      <c r="HI10" s="86" t="str">
        <f t="shared" si="90"/>
        <v/>
      </c>
      <c r="HJ10">
        <v>8</v>
      </c>
      <c r="HK10" s="77" t="str">
        <f>Data!B9</f>
        <v xml:space="preserve">IBRAHIM EMMANUEL </v>
      </c>
      <c r="HL10" s="111"/>
      <c r="HM10" s="112"/>
      <c r="HN10" s="112"/>
      <c r="HO10" s="112"/>
      <c r="HP10" s="103">
        <f t="shared" si="91"/>
        <v>0</v>
      </c>
      <c r="HQ10" s="111"/>
      <c r="HR10" s="103">
        <f t="shared" si="92"/>
        <v>0</v>
      </c>
      <c r="HS10" s="103" t="str">
        <f t="shared" si="93"/>
        <v/>
      </c>
      <c r="HT10" s="103" t="str">
        <f t="shared" si="94"/>
        <v/>
      </c>
      <c r="HU10" s="103" t="str">
        <f t="shared" si="95"/>
        <v/>
      </c>
      <c r="HV10">
        <v>8</v>
      </c>
      <c r="HW10" s="77" t="str">
        <f>Data!B9</f>
        <v xml:space="preserve">IBRAHIM EMMANUEL </v>
      </c>
      <c r="HX10" s="78"/>
      <c r="HY10" s="78"/>
      <c r="HZ10" s="78"/>
      <c r="IA10" s="78"/>
      <c r="IB10" s="85">
        <f t="shared" si="96"/>
        <v>0</v>
      </c>
      <c r="IC10" s="85"/>
      <c r="ID10" s="85">
        <f t="shared" si="97"/>
        <v>0</v>
      </c>
      <c r="IE10" s="85" t="str">
        <f t="shared" si="98"/>
        <v/>
      </c>
      <c r="IF10" s="85" t="str">
        <f t="shared" si="99"/>
        <v/>
      </c>
      <c r="IG10" s="85" t="str">
        <f t="shared" si="100"/>
        <v/>
      </c>
      <c r="IH10">
        <v>8</v>
      </c>
      <c r="II10" s="77" t="str">
        <f>Data!B9</f>
        <v xml:space="preserve">IBRAHIM EMMANUEL </v>
      </c>
      <c r="IJ10" s="78"/>
      <c r="IK10" s="78"/>
      <c r="IL10" s="78"/>
      <c r="IM10" s="78"/>
      <c r="IN10" s="104">
        <f t="shared" si="101"/>
        <v>0</v>
      </c>
      <c r="IO10" s="104"/>
      <c r="IP10" s="104">
        <f t="shared" si="102"/>
        <v>0</v>
      </c>
      <c r="IQ10" s="104" t="str">
        <f t="shared" si="103"/>
        <v/>
      </c>
      <c r="IR10" s="104" t="str">
        <f t="shared" si="104"/>
        <v/>
      </c>
      <c r="IS10" s="104" t="str">
        <f t="shared" si="105"/>
        <v/>
      </c>
      <c r="IT10">
        <v>8</v>
      </c>
      <c r="IU10" s="77" t="str">
        <f t="shared" si="106"/>
        <v xml:space="preserve">IBRAHIM EMMANUEL </v>
      </c>
      <c r="IV10" s="105"/>
      <c r="IW10" s="105"/>
      <c r="IX10" s="105"/>
      <c r="IY10" s="105"/>
      <c r="IZ10" s="98">
        <f t="shared" si="107"/>
        <v>0</v>
      </c>
      <c r="JA10" s="105"/>
      <c r="JB10" s="98">
        <f t="shared" si="108"/>
        <v>0</v>
      </c>
      <c r="JC10" s="98" t="str">
        <f t="shared" si="109"/>
        <v/>
      </c>
      <c r="JD10" s="98" t="str">
        <f t="shared" si="110"/>
        <v/>
      </c>
      <c r="JE10" s="98" t="str">
        <f t="shared" si="111"/>
        <v/>
      </c>
      <c r="JF10">
        <v>8</v>
      </c>
      <c r="JG10" s="77" t="str">
        <f t="shared" si="112"/>
        <v xml:space="preserve">IBRAHIM EMMANUEL </v>
      </c>
      <c r="JH10" s="114"/>
      <c r="JI10" s="114"/>
      <c r="JJ10" s="114"/>
      <c r="JK10" s="114"/>
      <c r="JL10" s="82">
        <f t="shared" si="113"/>
        <v>0</v>
      </c>
      <c r="JM10" s="114"/>
      <c r="JN10" s="82">
        <f t="shared" si="114"/>
        <v>0</v>
      </c>
      <c r="JO10" s="82" t="str">
        <f t="shared" si="115"/>
        <v/>
      </c>
      <c r="JP10" s="82" t="str">
        <f t="shared" si="116"/>
        <v/>
      </c>
      <c r="JQ10" s="82" t="str">
        <f t="shared" si="117"/>
        <v/>
      </c>
      <c r="JR10">
        <v>8</v>
      </c>
      <c r="JS10" s="77" t="str">
        <f t="shared" si="118"/>
        <v xml:space="preserve">IBRAHIM EMMANUEL </v>
      </c>
      <c r="JT10" s="107"/>
      <c r="JU10" s="107"/>
      <c r="JV10" s="107"/>
      <c r="JW10" s="107"/>
      <c r="JX10" s="80">
        <f t="shared" si="119"/>
        <v>0</v>
      </c>
      <c r="JY10" s="108"/>
      <c r="JZ10" s="80">
        <f t="shared" si="0"/>
        <v>0</v>
      </c>
      <c r="KA10" s="80" t="str">
        <f t="shared" si="120"/>
        <v/>
      </c>
      <c r="KB10" s="80" t="str">
        <f t="shared" si="121"/>
        <v/>
      </c>
      <c r="KC10" s="80" t="str">
        <f t="shared" si="122"/>
        <v/>
      </c>
      <c r="KE10" s="16"/>
      <c r="KF10" s="16"/>
      <c r="KG10" s="16"/>
      <c r="KH10" s="16"/>
      <c r="KI10" s="16"/>
      <c r="KJ10" s="16"/>
      <c r="KK10" s="16"/>
      <c r="KL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</row>
    <row r="11" spans="1:309" ht="23.25">
      <c r="A11" s="17">
        <v>9</v>
      </c>
      <c r="B11" s="186">
        <v>9</v>
      </c>
      <c r="C11" s="77" t="str">
        <f>Data!B10</f>
        <v xml:space="preserve">ISHAKU JOSHUA KWARI </v>
      </c>
      <c r="D11" s="87">
        <v>4</v>
      </c>
      <c r="E11" s="87">
        <v>6</v>
      </c>
      <c r="F11" s="87">
        <v>9</v>
      </c>
      <c r="G11" s="87">
        <v>9</v>
      </c>
      <c r="H11" s="88">
        <f t="shared" si="1"/>
        <v>28</v>
      </c>
      <c r="I11" s="87">
        <v>24</v>
      </c>
      <c r="J11" s="88">
        <f t="shared" si="2"/>
        <v>52</v>
      </c>
      <c r="K11" s="79">
        <f t="shared" si="3"/>
        <v>33</v>
      </c>
      <c r="L11" s="79" t="str">
        <f t="shared" si="4"/>
        <v>C6</v>
      </c>
      <c r="M11" s="79" t="str">
        <f t="shared" si="5"/>
        <v>Credit</v>
      </c>
      <c r="N11" s="17">
        <v>9</v>
      </c>
      <c r="O11" s="77" t="str">
        <f>Data!B10</f>
        <v xml:space="preserve">ISHAKU JOSHUA KWARI </v>
      </c>
      <c r="P11" s="78"/>
      <c r="Q11" s="78"/>
      <c r="R11" s="78"/>
      <c r="S11" s="78"/>
      <c r="T11" s="80"/>
      <c r="U11" s="80"/>
      <c r="V11" s="80">
        <f t="shared" si="7"/>
        <v>0</v>
      </c>
      <c r="W11" s="80" t="str">
        <f t="shared" si="8"/>
        <v/>
      </c>
      <c r="X11" s="80" t="str">
        <f t="shared" si="9"/>
        <v/>
      </c>
      <c r="Y11" s="80" t="str">
        <f t="shared" si="10"/>
        <v/>
      </c>
      <c r="Z11" s="11">
        <v>9</v>
      </c>
      <c r="AA11" s="77" t="str">
        <f>Data!B10</f>
        <v xml:space="preserve">ISHAKU JOSHUA KWARI </v>
      </c>
      <c r="AB11" s="87">
        <v>4</v>
      </c>
      <c r="AC11" s="87">
        <v>6</v>
      </c>
      <c r="AD11" s="87">
        <v>9</v>
      </c>
      <c r="AE11" s="87">
        <v>9</v>
      </c>
      <c r="AF11" s="88">
        <f t="shared" si="11"/>
        <v>28</v>
      </c>
      <c r="AG11" s="87">
        <v>24</v>
      </c>
      <c r="AH11" s="88">
        <f t="shared" si="12"/>
        <v>52</v>
      </c>
      <c r="AI11" s="82">
        <f t="shared" si="13"/>
        <v>33</v>
      </c>
      <c r="AJ11" s="82" t="str">
        <f t="shared" si="14"/>
        <v>C6</v>
      </c>
      <c r="AK11" s="82" t="str">
        <f t="shared" si="15"/>
        <v>Credit</v>
      </c>
      <c r="AL11" s="11">
        <v>9</v>
      </c>
      <c r="AM11" s="77" t="str">
        <f>Data!B10</f>
        <v xml:space="preserve">ISHAKU JOSHUA KWARI </v>
      </c>
      <c r="AN11" s="87">
        <v>4</v>
      </c>
      <c r="AO11" s="87">
        <v>6</v>
      </c>
      <c r="AP11" s="87">
        <v>9</v>
      </c>
      <c r="AQ11" s="87">
        <v>9</v>
      </c>
      <c r="AR11" s="88">
        <f t="shared" si="16"/>
        <v>28</v>
      </c>
      <c r="AS11" s="87">
        <v>24</v>
      </c>
      <c r="AT11" s="88">
        <f t="shared" si="17"/>
        <v>52</v>
      </c>
      <c r="AU11" s="83">
        <f t="shared" si="18"/>
        <v>33</v>
      </c>
      <c r="AV11" s="83" t="str">
        <f t="shared" si="19"/>
        <v>C6</v>
      </c>
      <c r="AW11" s="83" t="str">
        <f t="shared" si="20"/>
        <v>Credit</v>
      </c>
      <c r="AX11" s="11">
        <v>9</v>
      </c>
      <c r="AY11" s="77" t="str">
        <f>Data!B10</f>
        <v xml:space="preserve">ISHAKU JOSHUA KWARI </v>
      </c>
      <c r="AZ11" s="87">
        <v>4</v>
      </c>
      <c r="BA11" s="87">
        <v>6</v>
      </c>
      <c r="BB11" s="87">
        <v>9</v>
      </c>
      <c r="BC11" s="87">
        <v>9</v>
      </c>
      <c r="BD11" s="88">
        <f t="shared" si="21"/>
        <v>28</v>
      </c>
      <c r="BE11" s="87">
        <v>24</v>
      </c>
      <c r="BF11" s="88">
        <f t="shared" si="22"/>
        <v>52</v>
      </c>
      <c r="BG11" s="85">
        <f t="shared" si="23"/>
        <v>33</v>
      </c>
      <c r="BH11" s="85" t="str">
        <f t="shared" si="24"/>
        <v>C6</v>
      </c>
      <c r="BI11" s="85" t="str">
        <f t="shared" si="25"/>
        <v>Credit</v>
      </c>
      <c r="BJ11" s="36">
        <v>9</v>
      </c>
      <c r="BK11" s="77" t="str">
        <f>Data!B10</f>
        <v xml:space="preserve">ISHAKU JOSHUA KWARI </v>
      </c>
      <c r="BL11" s="87">
        <v>4</v>
      </c>
      <c r="BM11" s="87">
        <v>6</v>
      </c>
      <c r="BN11" s="87">
        <v>9</v>
      </c>
      <c r="BO11" s="87">
        <v>9</v>
      </c>
      <c r="BP11" s="88">
        <f t="shared" si="26"/>
        <v>28</v>
      </c>
      <c r="BQ11" s="87">
        <v>24</v>
      </c>
      <c r="BR11" s="88">
        <f t="shared" si="27"/>
        <v>52</v>
      </c>
      <c r="BS11" s="86">
        <f t="shared" si="28"/>
        <v>33</v>
      </c>
      <c r="BT11" s="86" t="str">
        <f t="shared" si="29"/>
        <v>C6</v>
      </c>
      <c r="BU11" s="86" t="str">
        <f t="shared" si="30"/>
        <v>Credit</v>
      </c>
      <c r="BV11">
        <v>9</v>
      </c>
      <c r="BW11" s="77" t="str">
        <f>Data!B10</f>
        <v xml:space="preserve">ISHAKU JOSHUA KWARI </v>
      </c>
      <c r="BX11" s="87">
        <v>4</v>
      </c>
      <c r="BY11" s="87">
        <v>6</v>
      </c>
      <c r="BZ11" s="87">
        <v>9</v>
      </c>
      <c r="CA11" s="87">
        <v>9</v>
      </c>
      <c r="CB11" s="88">
        <f t="shared" si="31"/>
        <v>28</v>
      </c>
      <c r="CC11" s="87">
        <v>24</v>
      </c>
      <c r="CD11" s="88">
        <f t="shared" si="32"/>
        <v>52</v>
      </c>
      <c r="CE11" s="88">
        <f t="shared" si="33"/>
        <v>33</v>
      </c>
      <c r="CF11" s="88" t="str">
        <f t="shared" si="34"/>
        <v>C6</v>
      </c>
      <c r="CG11" s="88" t="str">
        <f t="shared" si="35"/>
        <v>Credit</v>
      </c>
      <c r="CH11">
        <v>9</v>
      </c>
      <c r="CI11" s="77" t="str">
        <f>Data!B10</f>
        <v xml:space="preserve">ISHAKU JOSHUA KWARI </v>
      </c>
      <c r="CJ11" s="78"/>
      <c r="CK11" s="78"/>
      <c r="CL11" s="78"/>
      <c r="CM11" s="78"/>
      <c r="CN11" s="89">
        <f t="shared" si="36"/>
        <v>0</v>
      </c>
      <c r="CO11" s="89"/>
      <c r="CP11" s="89">
        <f t="shared" si="37"/>
        <v>0</v>
      </c>
      <c r="CQ11" s="89" t="str">
        <f t="shared" si="38"/>
        <v/>
      </c>
      <c r="CR11" s="89" t="str">
        <f t="shared" si="39"/>
        <v/>
      </c>
      <c r="CS11" s="89" t="str">
        <f t="shared" si="40"/>
        <v/>
      </c>
      <c r="CT11">
        <v>9</v>
      </c>
      <c r="CU11" s="77" t="str">
        <f>Data!B10</f>
        <v xml:space="preserve">ISHAKU JOSHUA KWARI </v>
      </c>
      <c r="CV11" s="12"/>
      <c r="CW11" s="12"/>
      <c r="CX11" s="12"/>
      <c r="CY11" s="12"/>
      <c r="CZ11" s="90">
        <f t="shared" si="41"/>
        <v>0</v>
      </c>
      <c r="DA11" s="12"/>
      <c r="DB11" s="90">
        <f t="shared" si="42"/>
        <v>0</v>
      </c>
      <c r="DC11" s="90" t="str">
        <f t="shared" si="43"/>
        <v/>
      </c>
      <c r="DD11" s="90" t="str">
        <f t="shared" si="44"/>
        <v/>
      </c>
      <c r="DE11" s="90" t="str">
        <f t="shared" si="45"/>
        <v/>
      </c>
      <c r="DF11">
        <v>9</v>
      </c>
      <c r="DG11" s="77" t="str">
        <f>Data!B10</f>
        <v xml:space="preserve">ISHAKU JOSHUA KWARI </v>
      </c>
      <c r="DH11" s="78"/>
      <c r="DI11" s="78"/>
      <c r="DJ11" s="78"/>
      <c r="DK11" s="78"/>
      <c r="DL11" s="85">
        <f t="shared" si="46"/>
        <v>0</v>
      </c>
      <c r="DM11" s="84"/>
      <c r="DN11" s="85">
        <f t="shared" si="47"/>
        <v>0</v>
      </c>
      <c r="DO11" s="85" t="str">
        <f t="shared" si="48"/>
        <v/>
      </c>
      <c r="DP11" s="85" t="str">
        <f t="shared" si="49"/>
        <v/>
      </c>
      <c r="DQ11" s="85" t="str">
        <f t="shared" si="50"/>
        <v/>
      </c>
      <c r="DR11">
        <v>9</v>
      </c>
      <c r="DS11" s="77" t="str">
        <f>Data!B10</f>
        <v xml:space="preserve">ISHAKU JOSHUA KWARI </v>
      </c>
      <c r="DT11" s="91"/>
      <c r="DU11" s="91"/>
      <c r="DV11" s="91"/>
      <c r="DW11" s="91"/>
      <c r="DX11" s="92">
        <f t="shared" si="51"/>
        <v>0</v>
      </c>
      <c r="DY11" s="93"/>
      <c r="DZ11" s="92">
        <f t="shared" si="52"/>
        <v>0</v>
      </c>
      <c r="EA11" s="92" t="str">
        <f t="shared" si="53"/>
        <v/>
      </c>
      <c r="EB11" s="92" t="str">
        <f t="shared" si="54"/>
        <v/>
      </c>
      <c r="EC11" s="92" t="str">
        <f t="shared" si="55"/>
        <v/>
      </c>
      <c r="ED11">
        <v>9</v>
      </c>
      <c r="EE11" s="77" t="str">
        <f>Data!B10</f>
        <v xml:space="preserve">ISHAKU JOSHUA KWARI </v>
      </c>
      <c r="EF11" s="78"/>
      <c r="EG11" s="78"/>
      <c r="EH11" s="78"/>
      <c r="EI11" s="78"/>
      <c r="EJ11" s="94">
        <f t="shared" si="56"/>
        <v>0</v>
      </c>
      <c r="EK11" s="94"/>
      <c r="EL11" s="94">
        <f t="shared" si="57"/>
        <v>0</v>
      </c>
      <c r="EM11" s="94" t="str">
        <f t="shared" si="58"/>
        <v/>
      </c>
      <c r="EN11" s="94" t="str">
        <f t="shared" si="59"/>
        <v/>
      </c>
      <c r="EO11" s="94" t="str">
        <f t="shared" si="60"/>
        <v/>
      </c>
      <c r="EP11">
        <v>9</v>
      </c>
      <c r="EQ11" s="95" t="str">
        <f>Data!B10</f>
        <v xml:space="preserve">ISHAKU JOSHUA KWARI </v>
      </c>
      <c r="ER11" s="78"/>
      <c r="ES11" s="78"/>
      <c r="ET11" s="78"/>
      <c r="EU11" s="78"/>
      <c r="EV11" s="90">
        <f t="shared" si="61"/>
        <v>0</v>
      </c>
      <c r="EW11" s="90"/>
      <c r="EX11" s="90">
        <f t="shared" si="62"/>
        <v>0</v>
      </c>
      <c r="EY11" s="90" t="str">
        <f t="shared" si="63"/>
        <v/>
      </c>
      <c r="EZ11" s="90" t="str">
        <f t="shared" si="64"/>
        <v/>
      </c>
      <c r="FA11" s="90" t="str">
        <f t="shared" si="65"/>
        <v/>
      </c>
      <c r="FB11">
        <v>9</v>
      </c>
      <c r="FC11" s="77" t="str">
        <f>Data!B10</f>
        <v xml:space="preserve">ISHAKU JOSHUA KWARI </v>
      </c>
      <c r="FD11" s="78"/>
      <c r="FE11" s="78"/>
      <c r="FF11" s="78"/>
      <c r="FG11" s="78"/>
      <c r="FH11" s="96">
        <f t="shared" si="66"/>
        <v>0</v>
      </c>
      <c r="FI11" s="96"/>
      <c r="FJ11" s="96">
        <f t="shared" si="67"/>
        <v>0</v>
      </c>
      <c r="FK11" s="96" t="str">
        <f t="shared" si="68"/>
        <v/>
      </c>
      <c r="FL11" s="96" t="str">
        <f t="shared" si="69"/>
        <v/>
      </c>
      <c r="FM11" s="96" t="str">
        <f t="shared" si="70"/>
        <v/>
      </c>
      <c r="FN11">
        <v>9</v>
      </c>
      <c r="FO11" s="77" t="str">
        <f>Data!B10</f>
        <v xml:space="preserve">ISHAKU JOSHUA KWARI </v>
      </c>
      <c r="FP11" s="78"/>
      <c r="FQ11" s="78"/>
      <c r="FR11" s="78"/>
      <c r="FS11" s="78"/>
      <c r="FT11" s="97">
        <f t="shared" si="71"/>
        <v>0</v>
      </c>
      <c r="FU11" s="97"/>
      <c r="FV11" s="97">
        <f t="shared" si="72"/>
        <v>0</v>
      </c>
      <c r="FW11" s="97" t="str">
        <f t="shared" si="73"/>
        <v/>
      </c>
      <c r="FX11" s="97" t="str">
        <f t="shared" si="74"/>
        <v/>
      </c>
      <c r="FY11" s="97" t="str">
        <f t="shared" si="75"/>
        <v/>
      </c>
      <c r="FZ11">
        <v>9</v>
      </c>
      <c r="GA11" s="77" t="str">
        <f>Data!B10</f>
        <v xml:space="preserve">ISHAKU JOSHUA KWARI </v>
      </c>
      <c r="GB11" s="78"/>
      <c r="GC11" s="78"/>
      <c r="GD11" s="78"/>
      <c r="GE11" s="78"/>
      <c r="GF11" s="98">
        <f t="shared" si="76"/>
        <v>0</v>
      </c>
      <c r="GG11" s="98"/>
      <c r="GH11" s="98">
        <f t="shared" si="77"/>
        <v>0</v>
      </c>
      <c r="GI11" s="98" t="str">
        <f t="shared" si="78"/>
        <v/>
      </c>
      <c r="GJ11" s="98" t="str">
        <f t="shared" si="79"/>
        <v/>
      </c>
      <c r="GK11" s="98" t="str">
        <f t="shared" si="80"/>
        <v/>
      </c>
      <c r="GL11">
        <v>9</v>
      </c>
      <c r="GM11" s="77" t="str">
        <f>Data!B10</f>
        <v xml:space="preserve">ISHAKU JOSHUA KWARI </v>
      </c>
      <c r="GN11" s="99"/>
      <c r="GO11" s="99"/>
      <c r="GP11" s="99"/>
      <c r="GQ11" s="99"/>
      <c r="GR11" s="100">
        <f t="shared" si="81"/>
        <v>0</v>
      </c>
      <c r="GS11" s="99"/>
      <c r="GT11" s="100">
        <f t="shared" si="82"/>
        <v>0</v>
      </c>
      <c r="GU11" s="100" t="str">
        <f t="shared" si="83"/>
        <v/>
      </c>
      <c r="GV11" s="100" t="str">
        <f t="shared" si="84"/>
        <v/>
      </c>
      <c r="GW11" s="100" t="str">
        <f t="shared" si="85"/>
        <v/>
      </c>
      <c r="GX11">
        <v>9</v>
      </c>
      <c r="GY11" s="77" t="str">
        <f>Data!B10</f>
        <v xml:space="preserve">ISHAKU JOSHUA KWARI </v>
      </c>
      <c r="GZ11" s="78"/>
      <c r="HA11" s="78"/>
      <c r="HB11" s="78"/>
      <c r="HC11" s="78"/>
      <c r="HD11" s="86">
        <f t="shared" si="86"/>
        <v>0</v>
      </c>
      <c r="HE11" s="86"/>
      <c r="HF11" s="86">
        <f t="shared" si="87"/>
        <v>0</v>
      </c>
      <c r="HG11" s="86" t="str">
        <f t="shared" si="88"/>
        <v/>
      </c>
      <c r="HH11" s="86" t="str">
        <f t="shared" si="89"/>
        <v/>
      </c>
      <c r="HI11" s="86" t="str">
        <f t="shared" si="90"/>
        <v/>
      </c>
      <c r="HJ11">
        <v>9</v>
      </c>
      <c r="HK11" s="77" t="str">
        <f>Data!B10</f>
        <v xml:space="preserve">ISHAKU JOSHUA KWARI </v>
      </c>
      <c r="HL11" s="111"/>
      <c r="HM11" s="112"/>
      <c r="HN11" s="112"/>
      <c r="HO11" s="112"/>
      <c r="HP11" s="103">
        <f t="shared" si="91"/>
        <v>0</v>
      </c>
      <c r="HQ11" s="111"/>
      <c r="HR11" s="103">
        <f t="shared" si="92"/>
        <v>0</v>
      </c>
      <c r="HS11" s="103" t="str">
        <f t="shared" si="93"/>
        <v/>
      </c>
      <c r="HT11" s="103" t="str">
        <f t="shared" si="94"/>
        <v/>
      </c>
      <c r="HU11" s="103" t="str">
        <f t="shared" si="95"/>
        <v/>
      </c>
      <c r="HV11">
        <v>9</v>
      </c>
      <c r="HW11" s="77" t="str">
        <f>Data!B10</f>
        <v xml:space="preserve">ISHAKU JOSHUA KWARI </v>
      </c>
      <c r="HX11" s="78"/>
      <c r="HY11" s="78"/>
      <c r="HZ11" s="78"/>
      <c r="IA11" s="78"/>
      <c r="IB11" s="85">
        <f t="shared" si="96"/>
        <v>0</v>
      </c>
      <c r="IC11" s="85"/>
      <c r="ID11" s="85">
        <f t="shared" si="97"/>
        <v>0</v>
      </c>
      <c r="IE11" s="85" t="str">
        <f t="shared" si="98"/>
        <v/>
      </c>
      <c r="IF11" s="85" t="str">
        <f t="shared" si="99"/>
        <v/>
      </c>
      <c r="IG11" s="85" t="str">
        <f t="shared" si="100"/>
        <v/>
      </c>
      <c r="IH11">
        <v>9</v>
      </c>
      <c r="II11" s="77" t="str">
        <f>Data!B10</f>
        <v xml:space="preserve">ISHAKU JOSHUA KWARI </v>
      </c>
      <c r="IJ11" s="78"/>
      <c r="IK11" s="78"/>
      <c r="IL11" s="78"/>
      <c r="IM11" s="78"/>
      <c r="IN11" s="104">
        <f t="shared" si="101"/>
        <v>0</v>
      </c>
      <c r="IO11" s="104"/>
      <c r="IP11" s="104">
        <f t="shared" si="102"/>
        <v>0</v>
      </c>
      <c r="IQ11" s="104" t="str">
        <f t="shared" si="103"/>
        <v/>
      </c>
      <c r="IR11" s="104" t="str">
        <f t="shared" si="104"/>
        <v/>
      </c>
      <c r="IS11" s="104" t="str">
        <f t="shared" si="105"/>
        <v/>
      </c>
      <c r="IT11">
        <v>9</v>
      </c>
      <c r="IU11" s="77" t="str">
        <f t="shared" si="106"/>
        <v xml:space="preserve">ISHAKU JOSHUA KWARI </v>
      </c>
      <c r="IV11" s="105"/>
      <c r="IW11" s="105"/>
      <c r="IX11" s="105"/>
      <c r="IY11" s="105"/>
      <c r="IZ11" s="98">
        <f t="shared" si="107"/>
        <v>0</v>
      </c>
      <c r="JA11" s="105"/>
      <c r="JB11" s="98">
        <f t="shared" si="108"/>
        <v>0</v>
      </c>
      <c r="JC11" s="98" t="str">
        <f t="shared" si="109"/>
        <v/>
      </c>
      <c r="JD11" s="98" t="str">
        <f t="shared" si="110"/>
        <v/>
      </c>
      <c r="JE11" s="98" t="str">
        <f t="shared" si="111"/>
        <v/>
      </c>
      <c r="JF11">
        <v>9</v>
      </c>
      <c r="JG11" s="77" t="str">
        <f t="shared" si="112"/>
        <v xml:space="preserve">ISHAKU JOSHUA KWARI </v>
      </c>
      <c r="JH11" s="114"/>
      <c r="JI11" s="114"/>
      <c r="JJ11" s="114"/>
      <c r="JK11" s="114"/>
      <c r="JL11" s="82">
        <f t="shared" si="113"/>
        <v>0</v>
      </c>
      <c r="JM11" s="114"/>
      <c r="JN11" s="82">
        <f t="shared" si="114"/>
        <v>0</v>
      </c>
      <c r="JO11" s="82" t="str">
        <f t="shared" si="115"/>
        <v/>
      </c>
      <c r="JP11" s="82" t="str">
        <f t="shared" si="116"/>
        <v/>
      </c>
      <c r="JQ11" s="82" t="str">
        <f t="shared" si="117"/>
        <v/>
      </c>
      <c r="JR11">
        <v>9</v>
      </c>
      <c r="JS11" s="77" t="str">
        <f t="shared" si="118"/>
        <v xml:space="preserve">ISHAKU JOSHUA KWARI </v>
      </c>
      <c r="JT11" s="107"/>
      <c r="JU11" s="107"/>
      <c r="JV11" s="107"/>
      <c r="JW11" s="107"/>
      <c r="JX11" s="80">
        <f t="shared" si="119"/>
        <v>0</v>
      </c>
      <c r="JY11" s="108"/>
      <c r="JZ11" s="80">
        <f t="shared" si="0"/>
        <v>0</v>
      </c>
      <c r="KA11" s="80" t="str">
        <f t="shared" si="120"/>
        <v/>
      </c>
      <c r="KB11" s="80" t="str">
        <f t="shared" si="121"/>
        <v/>
      </c>
      <c r="KC11" s="80" t="str">
        <f t="shared" si="122"/>
        <v/>
      </c>
      <c r="KE11" s="16"/>
      <c r="KF11" s="16"/>
      <c r="KG11" s="16"/>
      <c r="KH11" s="16"/>
      <c r="KI11" s="16"/>
      <c r="KJ11" s="16"/>
      <c r="KK11" s="16"/>
      <c r="KL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</row>
    <row r="12" spans="1:309" ht="23.25">
      <c r="A12" s="17">
        <v>10</v>
      </c>
      <c r="B12" s="186">
        <v>10</v>
      </c>
      <c r="C12" s="77" t="str">
        <f>Data!B11</f>
        <v xml:space="preserve">PETER SIMON WANDIYAHEL </v>
      </c>
      <c r="D12" s="87">
        <v>1</v>
      </c>
      <c r="E12" s="87">
        <v>7</v>
      </c>
      <c r="F12" s="87">
        <v>8</v>
      </c>
      <c r="G12" s="87">
        <v>10</v>
      </c>
      <c r="H12" s="88">
        <f t="shared" si="1"/>
        <v>26</v>
      </c>
      <c r="I12" s="87">
        <v>29</v>
      </c>
      <c r="J12" s="88">
        <f t="shared" si="2"/>
        <v>55</v>
      </c>
      <c r="K12" s="79">
        <f t="shared" si="3"/>
        <v>27</v>
      </c>
      <c r="L12" s="79" t="str">
        <f t="shared" si="4"/>
        <v>C5</v>
      </c>
      <c r="M12" s="79" t="str">
        <f t="shared" si="5"/>
        <v>Credit</v>
      </c>
      <c r="N12" s="17">
        <v>10</v>
      </c>
      <c r="O12" s="77" t="str">
        <f>Data!B11</f>
        <v xml:space="preserve">PETER SIMON WANDIYAHEL </v>
      </c>
      <c r="P12" s="78"/>
      <c r="Q12" s="78"/>
      <c r="R12" s="78"/>
      <c r="S12" s="78"/>
      <c r="T12" s="80">
        <f t="shared" si="6"/>
        <v>0</v>
      </c>
      <c r="U12" s="80"/>
      <c r="V12" s="80">
        <f t="shared" si="7"/>
        <v>0</v>
      </c>
      <c r="W12" s="80" t="str">
        <f t="shared" si="8"/>
        <v/>
      </c>
      <c r="X12" s="80" t="str">
        <f t="shared" si="9"/>
        <v/>
      </c>
      <c r="Y12" s="80" t="str">
        <f t="shared" si="10"/>
        <v/>
      </c>
      <c r="Z12" s="11">
        <v>10</v>
      </c>
      <c r="AA12" s="77" t="str">
        <f>Data!B11</f>
        <v xml:space="preserve">PETER SIMON WANDIYAHEL </v>
      </c>
      <c r="AB12" s="87">
        <v>1</v>
      </c>
      <c r="AC12" s="87">
        <v>7</v>
      </c>
      <c r="AD12" s="87">
        <v>8</v>
      </c>
      <c r="AE12" s="87">
        <v>10</v>
      </c>
      <c r="AF12" s="88">
        <f t="shared" si="11"/>
        <v>26</v>
      </c>
      <c r="AG12" s="87">
        <v>29</v>
      </c>
      <c r="AH12" s="88">
        <f t="shared" si="12"/>
        <v>55</v>
      </c>
      <c r="AI12" s="82">
        <f t="shared" si="13"/>
        <v>27</v>
      </c>
      <c r="AJ12" s="82" t="str">
        <f t="shared" si="14"/>
        <v>C5</v>
      </c>
      <c r="AK12" s="82" t="str">
        <f t="shared" si="15"/>
        <v>Credit</v>
      </c>
      <c r="AL12" s="11">
        <v>10</v>
      </c>
      <c r="AM12" s="77" t="str">
        <f>Data!B11</f>
        <v xml:space="preserve">PETER SIMON WANDIYAHEL </v>
      </c>
      <c r="AN12" s="87">
        <v>1</v>
      </c>
      <c r="AO12" s="87">
        <v>7</v>
      </c>
      <c r="AP12" s="87">
        <v>8</v>
      </c>
      <c r="AQ12" s="87">
        <v>10</v>
      </c>
      <c r="AR12" s="88">
        <f t="shared" si="16"/>
        <v>26</v>
      </c>
      <c r="AS12" s="87">
        <v>29</v>
      </c>
      <c r="AT12" s="88">
        <f t="shared" si="17"/>
        <v>55</v>
      </c>
      <c r="AU12" s="83">
        <f t="shared" si="18"/>
        <v>27</v>
      </c>
      <c r="AV12" s="83" t="str">
        <f t="shared" si="19"/>
        <v>C5</v>
      </c>
      <c r="AW12" s="83" t="str">
        <f t="shared" si="20"/>
        <v>Credit</v>
      </c>
      <c r="AX12" s="11">
        <v>10</v>
      </c>
      <c r="AY12" s="77" t="str">
        <f>Data!B11</f>
        <v xml:space="preserve">PETER SIMON WANDIYAHEL </v>
      </c>
      <c r="AZ12" s="87">
        <v>1</v>
      </c>
      <c r="BA12" s="87">
        <v>7</v>
      </c>
      <c r="BB12" s="87">
        <v>8</v>
      </c>
      <c r="BC12" s="87">
        <v>10</v>
      </c>
      <c r="BD12" s="88">
        <f t="shared" si="21"/>
        <v>26</v>
      </c>
      <c r="BE12" s="87">
        <v>29</v>
      </c>
      <c r="BF12" s="88">
        <f t="shared" si="22"/>
        <v>55</v>
      </c>
      <c r="BG12" s="85">
        <f t="shared" si="23"/>
        <v>27</v>
      </c>
      <c r="BH12" s="85" t="str">
        <f t="shared" si="24"/>
        <v>C5</v>
      </c>
      <c r="BI12" s="85" t="str">
        <f t="shared" si="25"/>
        <v>Credit</v>
      </c>
      <c r="BJ12" s="36">
        <v>10</v>
      </c>
      <c r="BK12" s="77" t="str">
        <f>Data!B11</f>
        <v xml:space="preserve">PETER SIMON WANDIYAHEL </v>
      </c>
      <c r="BL12" s="87">
        <v>1</v>
      </c>
      <c r="BM12" s="87">
        <v>7</v>
      </c>
      <c r="BN12" s="87">
        <v>8</v>
      </c>
      <c r="BO12" s="87">
        <v>10</v>
      </c>
      <c r="BP12" s="88">
        <f t="shared" si="26"/>
        <v>26</v>
      </c>
      <c r="BQ12" s="87">
        <v>29</v>
      </c>
      <c r="BR12" s="88">
        <f t="shared" si="27"/>
        <v>55</v>
      </c>
      <c r="BS12" s="86">
        <f t="shared" si="28"/>
        <v>27</v>
      </c>
      <c r="BT12" s="86" t="str">
        <f t="shared" si="29"/>
        <v>C5</v>
      </c>
      <c r="BU12" s="86" t="str">
        <f t="shared" si="30"/>
        <v>Credit</v>
      </c>
      <c r="BV12">
        <v>10</v>
      </c>
      <c r="BW12" s="77" t="str">
        <f>Data!B11</f>
        <v xml:space="preserve">PETER SIMON WANDIYAHEL </v>
      </c>
      <c r="BX12" s="87">
        <v>1</v>
      </c>
      <c r="BY12" s="87">
        <v>7</v>
      </c>
      <c r="BZ12" s="87">
        <v>8</v>
      </c>
      <c r="CA12" s="87">
        <v>10</v>
      </c>
      <c r="CB12" s="88">
        <f t="shared" si="31"/>
        <v>26</v>
      </c>
      <c r="CC12" s="87">
        <v>29</v>
      </c>
      <c r="CD12" s="88">
        <f t="shared" si="32"/>
        <v>55</v>
      </c>
      <c r="CE12" s="88">
        <f t="shared" si="33"/>
        <v>27</v>
      </c>
      <c r="CF12" s="88" t="str">
        <f t="shared" si="34"/>
        <v>C5</v>
      </c>
      <c r="CG12" s="88" t="str">
        <f t="shared" si="35"/>
        <v>Credit</v>
      </c>
      <c r="CH12">
        <v>10</v>
      </c>
      <c r="CI12" s="77" t="str">
        <f>Data!B11</f>
        <v xml:space="preserve">PETER SIMON WANDIYAHEL </v>
      </c>
      <c r="CJ12" s="78"/>
      <c r="CK12" s="78"/>
      <c r="CL12" s="78"/>
      <c r="CM12" s="78"/>
      <c r="CN12" s="89">
        <f t="shared" si="36"/>
        <v>0</v>
      </c>
      <c r="CO12" s="89"/>
      <c r="CP12" s="89">
        <f t="shared" si="37"/>
        <v>0</v>
      </c>
      <c r="CQ12" s="89" t="str">
        <f t="shared" si="38"/>
        <v/>
      </c>
      <c r="CR12" s="89" t="str">
        <f t="shared" si="39"/>
        <v/>
      </c>
      <c r="CS12" s="89" t="str">
        <f t="shared" si="40"/>
        <v/>
      </c>
      <c r="CT12">
        <v>10</v>
      </c>
      <c r="CU12" s="77" t="str">
        <f>Data!B11</f>
        <v xml:space="preserve">PETER SIMON WANDIYAHEL </v>
      </c>
      <c r="CV12" s="12"/>
      <c r="CW12" s="12"/>
      <c r="CX12" s="12"/>
      <c r="CY12" s="12"/>
      <c r="CZ12" s="90">
        <f t="shared" si="41"/>
        <v>0</v>
      </c>
      <c r="DA12" s="12"/>
      <c r="DB12" s="90">
        <f t="shared" si="42"/>
        <v>0</v>
      </c>
      <c r="DC12" s="90" t="str">
        <f t="shared" si="43"/>
        <v/>
      </c>
      <c r="DD12" s="90" t="str">
        <f t="shared" si="44"/>
        <v/>
      </c>
      <c r="DE12" s="90" t="str">
        <f t="shared" si="45"/>
        <v/>
      </c>
      <c r="DF12">
        <v>10</v>
      </c>
      <c r="DG12" s="77" t="str">
        <f>Data!B11</f>
        <v xml:space="preserve">PETER SIMON WANDIYAHEL </v>
      </c>
      <c r="DH12" s="78"/>
      <c r="DI12" s="78"/>
      <c r="DJ12" s="78"/>
      <c r="DK12" s="78"/>
      <c r="DL12" s="85">
        <f t="shared" si="46"/>
        <v>0</v>
      </c>
      <c r="DM12" s="84"/>
      <c r="DN12" s="85">
        <f t="shared" si="47"/>
        <v>0</v>
      </c>
      <c r="DO12" s="85" t="str">
        <f t="shared" si="48"/>
        <v/>
      </c>
      <c r="DP12" s="85" t="str">
        <f t="shared" si="49"/>
        <v/>
      </c>
      <c r="DQ12" s="85" t="str">
        <f t="shared" si="50"/>
        <v/>
      </c>
      <c r="DR12">
        <v>10</v>
      </c>
      <c r="DS12" s="77" t="str">
        <f>Data!B11</f>
        <v xml:space="preserve">PETER SIMON WANDIYAHEL </v>
      </c>
      <c r="DT12" s="91"/>
      <c r="DU12" s="91"/>
      <c r="DV12" s="91"/>
      <c r="DW12" s="91"/>
      <c r="DX12" s="92">
        <f t="shared" si="51"/>
        <v>0</v>
      </c>
      <c r="DY12" s="93"/>
      <c r="DZ12" s="92">
        <f t="shared" si="52"/>
        <v>0</v>
      </c>
      <c r="EA12" s="92" t="str">
        <f t="shared" si="53"/>
        <v/>
      </c>
      <c r="EB12" s="92" t="str">
        <f t="shared" si="54"/>
        <v/>
      </c>
      <c r="EC12" s="92" t="str">
        <f t="shared" si="55"/>
        <v/>
      </c>
      <c r="ED12">
        <v>10</v>
      </c>
      <c r="EE12" s="77" t="str">
        <f>Data!B11</f>
        <v xml:space="preserve">PETER SIMON WANDIYAHEL </v>
      </c>
      <c r="EF12" s="78"/>
      <c r="EG12" s="78"/>
      <c r="EH12" s="78"/>
      <c r="EI12" s="78"/>
      <c r="EJ12" s="94">
        <f t="shared" si="56"/>
        <v>0</v>
      </c>
      <c r="EK12" s="94"/>
      <c r="EL12" s="94">
        <f t="shared" si="57"/>
        <v>0</v>
      </c>
      <c r="EM12" s="94" t="str">
        <f t="shared" si="58"/>
        <v/>
      </c>
      <c r="EN12" s="94" t="str">
        <f t="shared" si="59"/>
        <v/>
      </c>
      <c r="EO12" s="94" t="str">
        <f t="shared" si="60"/>
        <v/>
      </c>
      <c r="EP12">
        <v>10</v>
      </c>
      <c r="EQ12" s="95" t="str">
        <f>Data!B11</f>
        <v xml:space="preserve">PETER SIMON WANDIYAHEL </v>
      </c>
      <c r="ER12" s="78"/>
      <c r="ES12" s="78"/>
      <c r="ET12" s="78"/>
      <c r="EU12" s="78"/>
      <c r="EV12" s="90">
        <f t="shared" si="61"/>
        <v>0</v>
      </c>
      <c r="EW12" s="90"/>
      <c r="EX12" s="90">
        <f t="shared" si="62"/>
        <v>0</v>
      </c>
      <c r="EY12" s="90" t="str">
        <f t="shared" si="63"/>
        <v/>
      </c>
      <c r="EZ12" s="90" t="str">
        <f t="shared" si="64"/>
        <v/>
      </c>
      <c r="FA12" s="90" t="str">
        <f t="shared" si="65"/>
        <v/>
      </c>
      <c r="FB12">
        <v>10</v>
      </c>
      <c r="FC12" s="77" t="str">
        <f>Data!B11</f>
        <v xml:space="preserve">PETER SIMON WANDIYAHEL </v>
      </c>
      <c r="FD12" s="78"/>
      <c r="FE12" s="78"/>
      <c r="FF12" s="78"/>
      <c r="FG12" s="78"/>
      <c r="FH12" s="96">
        <f t="shared" si="66"/>
        <v>0</v>
      </c>
      <c r="FI12" s="96"/>
      <c r="FJ12" s="96">
        <f t="shared" si="67"/>
        <v>0</v>
      </c>
      <c r="FK12" s="96" t="str">
        <f t="shared" si="68"/>
        <v/>
      </c>
      <c r="FL12" s="96" t="str">
        <f t="shared" si="69"/>
        <v/>
      </c>
      <c r="FM12" s="96" t="str">
        <f t="shared" si="70"/>
        <v/>
      </c>
      <c r="FN12">
        <v>10</v>
      </c>
      <c r="FO12" s="77" t="str">
        <f>Data!B11</f>
        <v xml:space="preserve">PETER SIMON WANDIYAHEL </v>
      </c>
      <c r="FP12" s="78"/>
      <c r="FQ12" s="78"/>
      <c r="FR12" s="78"/>
      <c r="FS12" s="78"/>
      <c r="FT12" s="97">
        <f t="shared" si="71"/>
        <v>0</v>
      </c>
      <c r="FU12" s="97"/>
      <c r="FV12" s="97">
        <f t="shared" si="72"/>
        <v>0</v>
      </c>
      <c r="FW12" s="97" t="str">
        <f t="shared" si="73"/>
        <v/>
      </c>
      <c r="FX12" s="97" t="str">
        <f t="shared" si="74"/>
        <v/>
      </c>
      <c r="FY12" s="97" t="str">
        <f t="shared" si="75"/>
        <v/>
      </c>
      <c r="FZ12">
        <v>10</v>
      </c>
      <c r="GA12" s="77" t="str">
        <f>Data!B11</f>
        <v xml:space="preserve">PETER SIMON WANDIYAHEL </v>
      </c>
      <c r="GB12" s="78"/>
      <c r="GC12" s="78"/>
      <c r="GD12" s="78"/>
      <c r="GE12" s="78"/>
      <c r="GF12" s="98">
        <f t="shared" si="76"/>
        <v>0</v>
      </c>
      <c r="GG12" s="98"/>
      <c r="GH12" s="98">
        <f t="shared" si="77"/>
        <v>0</v>
      </c>
      <c r="GI12" s="98" t="str">
        <f t="shared" si="78"/>
        <v/>
      </c>
      <c r="GJ12" s="98" t="str">
        <f t="shared" si="79"/>
        <v/>
      </c>
      <c r="GK12" s="98" t="str">
        <f t="shared" si="80"/>
        <v/>
      </c>
      <c r="GL12">
        <v>10</v>
      </c>
      <c r="GM12" s="77" t="str">
        <f>Data!B11</f>
        <v xml:space="preserve">PETER SIMON WANDIYAHEL </v>
      </c>
      <c r="GN12" s="115"/>
      <c r="GO12" s="115"/>
      <c r="GP12" s="115"/>
      <c r="GQ12" s="115"/>
      <c r="GR12" s="100">
        <f t="shared" si="81"/>
        <v>0</v>
      </c>
      <c r="GS12" s="115"/>
      <c r="GT12" s="100">
        <f t="shared" si="82"/>
        <v>0</v>
      </c>
      <c r="GU12" s="100" t="str">
        <f t="shared" si="83"/>
        <v/>
      </c>
      <c r="GV12" s="100" t="str">
        <f t="shared" si="84"/>
        <v/>
      </c>
      <c r="GW12" s="100" t="str">
        <f t="shared" si="85"/>
        <v/>
      </c>
      <c r="GX12">
        <v>10</v>
      </c>
      <c r="GY12" s="77" t="str">
        <f>Data!B11</f>
        <v xml:space="preserve">PETER SIMON WANDIYAHEL </v>
      </c>
      <c r="GZ12" s="78"/>
      <c r="HA12" s="78"/>
      <c r="HB12" s="78"/>
      <c r="HC12" s="78"/>
      <c r="HD12" s="86">
        <f t="shared" si="86"/>
        <v>0</v>
      </c>
      <c r="HE12" s="86"/>
      <c r="HF12" s="86">
        <f t="shared" si="87"/>
        <v>0</v>
      </c>
      <c r="HG12" s="86" t="str">
        <f t="shared" si="88"/>
        <v/>
      </c>
      <c r="HH12" s="86" t="str">
        <f t="shared" si="89"/>
        <v/>
      </c>
      <c r="HI12" s="86" t="str">
        <f t="shared" si="90"/>
        <v/>
      </c>
      <c r="HJ12">
        <v>10</v>
      </c>
      <c r="HK12" s="77" t="str">
        <f>Data!B11</f>
        <v xml:space="preserve">PETER SIMON WANDIYAHEL </v>
      </c>
      <c r="HL12" s="111"/>
      <c r="HM12" s="112"/>
      <c r="HN12" s="112"/>
      <c r="HO12" s="112"/>
      <c r="HP12" s="103">
        <f t="shared" si="91"/>
        <v>0</v>
      </c>
      <c r="HQ12" s="111"/>
      <c r="HR12" s="103">
        <f t="shared" si="92"/>
        <v>0</v>
      </c>
      <c r="HS12" s="103" t="str">
        <f t="shared" si="93"/>
        <v/>
      </c>
      <c r="HT12" s="103" t="str">
        <f t="shared" si="94"/>
        <v/>
      </c>
      <c r="HU12" s="103" t="str">
        <f t="shared" si="95"/>
        <v/>
      </c>
      <c r="HV12">
        <v>10</v>
      </c>
      <c r="HW12" s="77" t="str">
        <f>Data!B11</f>
        <v xml:space="preserve">PETER SIMON WANDIYAHEL </v>
      </c>
      <c r="HX12" s="78"/>
      <c r="HY12" s="78"/>
      <c r="HZ12" s="78"/>
      <c r="IA12" s="78"/>
      <c r="IB12" s="85">
        <f t="shared" si="96"/>
        <v>0</v>
      </c>
      <c r="IC12" s="85"/>
      <c r="ID12" s="85">
        <f t="shared" si="97"/>
        <v>0</v>
      </c>
      <c r="IE12" s="85" t="str">
        <f t="shared" si="98"/>
        <v/>
      </c>
      <c r="IF12" s="85" t="str">
        <f t="shared" si="99"/>
        <v/>
      </c>
      <c r="IG12" s="85" t="str">
        <f t="shared" si="100"/>
        <v/>
      </c>
      <c r="IH12">
        <v>10</v>
      </c>
      <c r="II12" s="77" t="str">
        <f>Data!B11</f>
        <v xml:space="preserve">PETER SIMON WANDIYAHEL </v>
      </c>
      <c r="IJ12" s="78"/>
      <c r="IK12" s="78"/>
      <c r="IL12" s="78"/>
      <c r="IM12" s="78"/>
      <c r="IN12" s="104">
        <f t="shared" si="101"/>
        <v>0</v>
      </c>
      <c r="IO12" s="104"/>
      <c r="IP12" s="104">
        <f t="shared" si="102"/>
        <v>0</v>
      </c>
      <c r="IQ12" s="104" t="str">
        <f t="shared" si="103"/>
        <v/>
      </c>
      <c r="IR12" s="104" t="str">
        <f t="shared" si="104"/>
        <v/>
      </c>
      <c r="IS12" s="104" t="str">
        <f t="shared" si="105"/>
        <v/>
      </c>
      <c r="IT12">
        <v>10</v>
      </c>
      <c r="IU12" s="77" t="str">
        <f t="shared" si="106"/>
        <v xml:space="preserve">PETER SIMON WANDIYAHEL </v>
      </c>
      <c r="IV12" s="105"/>
      <c r="IW12" s="105"/>
      <c r="IX12" s="105"/>
      <c r="IY12" s="105"/>
      <c r="IZ12" s="98">
        <f t="shared" si="107"/>
        <v>0</v>
      </c>
      <c r="JA12" s="105"/>
      <c r="JB12" s="98">
        <f t="shared" si="108"/>
        <v>0</v>
      </c>
      <c r="JC12" s="98" t="str">
        <f t="shared" si="109"/>
        <v/>
      </c>
      <c r="JD12" s="98" t="str">
        <f t="shared" si="110"/>
        <v/>
      </c>
      <c r="JE12" s="98" t="str">
        <f t="shared" si="111"/>
        <v/>
      </c>
      <c r="JF12">
        <v>10</v>
      </c>
      <c r="JG12" s="77" t="str">
        <f t="shared" si="112"/>
        <v xml:space="preserve">PETER SIMON WANDIYAHEL </v>
      </c>
      <c r="JH12" s="114"/>
      <c r="JI12" s="114"/>
      <c r="JJ12" s="114"/>
      <c r="JK12" s="114"/>
      <c r="JL12" s="82">
        <f t="shared" si="113"/>
        <v>0</v>
      </c>
      <c r="JM12" s="114"/>
      <c r="JN12" s="82">
        <f t="shared" si="114"/>
        <v>0</v>
      </c>
      <c r="JO12" s="82" t="str">
        <f t="shared" si="115"/>
        <v/>
      </c>
      <c r="JP12" s="82" t="str">
        <f t="shared" si="116"/>
        <v/>
      </c>
      <c r="JQ12" s="82" t="str">
        <f t="shared" si="117"/>
        <v/>
      </c>
      <c r="JR12">
        <v>10</v>
      </c>
      <c r="JS12" s="77" t="str">
        <f t="shared" si="118"/>
        <v xml:space="preserve">PETER SIMON WANDIYAHEL </v>
      </c>
      <c r="JT12" s="107"/>
      <c r="JU12" s="107"/>
      <c r="JV12" s="107"/>
      <c r="JW12" s="107"/>
      <c r="JX12" s="80">
        <f t="shared" si="119"/>
        <v>0</v>
      </c>
      <c r="JY12" s="108"/>
      <c r="JZ12" s="80">
        <f t="shared" si="0"/>
        <v>0</v>
      </c>
      <c r="KA12" s="80" t="str">
        <f t="shared" si="120"/>
        <v/>
      </c>
      <c r="KB12" s="80" t="str">
        <f t="shared" si="121"/>
        <v/>
      </c>
      <c r="KC12" s="80" t="str">
        <f t="shared" si="122"/>
        <v/>
      </c>
      <c r="KE12" s="16"/>
      <c r="KF12" s="16"/>
      <c r="KG12" s="16"/>
      <c r="KH12" s="16"/>
      <c r="KI12" s="16"/>
      <c r="KJ12" s="16"/>
      <c r="KK12" s="16"/>
      <c r="KL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</row>
    <row r="13" spans="1:309" ht="23.25">
      <c r="A13" s="17">
        <v>11</v>
      </c>
      <c r="B13" s="186">
        <v>11</v>
      </c>
      <c r="C13" s="77" t="str">
        <f>Data!B12</f>
        <v>SAMUEL JOHN ABBAS</v>
      </c>
      <c r="D13" s="87">
        <v>8</v>
      </c>
      <c r="E13" s="87">
        <v>5</v>
      </c>
      <c r="F13" s="87">
        <v>8</v>
      </c>
      <c r="G13" s="87">
        <v>6</v>
      </c>
      <c r="H13" s="88">
        <f t="shared" si="1"/>
        <v>27</v>
      </c>
      <c r="I13" s="87">
        <v>27</v>
      </c>
      <c r="J13" s="88">
        <f t="shared" si="2"/>
        <v>54</v>
      </c>
      <c r="K13" s="79">
        <f t="shared" si="3"/>
        <v>29</v>
      </c>
      <c r="L13" s="79" t="str">
        <f t="shared" si="4"/>
        <v>C6</v>
      </c>
      <c r="M13" s="79" t="str">
        <f t="shared" si="5"/>
        <v>Credit</v>
      </c>
      <c r="N13" s="17">
        <v>11</v>
      </c>
      <c r="O13" s="77" t="str">
        <f>Data!B12</f>
        <v>SAMUEL JOHN ABBAS</v>
      </c>
      <c r="P13" s="78"/>
      <c r="Q13" s="78"/>
      <c r="R13" s="78"/>
      <c r="S13" s="78"/>
      <c r="T13" s="80">
        <f t="shared" si="6"/>
        <v>0</v>
      </c>
      <c r="U13" s="80"/>
      <c r="V13" s="80">
        <f t="shared" si="7"/>
        <v>0</v>
      </c>
      <c r="W13" s="80" t="str">
        <f t="shared" si="8"/>
        <v/>
      </c>
      <c r="X13" s="80" t="str">
        <f t="shared" si="9"/>
        <v/>
      </c>
      <c r="Y13" s="80" t="str">
        <f t="shared" si="10"/>
        <v/>
      </c>
      <c r="Z13" s="11">
        <v>11</v>
      </c>
      <c r="AA13" s="77" t="str">
        <f>Data!B12</f>
        <v>SAMUEL JOHN ABBAS</v>
      </c>
      <c r="AB13" s="87">
        <v>8</v>
      </c>
      <c r="AC13" s="87">
        <v>5</v>
      </c>
      <c r="AD13" s="87">
        <v>8</v>
      </c>
      <c r="AE13" s="87">
        <v>6</v>
      </c>
      <c r="AF13" s="88">
        <f t="shared" si="11"/>
        <v>27</v>
      </c>
      <c r="AG13" s="87">
        <v>27</v>
      </c>
      <c r="AH13" s="88">
        <f t="shared" si="12"/>
        <v>54</v>
      </c>
      <c r="AI13" s="82">
        <f t="shared" si="13"/>
        <v>29</v>
      </c>
      <c r="AJ13" s="82" t="str">
        <f t="shared" si="14"/>
        <v>C6</v>
      </c>
      <c r="AK13" s="82" t="str">
        <f t="shared" si="15"/>
        <v>Credit</v>
      </c>
      <c r="AL13" s="11">
        <v>11</v>
      </c>
      <c r="AM13" s="77" t="str">
        <f>Data!B12</f>
        <v>SAMUEL JOHN ABBAS</v>
      </c>
      <c r="AN13" s="87">
        <v>8</v>
      </c>
      <c r="AO13" s="87">
        <v>5</v>
      </c>
      <c r="AP13" s="87">
        <v>8</v>
      </c>
      <c r="AQ13" s="87">
        <v>6</v>
      </c>
      <c r="AR13" s="88">
        <f t="shared" si="16"/>
        <v>27</v>
      </c>
      <c r="AS13" s="87">
        <v>27</v>
      </c>
      <c r="AT13" s="88">
        <f t="shared" si="17"/>
        <v>54</v>
      </c>
      <c r="AU13" s="83">
        <f t="shared" si="18"/>
        <v>29</v>
      </c>
      <c r="AV13" s="83" t="str">
        <f t="shared" si="19"/>
        <v>C6</v>
      </c>
      <c r="AW13" s="83" t="str">
        <f t="shared" si="20"/>
        <v>Credit</v>
      </c>
      <c r="AX13" s="11">
        <v>11</v>
      </c>
      <c r="AY13" s="77" t="str">
        <f>Data!B12</f>
        <v>SAMUEL JOHN ABBAS</v>
      </c>
      <c r="AZ13" s="87">
        <v>8</v>
      </c>
      <c r="BA13" s="87">
        <v>5</v>
      </c>
      <c r="BB13" s="87">
        <v>8</v>
      </c>
      <c r="BC13" s="87">
        <v>6</v>
      </c>
      <c r="BD13" s="88">
        <f t="shared" si="21"/>
        <v>27</v>
      </c>
      <c r="BE13" s="87">
        <v>27</v>
      </c>
      <c r="BF13" s="88">
        <f t="shared" si="22"/>
        <v>54</v>
      </c>
      <c r="BG13" s="85">
        <f t="shared" si="23"/>
        <v>29</v>
      </c>
      <c r="BH13" s="85" t="str">
        <f t="shared" si="24"/>
        <v>C6</v>
      </c>
      <c r="BI13" s="85" t="str">
        <f t="shared" si="25"/>
        <v>Credit</v>
      </c>
      <c r="BJ13" s="36">
        <v>11</v>
      </c>
      <c r="BK13" s="77" t="str">
        <f>Data!B12</f>
        <v>SAMUEL JOHN ABBAS</v>
      </c>
      <c r="BL13" s="87">
        <v>8</v>
      </c>
      <c r="BM13" s="87">
        <v>5</v>
      </c>
      <c r="BN13" s="87">
        <v>8</v>
      </c>
      <c r="BO13" s="87">
        <v>6</v>
      </c>
      <c r="BP13" s="88">
        <f t="shared" si="26"/>
        <v>27</v>
      </c>
      <c r="BQ13" s="87">
        <v>27</v>
      </c>
      <c r="BR13" s="88">
        <f t="shared" si="27"/>
        <v>54</v>
      </c>
      <c r="BS13" s="86">
        <f t="shared" si="28"/>
        <v>29</v>
      </c>
      <c r="BT13" s="86" t="str">
        <f t="shared" si="29"/>
        <v>C6</v>
      </c>
      <c r="BU13" s="86" t="str">
        <f t="shared" si="30"/>
        <v>Credit</v>
      </c>
      <c r="BV13">
        <v>11</v>
      </c>
      <c r="BW13" s="77" t="str">
        <f>Data!B12</f>
        <v>SAMUEL JOHN ABBAS</v>
      </c>
      <c r="BX13" s="87">
        <v>8</v>
      </c>
      <c r="BY13" s="87">
        <v>5</v>
      </c>
      <c r="BZ13" s="87">
        <v>8</v>
      </c>
      <c r="CA13" s="87">
        <v>6</v>
      </c>
      <c r="CB13" s="88">
        <f t="shared" si="31"/>
        <v>27</v>
      </c>
      <c r="CC13" s="87">
        <v>27</v>
      </c>
      <c r="CD13" s="88">
        <f t="shared" si="32"/>
        <v>54</v>
      </c>
      <c r="CE13" s="88">
        <f t="shared" si="33"/>
        <v>29</v>
      </c>
      <c r="CF13" s="88" t="str">
        <f t="shared" si="34"/>
        <v>C6</v>
      </c>
      <c r="CG13" s="88" t="str">
        <f t="shared" si="35"/>
        <v>Credit</v>
      </c>
      <c r="CH13">
        <v>11</v>
      </c>
      <c r="CI13" s="77" t="str">
        <f>Data!B12</f>
        <v>SAMUEL JOHN ABBAS</v>
      </c>
      <c r="CJ13" s="78"/>
      <c r="CK13" s="78"/>
      <c r="CL13" s="78"/>
      <c r="CM13" s="78"/>
      <c r="CN13" s="89">
        <f t="shared" si="36"/>
        <v>0</v>
      </c>
      <c r="CO13" s="89"/>
      <c r="CP13" s="89">
        <f t="shared" si="37"/>
        <v>0</v>
      </c>
      <c r="CQ13" s="89" t="str">
        <f t="shared" si="38"/>
        <v/>
      </c>
      <c r="CR13" s="89" t="str">
        <f t="shared" si="39"/>
        <v/>
      </c>
      <c r="CS13" s="89" t="str">
        <f t="shared" si="40"/>
        <v/>
      </c>
      <c r="CT13">
        <v>11</v>
      </c>
      <c r="CU13" s="77" t="str">
        <f>Data!B12</f>
        <v>SAMUEL JOHN ABBAS</v>
      </c>
      <c r="CV13" s="12"/>
      <c r="CW13" s="12"/>
      <c r="CX13" s="12"/>
      <c r="CY13" s="12"/>
      <c r="CZ13" s="90">
        <f t="shared" si="41"/>
        <v>0</v>
      </c>
      <c r="DA13" s="12"/>
      <c r="DB13" s="90">
        <f t="shared" si="42"/>
        <v>0</v>
      </c>
      <c r="DC13" s="90" t="str">
        <f t="shared" si="43"/>
        <v/>
      </c>
      <c r="DD13" s="90" t="str">
        <f t="shared" si="44"/>
        <v/>
      </c>
      <c r="DE13" s="90" t="str">
        <f t="shared" si="45"/>
        <v/>
      </c>
      <c r="DF13">
        <v>11</v>
      </c>
      <c r="DG13" s="77" t="str">
        <f>Data!B12</f>
        <v>SAMUEL JOHN ABBAS</v>
      </c>
      <c r="DH13" s="78"/>
      <c r="DI13" s="78"/>
      <c r="DJ13" s="78"/>
      <c r="DK13" s="78"/>
      <c r="DL13" s="85">
        <f t="shared" si="46"/>
        <v>0</v>
      </c>
      <c r="DM13" s="84"/>
      <c r="DN13" s="85">
        <f t="shared" si="47"/>
        <v>0</v>
      </c>
      <c r="DO13" s="85" t="str">
        <f t="shared" si="48"/>
        <v/>
      </c>
      <c r="DP13" s="85" t="str">
        <f t="shared" si="49"/>
        <v/>
      </c>
      <c r="DQ13" s="85" t="str">
        <f t="shared" si="50"/>
        <v/>
      </c>
      <c r="DR13">
        <v>11</v>
      </c>
      <c r="DS13" s="77" t="str">
        <f>Data!B12</f>
        <v>SAMUEL JOHN ABBAS</v>
      </c>
      <c r="DT13" s="91"/>
      <c r="DU13" s="91"/>
      <c r="DV13" s="91"/>
      <c r="DW13" s="91"/>
      <c r="DX13" s="92">
        <f t="shared" si="51"/>
        <v>0</v>
      </c>
      <c r="DY13" s="93"/>
      <c r="DZ13" s="92">
        <f t="shared" si="52"/>
        <v>0</v>
      </c>
      <c r="EA13" s="92" t="str">
        <f t="shared" si="53"/>
        <v/>
      </c>
      <c r="EB13" s="92" t="str">
        <f t="shared" si="54"/>
        <v/>
      </c>
      <c r="EC13" s="92" t="str">
        <f t="shared" si="55"/>
        <v/>
      </c>
      <c r="ED13">
        <v>11</v>
      </c>
      <c r="EE13" s="77" t="str">
        <f>Data!B12</f>
        <v>SAMUEL JOHN ABBAS</v>
      </c>
      <c r="EF13" s="78"/>
      <c r="EG13" s="78"/>
      <c r="EH13" s="78"/>
      <c r="EI13" s="78"/>
      <c r="EJ13" s="94">
        <f t="shared" si="56"/>
        <v>0</v>
      </c>
      <c r="EK13" s="94"/>
      <c r="EL13" s="94">
        <f t="shared" si="57"/>
        <v>0</v>
      </c>
      <c r="EM13" s="94" t="str">
        <f t="shared" si="58"/>
        <v/>
      </c>
      <c r="EN13" s="94" t="str">
        <f t="shared" si="59"/>
        <v/>
      </c>
      <c r="EO13" s="94" t="str">
        <f t="shared" si="60"/>
        <v/>
      </c>
      <c r="EP13">
        <v>11</v>
      </c>
      <c r="EQ13" s="95" t="str">
        <f>Data!B12</f>
        <v>SAMUEL JOHN ABBAS</v>
      </c>
      <c r="ER13" s="78"/>
      <c r="ES13" s="78"/>
      <c r="ET13" s="78"/>
      <c r="EU13" s="78"/>
      <c r="EV13" s="90">
        <f t="shared" si="61"/>
        <v>0</v>
      </c>
      <c r="EW13" s="90"/>
      <c r="EX13" s="90">
        <f t="shared" si="62"/>
        <v>0</v>
      </c>
      <c r="EY13" s="90" t="str">
        <f t="shared" si="63"/>
        <v/>
      </c>
      <c r="EZ13" s="90" t="str">
        <f t="shared" si="64"/>
        <v/>
      </c>
      <c r="FA13" s="90" t="str">
        <f t="shared" si="65"/>
        <v/>
      </c>
      <c r="FB13">
        <v>11</v>
      </c>
      <c r="FC13" s="77" t="str">
        <f>Data!B12</f>
        <v>SAMUEL JOHN ABBAS</v>
      </c>
      <c r="FD13" s="78"/>
      <c r="FE13" s="78"/>
      <c r="FF13" s="78"/>
      <c r="FG13" s="78"/>
      <c r="FH13" s="96">
        <f t="shared" si="66"/>
        <v>0</v>
      </c>
      <c r="FI13" s="96"/>
      <c r="FJ13" s="96">
        <f t="shared" si="67"/>
        <v>0</v>
      </c>
      <c r="FK13" s="96" t="str">
        <f t="shared" si="68"/>
        <v/>
      </c>
      <c r="FL13" s="96" t="str">
        <f t="shared" si="69"/>
        <v/>
      </c>
      <c r="FM13" s="96" t="str">
        <f t="shared" si="70"/>
        <v/>
      </c>
      <c r="FN13">
        <v>11</v>
      </c>
      <c r="FO13" s="77" t="str">
        <f>Data!B12</f>
        <v>SAMUEL JOHN ABBAS</v>
      </c>
      <c r="FP13" s="78"/>
      <c r="FQ13" s="78"/>
      <c r="FR13" s="78"/>
      <c r="FS13" s="78"/>
      <c r="FT13" s="97">
        <f t="shared" si="71"/>
        <v>0</v>
      </c>
      <c r="FU13" s="97"/>
      <c r="FV13" s="97">
        <f t="shared" si="72"/>
        <v>0</v>
      </c>
      <c r="FW13" s="97" t="str">
        <f t="shared" si="73"/>
        <v/>
      </c>
      <c r="FX13" s="97" t="str">
        <f t="shared" si="74"/>
        <v/>
      </c>
      <c r="FY13" s="97" t="str">
        <f t="shared" si="75"/>
        <v/>
      </c>
      <c r="FZ13">
        <v>11</v>
      </c>
      <c r="GA13" s="77" t="str">
        <f>Data!B12</f>
        <v>SAMUEL JOHN ABBAS</v>
      </c>
      <c r="GB13" s="78"/>
      <c r="GC13" s="78"/>
      <c r="GD13" s="78"/>
      <c r="GE13" s="78"/>
      <c r="GF13" s="98">
        <f t="shared" si="76"/>
        <v>0</v>
      </c>
      <c r="GG13" s="98"/>
      <c r="GH13" s="98">
        <f t="shared" si="77"/>
        <v>0</v>
      </c>
      <c r="GI13" s="98" t="str">
        <f t="shared" si="78"/>
        <v/>
      </c>
      <c r="GJ13" s="98" t="str">
        <f t="shared" si="79"/>
        <v/>
      </c>
      <c r="GK13" s="98" t="str">
        <f t="shared" si="80"/>
        <v/>
      </c>
      <c r="GL13">
        <v>11</v>
      </c>
      <c r="GM13" s="77" t="str">
        <f>Data!B12</f>
        <v>SAMUEL JOHN ABBAS</v>
      </c>
      <c r="GN13" s="99"/>
      <c r="GO13" s="99"/>
      <c r="GP13" s="99"/>
      <c r="GQ13" s="99"/>
      <c r="GR13" s="100">
        <f t="shared" si="81"/>
        <v>0</v>
      </c>
      <c r="GS13" s="99"/>
      <c r="GT13" s="100">
        <f t="shared" si="82"/>
        <v>0</v>
      </c>
      <c r="GU13" s="100" t="str">
        <f t="shared" si="83"/>
        <v/>
      </c>
      <c r="GV13" s="100" t="str">
        <f t="shared" si="84"/>
        <v/>
      </c>
      <c r="GW13" s="100" t="str">
        <f t="shared" si="85"/>
        <v/>
      </c>
      <c r="GX13">
        <v>11</v>
      </c>
      <c r="GY13" s="77" t="str">
        <f>Data!B12</f>
        <v>SAMUEL JOHN ABBAS</v>
      </c>
      <c r="GZ13" s="78"/>
      <c r="HA13" s="78"/>
      <c r="HB13" s="78"/>
      <c r="HC13" s="78"/>
      <c r="HD13" s="86">
        <f t="shared" si="86"/>
        <v>0</v>
      </c>
      <c r="HE13" s="86"/>
      <c r="HF13" s="86">
        <f t="shared" si="87"/>
        <v>0</v>
      </c>
      <c r="HG13" s="86" t="str">
        <f t="shared" si="88"/>
        <v/>
      </c>
      <c r="HH13" s="86" t="str">
        <f t="shared" si="89"/>
        <v/>
      </c>
      <c r="HI13" s="86" t="str">
        <f t="shared" si="90"/>
        <v/>
      </c>
      <c r="HJ13">
        <v>11</v>
      </c>
      <c r="HK13" s="77" t="str">
        <f>Data!B12</f>
        <v>SAMUEL JOHN ABBAS</v>
      </c>
      <c r="HL13" s="111"/>
      <c r="HM13" s="112"/>
      <c r="HN13" s="112"/>
      <c r="HO13" s="112"/>
      <c r="HP13" s="103">
        <f t="shared" si="91"/>
        <v>0</v>
      </c>
      <c r="HQ13" s="111"/>
      <c r="HR13" s="103">
        <f t="shared" si="92"/>
        <v>0</v>
      </c>
      <c r="HS13" s="103" t="str">
        <f t="shared" si="93"/>
        <v/>
      </c>
      <c r="HT13" s="103" t="str">
        <f t="shared" si="94"/>
        <v/>
      </c>
      <c r="HU13" s="103" t="str">
        <f t="shared" si="95"/>
        <v/>
      </c>
      <c r="HV13">
        <v>11</v>
      </c>
      <c r="HW13" s="77" t="str">
        <f>Data!B12</f>
        <v>SAMUEL JOHN ABBAS</v>
      </c>
      <c r="HX13" s="78"/>
      <c r="HY13" s="78"/>
      <c r="HZ13" s="78"/>
      <c r="IA13" s="78"/>
      <c r="IB13" s="85">
        <f t="shared" si="96"/>
        <v>0</v>
      </c>
      <c r="IC13" s="85"/>
      <c r="ID13" s="85">
        <f t="shared" si="97"/>
        <v>0</v>
      </c>
      <c r="IE13" s="85" t="str">
        <f t="shared" si="98"/>
        <v/>
      </c>
      <c r="IF13" s="85" t="str">
        <f t="shared" si="99"/>
        <v/>
      </c>
      <c r="IG13" s="85" t="str">
        <f t="shared" si="100"/>
        <v/>
      </c>
      <c r="IH13">
        <v>11</v>
      </c>
      <c r="II13" s="77" t="str">
        <f>Data!B12</f>
        <v>SAMUEL JOHN ABBAS</v>
      </c>
      <c r="IJ13" s="78"/>
      <c r="IK13" s="78"/>
      <c r="IL13" s="78"/>
      <c r="IM13" s="78"/>
      <c r="IN13" s="104">
        <f t="shared" si="101"/>
        <v>0</v>
      </c>
      <c r="IO13" s="104"/>
      <c r="IP13" s="104">
        <f t="shared" si="102"/>
        <v>0</v>
      </c>
      <c r="IQ13" s="104" t="str">
        <f t="shared" si="103"/>
        <v/>
      </c>
      <c r="IR13" s="104" t="str">
        <f t="shared" si="104"/>
        <v/>
      </c>
      <c r="IS13" s="104" t="str">
        <f t="shared" si="105"/>
        <v/>
      </c>
      <c r="IT13">
        <v>11</v>
      </c>
      <c r="IU13" s="77" t="str">
        <f t="shared" si="106"/>
        <v>SAMUEL JOHN ABBAS</v>
      </c>
      <c r="IV13" s="105"/>
      <c r="IW13" s="105"/>
      <c r="IX13" s="105"/>
      <c r="IY13" s="105"/>
      <c r="IZ13" s="98">
        <f t="shared" si="107"/>
        <v>0</v>
      </c>
      <c r="JA13" s="105"/>
      <c r="JB13" s="98">
        <f t="shared" si="108"/>
        <v>0</v>
      </c>
      <c r="JC13" s="98" t="str">
        <f t="shared" si="109"/>
        <v/>
      </c>
      <c r="JD13" s="98" t="str">
        <f t="shared" si="110"/>
        <v/>
      </c>
      <c r="JE13" s="98" t="str">
        <f t="shared" si="111"/>
        <v/>
      </c>
      <c r="JF13">
        <v>11</v>
      </c>
      <c r="JG13" s="77" t="str">
        <f t="shared" si="112"/>
        <v>SAMUEL JOHN ABBAS</v>
      </c>
      <c r="JH13" s="114"/>
      <c r="JI13" s="114"/>
      <c r="JJ13" s="114"/>
      <c r="JK13" s="114"/>
      <c r="JL13" s="82">
        <f t="shared" si="113"/>
        <v>0</v>
      </c>
      <c r="JM13" s="114"/>
      <c r="JN13" s="82">
        <f t="shared" si="114"/>
        <v>0</v>
      </c>
      <c r="JO13" s="82" t="str">
        <f t="shared" si="115"/>
        <v/>
      </c>
      <c r="JP13" s="82" t="str">
        <f t="shared" si="116"/>
        <v/>
      </c>
      <c r="JQ13" s="82" t="str">
        <f t="shared" si="117"/>
        <v/>
      </c>
      <c r="JR13">
        <v>11</v>
      </c>
      <c r="JS13" s="77" t="str">
        <f t="shared" si="118"/>
        <v>SAMUEL JOHN ABBAS</v>
      </c>
      <c r="JT13" s="107"/>
      <c r="JU13" s="107"/>
      <c r="JV13" s="107"/>
      <c r="JW13" s="107"/>
      <c r="JX13" s="80">
        <f t="shared" si="119"/>
        <v>0</v>
      </c>
      <c r="JY13" s="108"/>
      <c r="JZ13" s="80">
        <f t="shared" si="0"/>
        <v>0</v>
      </c>
      <c r="KA13" s="80" t="str">
        <f t="shared" si="120"/>
        <v/>
      </c>
      <c r="KB13" s="80" t="str">
        <f t="shared" si="121"/>
        <v/>
      </c>
      <c r="KC13" s="80" t="str">
        <f t="shared" si="122"/>
        <v/>
      </c>
      <c r="KE13" s="16"/>
      <c r="KF13" s="16"/>
      <c r="KG13" s="16"/>
      <c r="KH13" s="16"/>
      <c r="KI13" s="16"/>
      <c r="KJ13" s="16"/>
      <c r="KK13" s="16"/>
      <c r="KL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</row>
    <row r="14" spans="1:309" ht="23.25">
      <c r="A14" s="17">
        <v>12</v>
      </c>
      <c r="B14" s="186">
        <v>12</v>
      </c>
      <c r="C14" s="77" t="str">
        <f>Data!B13</f>
        <v>SHETTIMA AHMED MOHAMMED</v>
      </c>
      <c r="D14" s="87">
        <v>6</v>
      </c>
      <c r="E14" s="87">
        <v>4</v>
      </c>
      <c r="F14" s="87">
        <v>9</v>
      </c>
      <c r="G14" s="87">
        <v>10</v>
      </c>
      <c r="H14" s="88">
        <f t="shared" si="1"/>
        <v>29</v>
      </c>
      <c r="I14" s="87">
        <v>21</v>
      </c>
      <c r="J14" s="88">
        <f t="shared" si="2"/>
        <v>50</v>
      </c>
      <c r="K14" s="79">
        <f t="shared" si="3"/>
        <v>34</v>
      </c>
      <c r="L14" s="79" t="str">
        <f t="shared" si="4"/>
        <v>C6</v>
      </c>
      <c r="M14" s="79" t="str">
        <f t="shared" si="5"/>
        <v>Credit</v>
      </c>
      <c r="N14" s="17">
        <v>12</v>
      </c>
      <c r="O14" s="77" t="str">
        <f>Data!B13</f>
        <v>SHETTIMA AHMED MOHAMMED</v>
      </c>
      <c r="P14" s="78"/>
      <c r="Q14" s="78"/>
      <c r="R14" s="78"/>
      <c r="S14" s="78"/>
      <c r="T14" s="80">
        <f t="shared" si="6"/>
        <v>0</v>
      </c>
      <c r="U14" s="80"/>
      <c r="V14" s="80">
        <f t="shared" si="7"/>
        <v>0</v>
      </c>
      <c r="W14" s="80" t="str">
        <f t="shared" si="8"/>
        <v/>
      </c>
      <c r="X14" s="80" t="str">
        <f t="shared" si="9"/>
        <v/>
      </c>
      <c r="Y14" s="80" t="str">
        <f t="shared" si="10"/>
        <v/>
      </c>
      <c r="Z14" s="11">
        <v>12</v>
      </c>
      <c r="AA14" s="77" t="str">
        <f>Data!B13</f>
        <v>SHETTIMA AHMED MOHAMMED</v>
      </c>
      <c r="AB14" s="87">
        <v>6</v>
      </c>
      <c r="AC14" s="87">
        <v>4</v>
      </c>
      <c r="AD14" s="87">
        <v>9</v>
      </c>
      <c r="AE14" s="87">
        <v>10</v>
      </c>
      <c r="AF14" s="88">
        <f t="shared" si="11"/>
        <v>29</v>
      </c>
      <c r="AG14" s="87">
        <v>21</v>
      </c>
      <c r="AH14" s="88">
        <f t="shared" si="12"/>
        <v>50</v>
      </c>
      <c r="AI14" s="82">
        <f t="shared" si="13"/>
        <v>34</v>
      </c>
      <c r="AJ14" s="82" t="str">
        <f t="shared" si="14"/>
        <v>C6</v>
      </c>
      <c r="AK14" s="82" t="str">
        <f t="shared" si="15"/>
        <v>Credit</v>
      </c>
      <c r="AL14" s="11">
        <v>12</v>
      </c>
      <c r="AM14" s="77" t="str">
        <f>Data!B13</f>
        <v>SHETTIMA AHMED MOHAMMED</v>
      </c>
      <c r="AN14" s="87">
        <v>6</v>
      </c>
      <c r="AO14" s="87">
        <v>4</v>
      </c>
      <c r="AP14" s="87">
        <v>9</v>
      </c>
      <c r="AQ14" s="87">
        <v>10</v>
      </c>
      <c r="AR14" s="88">
        <f t="shared" si="16"/>
        <v>29</v>
      </c>
      <c r="AS14" s="87">
        <v>21</v>
      </c>
      <c r="AT14" s="88">
        <f t="shared" si="17"/>
        <v>50</v>
      </c>
      <c r="AU14" s="83">
        <f t="shared" si="18"/>
        <v>34</v>
      </c>
      <c r="AV14" s="83" t="str">
        <f t="shared" si="19"/>
        <v>C6</v>
      </c>
      <c r="AW14" s="83" t="str">
        <f t="shared" si="20"/>
        <v>Credit</v>
      </c>
      <c r="AX14" s="11">
        <v>12</v>
      </c>
      <c r="AY14" s="77" t="str">
        <f>Data!B13</f>
        <v>SHETTIMA AHMED MOHAMMED</v>
      </c>
      <c r="AZ14" s="87">
        <v>6</v>
      </c>
      <c r="BA14" s="87">
        <v>4</v>
      </c>
      <c r="BB14" s="87">
        <v>9</v>
      </c>
      <c r="BC14" s="87">
        <v>10</v>
      </c>
      <c r="BD14" s="88">
        <f t="shared" si="21"/>
        <v>29</v>
      </c>
      <c r="BE14" s="87">
        <v>21</v>
      </c>
      <c r="BF14" s="88">
        <f t="shared" si="22"/>
        <v>50</v>
      </c>
      <c r="BG14" s="85">
        <f t="shared" si="23"/>
        <v>34</v>
      </c>
      <c r="BH14" s="85" t="str">
        <f t="shared" si="24"/>
        <v>C6</v>
      </c>
      <c r="BI14" s="85" t="str">
        <f t="shared" si="25"/>
        <v>Credit</v>
      </c>
      <c r="BJ14" s="36">
        <v>12</v>
      </c>
      <c r="BK14" s="77" t="str">
        <f>Data!B13</f>
        <v>SHETTIMA AHMED MOHAMMED</v>
      </c>
      <c r="BL14" s="87">
        <v>6</v>
      </c>
      <c r="BM14" s="87">
        <v>4</v>
      </c>
      <c r="BN14" s="87">
        <v>9</v>
      </c>
      <c r="BO14" s="87">
        <v>10</v>
      </c>
      <c r="BP14" s="88">
        <f t="shared" si="26"/>
        <v>29</v>
      </c>
      <c r="BQ14" s="87">
        <v>21</v>
      </c>
      <c r="BR14" s="88">
        <f t="shared" si="27"/>
        <v>50</v>
      </c>
      <c r="BS14" s="86">
        <f t="shared" si="28"/>
        <v>34</v>
      </c>
      <c r="BT14" s="86" t="str">
        <f t="shared" si="29"/>
        <v>C6</v>
      </c>
      <c r="BU14" s="86" t="str">
        <f t="shared" si="30"/>
        <v>Credit</v>
      </c>
      <c r="BV14">
        <v>12</v>
      </c>
      <c r="BW14" s="77" t="str">
        <f>Data!B13</f>
        <v>SHETTIMA AHMED MOHAMMED</v>
      </c>
      <c r="BX14" s="87">
        <v>6</v>
      </c>
      <c r="BY14" s="87">
        <v>4</v>
      </c>
      <c r="BZ14" s="87">
        <v>9</v>
      </c>
      <c r="CA14" s="87">
        <v>10</v>
      </c>
      <c r="CB14" s="88">
        <f t="shared" si="31"/>
        <v>29</v>
      </c>
      <c r="CC14" s="87">
        <v>21</v>
      </c>
      <c r="CD14" s="88">
        <f t="shared" si="32"/>
        <v>50</v>
      </c>
      <c r="CE14" s="88">
        <f t="shared" si="33"/>
        <v>34</v>
      </c>
      <c r="CF14" s="88" t="str">
        <f t="shared" si="34"/>
        <v>C6</v>
      </c>
      <c r="CG14" s="88" t="str">
        <f t="shared" si="35"/>
        <v>Credit</v>
      </c>
      <c r="CH14">
        <v>12</v>
      </c>
      <c r="CI14" s="77" t="str">
        <f>Data!B13</f>
        <v>SHETTIMA AHMED MOHAMMED</v>
      </c>
      <c r="CJ14" s="78"/>
      <c r="CK14" s="78"/>
      <c r="CL14" s="78"/>
      <c r="CM14" s="78"/>
      <c r="CN14" s="89">
        <f t="shared" si="36"/>
        <v>0</v>
      </c>
      <c r="CO14" s="89"/>
      <c r="CP14" s="89">
        <f t="shared" si="37"/>
        <v>0</v>
      </c>
      <c r="CQ14" s="89" t="str">
        <f t="shared" si="38"/>
        <v/>
      </c>
      <c r="CR14" s="89" t="str">
        <f t="shared" si="39"/>
        <v/>
      </c>
      <c r="CS14" s="89" t="str">
        <f t="shared" si="40"/>
        <v/>
      </c>
      <c r="CT14">
        <v>12</v>
      </c>
      <c r="CU14" s="77" t="str">
        <f>Data!B13</f>
        <v>SHETTIMA AHMED MOHAMMED</v>
      </c>
      <c r="CV14" s="12"/>
      <c r="CW14" s="12"/>
      <c r="CX14" s="12"/>
      <c r="CY14" s="12"/>
      <c r="CZ14" s="90">
        <f t="shared" si="41"/>
        <v>0</v>
      </c>
      <c r="DA14" s="12"/>
      <c r="DB14" s="90">
        <f t="shared" si="42"/>
        <v>0</v>
      </c>
      <c r="DC14" s="90" t="str">
        <f t="shared" si="43"/>
        <v/>
      </c>
      <c r="DD14" s="90" t="str">
        <f t="shared" si="44"/>
        <v/>
      </c>
      <c r="DE14" s="90" t="str">
        <f t="shared" si="45"/>
        <v/>
      </c>
      <c r="DF14">
        <v>12</v>
      </c>
      <c r="DG14" s="77" t="str">
        <f>Data!B13</f>
        <v>SHETTIMA AHMED MOHAMMED</v>
      </c>
      <c r="DH14" s="78">
        <v>7</v>
      </c>
      <c r="DI14" s="78">
        <v>1</v>
      </c>
      <c r="DJ14" s="78">
        <v>2</v>
      </c>
      <c r="DK14" s="78">
        <v>5</v>
      </c>
      <c r="DL14" s="85">
        <f t="shared" si="46"/>
        <v>15</v>
      </c>
      <c r="DM14" s="84">
        <v>28</v>
      </c>
      <c r="DN14" s="85">
        <f t="shared" si="47"/>
        <v>43</v>
      </c>
      <c r="DO14" s="85">
        <f t="shared" si="48"/>
        <v>4</v>
      </c>
      <c r="DP14" s="85" t="str">
        <f t="shared" si="49"/>
        <v>E8</v>
      </c>
      <c r="DQ14" s="85" t="str">
        <f t="shared" si="50"/>
        <v>Pass</v>
      </c>
      <c r="DR14">
        <v>12</v>
      </c>
      <c r="DS14" s="77" t="str">
        <f>Data!B13</f>
        <v>SHETTIMA AHMED MOHAMMED</v>
      </c>
      <c r="DT14" s="91"/>
      <c r="DU14" s="91"/>
      <c r="DV14" s="91"/>
      <c r="DW14" s="91"/>
      <c r="DX14" s="92">
        <f t="shared" si="51"/>
        <v>0</v>
      </c>
      <c r="DY14" s="93"/>
      <c r="DZ14" s="92">
        <f t="shared" si="52"/>
        <v>0</v>
      </c>
      <c r="EA14" s="92" t="str">
        <f t="shared" si="53"/>
        <v/>
      </c>
      <c r="EB14" s="92" t="str">
        <f t="shared" si="54"/>
        <v/>
      </c>
      <c r="EC14" s="92" t="str">
        <f t="shared" si="55"/>
        <v/>
      </c>
      <c r="ED14">
        <v>12</v>
      </c>
      <c r="EE14" s="77" t="str">
        <f>Data!B13</f>
        <v>SHETTIMA AHMED MOHAMMED</v>
      </c>
      <c r="EF14" s="78"/>
      <c r="EG14" s="78"/>
      <c r="EH14" s="78"/>
      <c r="EI14" s="78"/>
      <c r="EJ14" s="94">
        <f t="shared" si="56"/>
        <v>0</v>
      </c>
      <c r="EK14" s="94"/>
      <c r="EL14" s="94">
        <f t="shared" si="57"/>
        <v>0</v>
      </c>
      <c r="EM14" s="94" t="str">
        <f t="shared" si="58"/>
        <v/>
      </c>
      <c r="EN14" s="94" t="str">
        <f t="shared" si="59"/>
        <v/>
      </c>
      <c r="EO14" s="94" t="str">
        <f t="shared" si="60"/>
        <v/>
      </c>
      <c r="EP14">
        <v>12</v>
      </c>
      <c r="EQ14" s="95" t="str">
        <f>Data!B13</f>
        <v>SHETTIMA AHMED MOHAMMED</v>
      </c>
      <c r="ER14" s="78"/>
      <c r="ES14" s="78"/>
      <c r="ET14" s="78"/>
      <c r="EU14" s="78"/>
      <c r="EV14" s="90">
        <f t="shared" si="61"/>
        <v>0</v>
      </c>
      <c r="EW14" s="90"/>
      <c r="EX14" s="90">
        <f t="shared" si="62"/>
        <v>0</v>
      </c>
      <c r="EY14" s="90" t="str">
        <f t="shared" si="63"/>
        <v/>
      </c>
      <c r="EZ14" s="90" t="str">
        <f t="shared" si="64"/>
        <v/>
      </c>
      <c r="FA14" s="90" t="str">
        <f t="shared" si="65"/>
        <v/>
      </c>
      <c r="FB14">
        <v>12</v>
      </c>
      <c r="FC14" s="77" t="str">
        <f>Data!B13</f>
        <v>SHETTIMA AHMED MOHAMMED</v>
      </c>
      <c r="FD14" s="78"/>
      <c r="FE14" s="78"/>
      <c r="FF14" s="78"/>
      <c r="FG14" s="78"/>
      <c r="FH14" s="96">
        <f t="shared" si="66"/>
        <v>0</v>
      </c>
      <c r="FI14" s="96"/>
      <c r="FJ14" s="96">
        <f t="shared" si="67"/>
        <v>0</v>
      </c>
      <c r="FK14" s="96" t="str">
        <f t="shared" si="68"/>
        <v/>
      </c>
      <c r="FL14" s="96" t="str">
        <f t="shared" si="69"/>
        <v/>
      </c>
      <c r="FM14" s="96" t="str">
        <f t="shared" si="70"/>
        <v/>
      </c>
      <c r="FN14">
        <v>12</v>
      </c>
      <c r="FO14" s="77" t="str">
        <f>Data!B13</f>
        <v>SHETTIMA AHMED MOHAMMED</v>
      </c>
      <c r="FP14" s="78"/>
      <c r="FQ14" s="78"/>
      <c r="FR14" s="78"/>
      <c r="FS14" s="78"/>
      <c r="FT14" s="97">
        <f t="shared" si="71"/>
        <v>0</v>
      </c>
      <c r="FU14" s="97"/>
      <c r="FV14" s="97">
        <f t="shared" si="72"/>
        <v>0</v>
      </c>
      <c r="FW14" s="97" t="str">
        <f t="shared" si="73"/>
        <v/>
      </c>
      <c r="FX14" s="97" t="str">
        <f t="shared" si="74"/>
        <v/>
      </c>
      <c r="FY14" s="97" t="str">
        <f t="shared" si="75"/>
        <v/>
      </c>
      <c r="FZ14">
        <v>12</v>
      </c>
      <c r="GA14" s="77" t="str">
        <f>Data!B13</f>
        <v>SHETTIMA AHMED MOHAMMED</v>
      </c>
      <c r="GB14" s="78"/>
      <c r="GC14" s="78"/>
      <c r="GD14" s="78"/>
      <c r="GE14" s="78"/>
      <c r="GF14" s="98">
        <f t="shared" si="76"/>
        <v>0</v>
      </c>
      <c r="GG14" s="98"/>
      <c r="GH14" s="98">
        <f t="shared" si="77"/>
        <v>0</v>
      </c>
      <c r="GI14" s="98" t="str">
        <f t="shared" si="78"/>
        <v/>
      </c>
      <c r="GJ14" s="98" t="str">
        <f t="shared" si="79"/>
        <v/>
      </c>
      <c r="GK14" s="98" t="str">
        <f t="shared" si="80"/>
        <v/>
      </c>
      <c r="GL14">
        <v>12</v>
      </c>
      <c r="GM14" s="77" t="str">
        <f>Data!B13</f>
        <v>SHETTIMA AHMED MOHAMMED</v>
      </c>
      <c r="GN14" s="99"/>
      <c r="GO14" s="99"/>
      <c r="GP14" s="99"/>
      <c r="GQ14" s="99"/>
      <c r="GR14" s="100">
        <f t="shared" si="81"/>
        <v>0</v>
      </c>
      <c r="GS14" s="99"/>
      <c r="GT14" s="100">
        <f t="shared" si="82"/>
        <v>0</v>
      </c>
      <c r="GU14" s="100" t="str">
        <f t="shared" si="83"/>
        <v/>
      </c>
      <c r="GV14" s="100" t="str">
        <f t="shared" si="84"/>
        <v/>
      </c>
      <c r="GW14" s="100" t="str">
        <f t="shared" si="85"/>
        <v/>
      </c>
      <c r="GX14">
        <v>12</v>
      </c>
      <c r="GY14" s="77" t="str">
        <f>Data!B13</f>
        <v>SHETTIMA AHMED MOHAMMED</v>
      </c>
      <c r="GZ14" s="78"/>
      <c r="HA14" s="78"/>
      <c r="HB14" s="78"/>
      <c r="HC14" s="78"/>
      <c r="HD14" s="86">
        <f t="shared" si="86"/>
        <v>0</v>
      </c>
      <c r="HE14" s="86"/>
      <c r="HF14" s="86">
        <f t="shared" si="87"/>
        <v>0</v>
      </c>
      <c r="HG14" s="86" t="str">
        <f t="shared" si="88"/>
        <v/>
      </c>
      <c r="HH14" s="86" t="str">
        <f t="shared" si="89"/>
        <v/>
      </c>
      <c r="HI14" s="86" t="str">
        <f t="shared" si="90"/>
        <v/>
      </c>
      <c r="HJ14">
        <v>12</v>
      </c>
      <c r="HK14" s="77" t="str">
        <f>Data!B13</f>
        <v>SHETTIMA AHMED MOHAMMED</v>
      </c>
      <c r="HL14" s="111"/>
      <c r="HM14" s="112"/>
      <c r="HN14" s="112"/>
      <c r="HO14" s="112"/>
      <c r="HP14" s="103">
        <f t="shared" si="91"/>
        <v>0</v>
      </c>
      <c r="HQ14" s="111"/>
      <c r="HR14" s="103">
        <f t="shared" si="92"/>
        <v>0</v>
      </c>
      <c r="HS14" s="103" t="str">
        <f t="shared" si="93"/>
        <v/>
      </c>
      <c r="HT14" s="103" t="str">
        <f t="shared" si="94"/>
        <v/>
      </c>
      <c r="HU14" s="103" t="str">
        <f t="shared" si="95"/>
        <v/>
      </c>
      <c r="HV14">
        <v>12</v>
      </c>
      <c r="HW14" s="77" t="str">
        <f>Data!B13</f>
        <v>SHETTIMA AHMED MOHAMMED</v>
      </c>
      <c r="HX14" s="78"/>
      <c r="HY14" s="78"/>
      <c r="HZ14" s="78"/>
      <c r="IA14" s="78"/>
      <c r="IB14" s="85">
        <f t="shared" si="96"/>
        <v>0</v>
      </c>
      <c r="IC14" s="85"/>
      <c r="ID14" s="85">
        <f t="shared" si="97"/>
        <v>0</v>
      </c>
      <c r="IE14" s="85" t="str">
        <f t="shared" si="98"/>
        <v/>
      </c>
      <c r="IF14" s="85" t="str">
        <f t="shared" si="99"/>
        <v/>
      </c>
      <c r="IG14" s="85" t="str">
        <f t="shared" si="100"/>
        <v/>
      </c>
      <c r="IH14">
        <v>12</v>
      </c>
      <c r="II14" s="77" t="str">
        <f>Data!B13</f>
        <v>SHETTIMA AHMED MOHAMMED</v>
      </c>
      <c r="IJ14" s="78"/>
      <c r="IK14" s="78"/>
      <c r="IL14" s="78"/>
      <c r="IM14" s="78"/>
      <c r="IN14" s="104">
        <f t="shared" si="101"/>
        <v>0</v>
      </c>
      <c r="IO14" s="104"/>
      <c r="IP14" s="104">
        <f t="shared" si="102"/>
        <v>0</v>
      </c>
      <c r="IQ14" s="104" t="str">
        <f t="shared" si="103"/>
        <v/>
      </c>
      <c r="IR14" s="104" t="str">
        <f t="shared" si="104"/>
        <v/>
      </c>
      <c r="IS14" s="104" t="str">
        <f t="shared" si="105"/>
        <v/>
      </c>
      <c r="IT14">
        <v>12</v>
      </c>
      <c r="IU14" s="77" t="str">
        <f t="shared" si="106"/>
        <v>SHETTIMA AHMED MOHAMMED</v>
      </c>
      <c r="IV14" s="105"/>
      <c r="IW14" s="105"/>
      <c r="IX14" s="105"/>
      <c r="IY14" s="105"/>
      <c r="IZ14" s="98">
        <f t="shared" si="107"/>
        <v>0</v>
      </c>
      <c r="JA14" s="105"/>
      <c r="JB14" s="98">
        <f t="shared" si="108"/>
        <v>0</v>
      </c>
      <c r="JC14" s="98" t="str">
        <f t="shared" si="109"/>
        <v/>
      </c>
      <c r="JD14" s="98" t="str">
        <f t="shared" si="110"/>
        <v/>
      </c>
      <c r="JE14" s="98" t="str">
        <f t="shared" si="111"/>
        <v/>
      </c>
      <c r="JF14">
        <v>12</v>
      </c>
      <c r="JG14" s="77" t="str">
        <f t="shared" si="112"/>
        <v>SHETTIMA AHMED MOHAMMED</v>
      </c>
      <c r="JH14" s="114"/>
      <c r="JI14" s="114"/>
      <c r="JJ14" s="114"/>
      <c r="JK14" s="114"/>
      <c r="JL14" s="82">
        <f t="shared" si="113"/>
        <v>0</v>
      </c>
      <c r="JM14" s="114"/>
      <c r="JN14" s="82">
        <f t="shared" si="114"/>
        <v>0</v>
      </c>
      <c r="JO14" s="82" t="str">
        <f t="shared" si="115"/>
        <v/>
      </c>
      <c r="JP14" s="82" t="str">
        <f t="shared" si="116"/>
        <v/>
      </c>
      <c r="JQ14" s="82" t="str">
        <f t="shared" si="117"/>
        <v/>
      </c>
      <c r="JR14">
        <v>12</v>
      </c>
      <c r="JS14" s="77" t="str">
        <f t="shared" si="118"/>
        <v>SHETTIMA AHMED MOHAMMED</v>
      </c>
      <c r="JT14" s="107"/>
      <c r="JU14" s="107"/>
      <c r="JV14" s="107"/>
      <c r="JW14" s="107"/>
      <c r="JX14" s="80">
        <f t="shared" si="119"/>
        <v>0</v>
      </c>
      <c r="JY14" s="108"/>
      <c r="JZ14" s="80">
        <f t="shared" si="0"/>
        <v>0</v>
      </c>
      <c r="KA14" s="80" t="str">
        <f t="shared" si="120"/>
        <v/>
      </c>
      <c r="KB14" s="80" t="str">
        <f t="shared" si="121"/>
        <v/>
      </c>
      <c r="KC14" s="80" t="str">
        <f t="shared" si="122"/>
        <v/>
      </c>
      <c r="KE14" s="16"/>
      <c r="KF14" s="16"/>
      <c r="KG14" s="16"/>
      <c r="KH14" s="16"/>
      <c r="KI14" s="16"/>
      <c r="KJ14" s="16"/>
      <c r="KK14" s="16"/>
      <c r="KL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</row>
    <row r="15" spans="1:309" ht="23.25">
      <c r="A15" s="17">
        <v>13</v>
      </c>
      <c r="B15" s="186">
        <v>13</v>
      </c>
      <c r="C15" s="77" t="str">
        <f>Data!B14</f>
        <v xml:space="preserve">SHUIABU FARUK UMAR </v>
      </c>
      <c r="D15" s="87">
        <v>2</v>
      </c>
      <c r="E15" s="87">
        <v>5</v>
      </c>
      <c r="F15" s="87">
        <v>9</v>
      </c>
      <c r="G15" s="87">
        <v>6</v>
      </c>
      <c r="H15" s="88">
        <f t="shared" si="1"/>
        <v>22</v>
      </c>
      <c r="I15" s="87">
        <v>24</v>
      </c>
      <c r="J15" s="88">
        <f t="shared" si="2"/>
        <v>46</v>
      </c>
      <c r="K15" s="79">
        <f t="shared" si="3"/>
        <v>40</v>
      </c>
      <c r="L15" s="79" t="str">
        <f t="shared" si="4"/>
        <v>D7</v>
      </c>
      <c r="M15" s="79" t="str">
        <f t="shared" si="5"/>
        <v>Pass</v>
      </c>
      <c r="N15" s="17">
        <v>13</v>
      </c>
      <c r="O15" s="77" t="str">
        <f>Data!B14</f>
        <v xml:space="preserve">SHUIABU FARUK UMAR </v>
      </c>
      <c r="P15" s="78"/>
      <c r="Q15" s="78"/>
      <c r="R15" s="78"/>
      <c r="S15" s="78"/>
      <c r="T15" s="80">
        <f t="shared" si="6"/>
        <v>0</v>
      </c>
      <c r="U15" s="80"/>
      <c r="V15" s="80">
        <f t="shared" si="7"/>
        <v>0</v>
      </c>
      <c r="W15" s="80" t="str">
        <f t="shared" si="8"/>
        <v/>
      </c>
      <c r="X15" s="80" t="str">
        <f t="shared" si="9"/>
        <v/>
      </c>
      <c r="Y15" s="80" t="str">
        <f t="shared" si="10"/>
        <v/>
      </c>
      <c r="Z15" s="11">
        <v>13</v>
      </c>
      <c r="AA15" s="77" t="str">
        <f>Data!B14</f>
        <v xml:space="preserve">SHUIABU FARUK UMAR </v>
      </c>
      <c r="AB15" s="87">
        <v>2</v>
      </c>
      <c r="AC15" s="87">
        <v>5</v>
      </c>
      <c r="AD15" s="87">
        <v>9</v>
      </c>
      <c r="AE15" s="87">
        <v>6</v>
      </c>
      <c r="AF15" s="88">
        <f t="shared" si="11"/>
        <v>22</v>
      </c>
      <c r="AG15" s="87">
        <v>24</v>
      </c>
      <c r="AH15" s="88">
        <f t="shared" si="12"/>
        <v>46</v>
      </c>
      <c r="AI15" s="82">
        <f t="shared" si="13"/>
        <v>40</v>
      </c>
      <c r="AJ15" s="82" t="str">
        <f t="shared" si="14"/>
        <v>D7</v>
      </c>
      <c r="AK15" s="82" t="str">
        <f t="shared" si="15"/>
        <v>Pass</v>
      </c>
      <c r="AL15" s="11">
        <v>13</v>
      </c>
      <c r="AM15" s="77" t="str">
        <f>Data!B14</f>
        <v xml:space="preserve">SHUIABU FARUK UMAR </v>
      </c>
      <c r="AN15" s="87">
        <v>2</v>
      </c>
      <c r="AO15" s="87">
        <v>5</v>
      </c>
      <c r="AP15" s="87">
        <v>9</v>
      </c>
      <c r="AQ15" s="87">
        <v>6</v>
      </c>
      <c r="AR15" s="88">
        <f t="shared" si="16"/>
        <v>22</v>
      </c>
      <c r="AS15" s="87">
        <v>24</v>
      </c>
      <c r="AT15" s="88">
        <f t="shared" si="17"/>
        <v>46</v>
      </c>
      <c r="AU15" s="83">
        <f t="shared" si="18"/>
        <v>40</v>
      </c>
      <c r="AV15" s="83" t="str">
        <f t="shared" si="19"/>
        <v>D7</v>
      </c>
      <c r="AW15" s="83" t="str">
        <f t="shared" si="20"/>
        <v>Pass</v>
      </c>
      <c r="AX15" s="11">
        <v>13</v>
      </c>
      <c r="AY15" s="77" t="str">
        <f>Data!B14</f>
        <v xml:space="preserve">SHUIABU FARUK UMAR </v>
      </c>
      <c r="AZ15" s="87">
        <v>2</v>
      </c>
      <c r="BA15" s="87">
        <v>5</v>
      </c>
      <c r="BB15" s="87">
        <v>9</v>
      </c>
      <c r="BC15" s="87">
        <v>6</v>
      </c>
      <c r="BD15" s="88">
        <f t="shared" si="21"/>
        <v>22</v>
      </c>
      <c r="BE15" s="87">
        <v>24</v>
      </c>
      <c r="BF15" s="88">
        <f t="shared" si="22"/>
        <v>46</v>
      </c>
      <c r="BG15" s="85">
        <f t="shared" si="23"/>
        <v>40</v>
      </c>
      <c r="BH15" s="85" t="str">
        <f t="shared" si="24"/>
        <v>D7</v>
      </c>
      <c r="BI15" s="85" t="str">
        <f t="shared" si="25"/>
        <v>Pass</v>
      </c>
      <c r="BJ15" s="36">
        <v>13</v>
      </c>
      <c r="BK15" s="77" t="str">
        <f>Data!B14</f>
        <v xml:space="preserve">SHUIABU FARUK UMAR </v>
      </c>
      <c r="BL15" s="87">
        <v>2</v>
      </c>
      <c r="BM15" s="87">
        <v>5</v>
      </c>
      <c r="BN15" s="87">
        <v>9</v>
      </c>
      <c r="BO15" s="87">
        <v>6</v>
      </c>
      <c r="BP15" s="88">
        <f t="shared" si="26"/>
        <v>22</v>
      </c>
      <c r="BQ15" s="87">
        <v>24</v>
      </c>
      <c r="BR15" s="88">
        <f t="shared" si="27"/>
        <v>46</v>
      </c>
      <c r="BS15" s="86">
        <f t="shared" si="28"/>
        <v>40</v>
      </c>
      <c r="BT15" s="86" t="str">
        <f t="shared" si="29"/>
        <v>D7</v>
      </c>
      <c r="BU15" s="86" t="str">
        <f t="shared" si="30"/>
        <v>Pass</v>
      </c>
      <c r="BV15">
        <v>13</v>
      </c>
      <c r="BW15" s="77" t="str">
        <f>Data!B14</f>
        <v xml:space="preserve">SHUIABU FARUK UMAR </v>
      </c>
      <c r="BX15" s="87">
        <v>2</v>
      </c>
      <c r="BY15" s="87">
        <v>5</v>
      </c>
      <c r="BZ15" s="87">
        <v>9</v>
      </c>
      <c r="CA15" s="87">
        <v>6</v>
      </c>
      <c r="CB15" s="88">
        <f t="shared" si="31"/>
        <v>22</v>
      </c>
      <c r="CC15" s="87">
        <v>24</v>
      </c>
      <c r="CD15" s="88">
        <f t="shared" si="32"/>
        <v>46</v>
      </c>
      <c r="CE15" s="88">
        <f t="shared" si="33"/>
        <v>40</v>
      </c>
      <c r="CF15" s="88" t="str">
        <f t="shared" si="34"/>
        <v>D7</v>
      </c>
      <c r="CG15" s="88" t="str">
        <f t="shared" si="35"/>
        <v>Pass</v>
      </c>
      <c r="CH15">
        <v>13</v>
      </c>
      <c r="CI15" s="77" t="str">
        <f>Data!B14</f>
        <v xml:space="preserve">SHUIABU FARUK UMAR </v>
      </c>
      <c r="CJ15" s="78"/>
      <c r="CK15" s="78"/>
      <c r="CL15" s="78"/>
      <c r="CM15" s="78"/>
      <c r="CN15" s="89">
        <f t="shared" si="36"/>
        <v>0</v>
      </c>
      <c r="CO15" s="89"/>
      <c r="CP15" s="89">
        <f t="shared" si="37"/>
        <v>0</v>
      </c>
      <c r="CQ15" s="89" t="str">
        <f t="shared" si="38"/>
        <v/>
      </c>
      <c r="CR15" s="89" t="str">
        <f t="shared" si="39"/>
        <v/>
      </c>
      <c r="CS15" s="89" t="str">
        <f t="shared" si="40"/>
        <v/>
      </c>
      <c r="CT15">
        <v>13</v>
      </c>
      <c r="CU15" s="77" t="str">
        <f>Data!B14</f>
        <v xml:space="preserve">SHUIABU FARUK UMAR </v>
      </c>
      <c r="CV15" s="12"/>
      <c r="CW15" s="12"/>
      <c r="CX15" s="12"/>
      <c r="CY15" s="12"/>
      <c r="CZ15" s="90">
        <f t="shared" si="41"/>
        <v>0</v>
      </c>
      <c r="DA15" s="12"/>
      <c r="DB15" s="90">
        <f t="shared" si="42"/>
        <v>0</v>
      </c>
      <c r="DC15" s="90" t="str">
        <f t="shared" si="43"/>
        <v/>
      </c>
      <c r="DD15" s="90" t="str">
        <f t="shared" si="44"/>
        <v/>
      </c>
      <c r="DE15" s="90" t="str">
        <f t="shared" si="45"/>
        <v/>
      </c>
      <c r="DF15">
        <v>13</v>
      </c>
      <c r="DG15" s="77" t="str">
        <f>Data!B14</f>
        <v xml:space="preserve">SHUIABU FARUK UMAR </v>
      </c>
      <c r="DH15" s="78"/>
      <c r="DI15" s="78"/>
      <c r="DJ15" s="78"/>
      <c r="DK15" s="78"/>
      <c r="DL15" s="85">
        <f t="shared" si="46"/>
        <v>0</v>
      </c>
      <c r="DM15" s="84"/>
      <c r="DN15" s="85">
        <f t="shared" si="47"/>
        <v>0</v>
      </c>
      <c r="DO15" s="85" t="str">
        <f t="shared" si="48"/>
        <v/>
      </c>
      <c r="DP15" s="85" t="str">
        <f t="shared" si="49"/>
        <v/>
      </c>
      <c r="DQ15" s="85" t="str">
        <f t="shared" si="50"/>
        <v/>
      </c>
      <c r="DR15">
        <v>13</v>
      </c>
      <c r="DS15" s="77" t="str">
        <f>Data!B14</f>
        <v xml:space="preserve">SHUIABU FARUK UMAR </v>
      </c>
      <c r="DT15" s="91"/>
      <c r="DU15" s="91"/>
      <c r="DV15" s="91"/>
      <c r="DW15" s="91"/>
      <c r="DX15" s="92">
        <f t="shared" si="51"/>
        <v>0</v>
      </c>
      <c r="DY15" s="93"/>
      <c r="DZ15" s="92">
        <f t="shared" si="52"/>
        <v>0</v>
      </c>
      <c r="EA15" s="92" t="str">
        <f t="shared" si="53"/>
        <v/>
      </c>
      <c r="EB15" s="92" t="str">
        <f t="shared" si="54"/>
        <v/>
      </c>
      <c r="EC15" s="92" t="str">
        <f t="shared" si="55"/>
        <v/>
      </c>
      <c r="ED15">
        <v>13</v>
      </c>
      <c r="EE15" s="77" t="str">
        <f>Data!B14</f>
        <v xml:space="preserve">SHUIABU FARUK UMAR </v>
      </c>
      <c r="EF15" s="78"/>
      <c r="EG15" s="78"/>
      <c r="EH15" s="78"/>
      <c r="EI15" s="78"/>
      <c r="EJ15" s="94">
        <f t="shared" si="56"/>
        <v>0</v>
      </c>
      <c r="EK15" s="94"/>
      <c r="EL15" s="94">
        <f t="shared" si="57"/>
        <v>0</v>
      </c>
      <c r="EM15" s="94" t="str">
        <f t="shared" si="58"/>
        <v/>
      </c>
      <c r="EN15" s="94" t="str">
        <f t="shared" si="59"/>
        <v/>
      </c>
      <c r="EO15" s="94" t="str">
        <f t="shared" si="60"/>
        <v/>
      </c>
      <c r="EP15">
        <v>13</v>
      </c>
      <c r="EQ15" s="95" t="str">
        <f>Data!B14</f>
        <v xml:space="preserve">SHUIABU FARUK UMAR </v>
      </c>
      <c r="ER15" s="78"/>
      <c r="ES15" s="78"/>
      <c r="ET15" s="78"/>
      <c r="EU15" s="78"/>
      <c r="EV15" s="90">
        <f t="shared" si="61"/>
        <v>0</v>
      </c>
      <c r="EW15" s="90"/>
      <c r="EX15" s="90">
        <f t="shared" si="62"/>
        <v>0</v>
      </c>
      <c r="EY15" s="90" t="str">
        <f t="shared" si="63"/>
        <v/>
      </c>
      <c r="EZ15" s="90" t="str">
        <f t="shared" si="64"/>
        <v/>
      </c>
      <c r="FA15" s="90" t="str">
        <f t="shared" si="65"/>
        <v/>
      </c>
      <c r="FB15">
        <v>13</v>
      </c>
      <c r="FC15" s="77" t="str">
        <f>Data!B14</f>
        <v xml:space="preserve">SHUIABU FARUK UMAR </v>
      </c>
      <c r="FD15" s="78"/>
      <c r="FE15" s="78"/>
      <c r="FF15" s="78"/>
      <c r="FG15" s="78"/>
      <c r="FH15" s="96">
        <f t="shared" si="66"/>
        <v>0</v>
      </c>
      <c r="FI15" s="96"/>
      <c r="FJ15" s="96">
        <f t="shared" si="67"/>
        <v>0</v>
      </c>
      <c r="FK15" s="96" t="str">
        <f t="shared" si="68"/>
        <v/>
      </c>
      <c r="FL15" s="96" t="str">
        <f t="shared" si="69"/>
        <v/>
      </c>
      <c r="FM15" s="96" t="str">
        <f t="shared" si="70"/>
        <v/>
      </c>
      <c r="FN15">
        <v>13</v>
      </c>
      <c r="FO15" s="77" t="str">
        <f>Data!B14</f>
        <v xml:space="preserve">SHUIABU FARUK UMAR </v>
      </c>
      <c r="FP15" s="78"/>
      <c r="FQ15" s="78"/>
      <c r="FR15" s="78"/>
      <c r="FS15" s="78"/>
      <c r="FT15" s="97">
        <f t="shared" si="71"/>
        <v>0</v>
      </c>
      <c r="FU15" s="97"/>
      <c r="FV15" s="97">
        <f t="shared" si="72"/>
        <v>0</v>
      </c>
      <c r="FW15" s="97" t="str">
        <f t="shared" si="73"/>
        <v/>
      </c>
      <c r="FX15" s="97" t="str">
        <f t="shared" si="74"/>
        <v/>
      </c>
      <c r="FY15" s="97" t="str">
        <f t="shared" si="75"/>
        <v/>
      </c>
      <c r="FZ15">
        <v>13</v>
      </c>
      <c r="GA15" s="77" t="str">
        <f>Data!B14</f>
        <v xml:space="preserve">SHUIABU FARUK UMAR </v>
      </c>
      <c r="GB15" s="78"/>
      <c r="GC15" s="78"/>
      <c r="GD15" s="78"/>
      <c r="GE15" s="78"/>
      <c r="GF15" s="98">
        <f t="shared" si="76"/>
        <v>0</v>
      </c>
      <c r="GG15" s="98"/>
      <c r="GH15" s="98">
        <f t="shared" si="77"/>
        <v>0</v>
      </c>
      <c r="GI15" s="98" t="str">
        <f t="shared" si="78"/>
        <v/>
      </c>
      <c r="GJ15" s="98" t="str">
        <f t="shared" si="79"/>
        <v/>
      </c>
      <c r="GK15" s="98" t="str">
        <f t="shared" si="80"/>
        <v/>
      </c>
      <c r="GL15">
        <v>13</v>
      </c>
      <c r="GM15" s="77" t="str">
        <f>Data!B14</f>
        <v xml:space="preserve">SHUIABU FARUK UMAR </v>
      </c>
      <c r="GN15" s="99"/>
      <c r="GO15" s="99"/>
      <c r="GP15" s="99"/>
      <c r="GQ15" s="99"/>
      <c r="GR15" s="100">
        <f t="shared" si="81"/>
        <v>0</v>
      </c>
      <c r="GS15" s="99"/>
      <c r="GT15" s="100">
        <f t="shared" si="82"/>
        <v>0</v>
      </c>
      <c r="GU15" s="100" t="str">
        <f t="shared" si="83"/>
        <v/>
      </c>
      <c r="GV15" s="100" t="str">
        <f t="shared" si="84"/>
        <v/>
      </c>
      <c r="GW15" s="100" t="str">
        <f t="shared" si="85"/>
        <v/>
      </c>
      <c r="GX15">
        <v>13</v>
      </c>
      <c r="GY15" s="77" t="str">
        <f>Data!B14</f>
        <v xml:space="preserve">SHUIABU FARUK UMAR </v>
      </c>
      <c r="GZ15" s="78"/>
      <c r="HA15" s="78"/>
      <c r="HB15" s="78"/>
      <c r="HC15" s="78"/>
      <c r="HD15" s="86">
        <f t="shared" si="86"/>
        <v>0</v>
      </c>
      <c r="HE15" s="86"/>
      <c r="HF15" s="86">
        <f t="shared" si="87"/>
        <v>0</v>
      </c>
      <c r="HG15" s="86" t="str">
        <f t="shared" si="88"/>
        <v/>
      </c>
      <c r="HH15" s="86" t="str">
        <f t="shared" si="89"/>
        <v/>
      </c>
      <c r="HI15" s="86" t="str">
        <f t="shared" si="90"/>
        <v/>
      </c>
      <c r="HJ15">
        <v>13</v>
      </c>
      <c r="HK15" s="77" t="str">
        <f>Data!B14</f>
        <v xml:space="preserve">SHUIABU FARUK UMAR </v>
      </c>
      <c r="HL15" s="111">
        <v>2</v>
      </c>
      <c r="HM15" s="112">
        <v>2</v>
      </c>
      <c r="HN15" s="112">
        <v>8</v>
      </c>
      <c r="HO15" s="112">
        <v>6</v>
      </c>
      <c r="HP15" s="103">
        <f t="shared" si="91"/>
        <v>18</v>
      </c>
      <c r="HQ15" s="111"/>
      <c r="HR15" s="103">
        <f t="shared" si="92"/>
        <v>18</v>
      </c>
      <c r="HS15" s="103">
        <f t="shared" si="93"/>
        <v>21</v>
      </c>
      <c r="HT15" s="103" t="str">
        <f t="shared" si="94"/>
        <v>F</v>
      </c>
      <c r="HU15" s="103" t="str">
        <f t="shared" si="95"/>
        <v>Fail</v>
      </c>
      <c r="HV15">
        <v>13</v>
      </c>
      <c r="HW15" s="77" t="str">
        <f>Data!B14</f>
        <v xml:space="preserve">SHUIABU FARUK UMAR </v>
      </c>
      <c r="HX15" s="78"/>
      <c r="HY15" s="78"/>
      <c r="HZ15" s="78"/>
      <c r="IA15" s="78"/>
      <c r="IB15" s="85">
        <f t="shared" si="96"/>
        <v>0</v>
      </c>
      <c r="IC15" s="85"/>
      <c r="ID15" s="85">
        <f t="shared" si="97"/>
        <v>0</v>
      </c>
      <c r="IE15" s="85" t="str">
        <f t="shared" si="98"/>
        <v/>
      </c>
      <c r="IF15" s="85" t="str">
        <f t="shared" si="99"/>
        <v/>
      </c>
      <c r="IG15" s="85" t="str">
        <f t="shared" si="100"/>
        <v/>
      </c>
      <c r="IH15">
        <v>13</v>
      </c>
      <c r="II15" s="77" t="str">
        <f>Data!B14</f>
        <v xml:space="preserve">SHUIABU FARUK UMAR </v>
      </c>
      <c r="IJ15" s="78"/>
      <c r="IK15" s="78"/>
      <c r="IL15" s="78"/>
      <c r="IM15" s="78"/>
      <c r="IN15" s="104">
        <f t="shared" si="101"/>
        <v>0</v>
      </c>
      <c r="IO15" s="104"/>
      <c r="IP15" s="104">
        <f t="shared" si="102"/>
        <v>0</v>
      </c>
      <c r="IQ15" s="104" t="str">
        <f t="shared" si="103"/>
        <v/>
      </c>
      <c r="IR15" s="104" t="str">
        <f t="shared" si="104"/>
        <v/>
      </c>
      <c r="IS15" s="104" t="str">
        <f t="shared" si="105"/>
        <v/>
      </c>
      <c r="IT15">
        <v>13</v>
      </c>
      <c r="IU15" s="77" t="str">
        <f t="shared" si="106"/>
        <v xml:space="preserve">SHUIABU FARUK UMAR </v>
      </c>
      <c r="IV15" s="105"/>
      <c r="IW15" s="105"/>
      <c r="IX15" s="105"/>
      <c r="IY15" s="105"/>
      <c r="IZ15" s="98">
        <f t="shared" si="107"/>
        <v>0</v>
      </c>
      <c r="JA15" s="105"/>
      <c r="JB15" s="98">
        <f t="shared" si="108"/>
        <v>0</v>
      </c>
      <c r="JC15" s="98" t="str">
        <f t="shared" si="109"/>
        <v/>
      </c>
      <c r="JD15" s="98" t="str">
        <f t="shared" si="110"/>
        <v/>
      </c>
      <c r="JE15" s="98" t="str">
        <f t="shared" si="111"/>
        <v/>
      </c>
      <c r="JF15">
        <v>13</v>
      </c>
      <c r="JG15" s="77" t="str">
        <f t="shared" si="112"/>
        <v xml:space="preserve">SHUIABU FARUK UMAR </v>
      </c>
      <c r="JH15" s="114"/>
      <c r="JI15" s="114"/>
      <c r="JJ15" s="114"/>
      <c r="JK15" s="114"/>
      <c r="JL15" s="82">
        <f t="shared" si="113"/>
        <v>0</v>
      </c>
      <c r="JM15" s="114"/>
      <c r="JN15" s="82">
        <f t="shared" si="114"/>
        <v>0</v>
      </c>
      <c r="JO15" s="82" t="str">
        <f t="shared" si="115"/>
        <v/>
      </c>
      <c r="JP15" s="82" t="str">
        <f t="shared" si="116"/>
        <v/>
      </c>
      <c r="JQ15" s="82" t="str">
        <f t="shared" si="117"/>
        <v/>
      </c>
      <c r="JR15">
        <v>13</v>
      </c>
      <c r="JS15" s="77" t="str">
        <f t="shared" si="118"/>
        <v xml:space="preserve">SHUIABU FARUK UMAR </v>
      </c>
      <c r="JT15" s="107"/>
      <c r="JU15" s="107"/>
      <c r="JV15" s="107"/>
      <c r="JW15" s="107"/>
      <c r="JX15" s="80">
        <f t="shared" si="119"/>
        <v>0</v>
      </c>
      <c r="JY15" s="108"/>
      <c r="JZ15" s="80">
        <f t="shared" si="0"/>
        <v>0</v>
      </c>
      <c r="KA15" s="80" t="str">
        <f t="shared" si="120"/>
        <v/>
      </c>
      <c r="KB15" s="80" t="str">
        <f t="shared" si="121"/>
        <v/>
      </c>
      <c r="KC15" s="80" t="str">
        <f t="shared" si="122"/>
        <v/>
      </c>
      <c r="KE15" s="16"/>
      <c r="KF15" s="16"/>
      <c r="KG15" s="16"/>
      <c r="KH15" s="16"/>
      <c r="KI15" s="16"/>
      <c r="KJ15" s="16"/>
      <c r="KK15" s="16"/>
      <c r="KL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</row>
    <row r="16" spans="1:309" ht="23.25">
      <c r="A16" s="17">
        <v>14</v>
      </c>
      <c r="B16" s="186">
        <v>14</v>
      </c>
      <c r="C16" s="77" t="str">
        <f>Data!B15</f>
        <v>STEPHEN HARUNA MALGWI</v>
      </c>
      <c r="D16" s="87">
        <v>7</v>
      </c>
      <c r="E16" s="87">
        <v>9</v>
      </c>
      <c r="F16" s="87">
        <v>9</v>
      </c>
      <c r="G16" s="87">
        <v>6</v>
      </c>
      <c r="H16" s="88">
        <f t="shared" si="1"/>
        <v>31</v>
      </c>
      <c r="I16" s="87">
        <v>30</v>
      </c>
      <c r="J16" s="88">
        <f t="shared" si="2"/>
        <v>61</v>
      </c>
      <c r="K16" s="79">
        <f t="shared" si="3"/>
        <v>16</v>
      </c>
      <c r="L16" s="79" t="str">
        <f t="shared" si="4"/>
        <v>C4</v>
      </c>
      <c r="M16" s="79" t="str">
        <f t="shared" si="5"/>
        <v>Credit</v>
      </c>
      <c r="N16" s="17">
        <v>14</v>
      </c>
      <c r="O16" s="77" t="str">
        <f>Data!B15</f>
        <v>STEPHEN HARUNA MALGWI</v>
      </c>
      <c r="P16" s="78"/>
      <c r="Q16" s="78"/>
      <c r="R16" s="78"/>
      <c r="S16" s="78"/>
      <c r="T16" s="80">
        <f t="shared" si="6"/>
        <v>0</v>
      </c>
      <c r="U16" s="80"/>
      <c r="V16" s="80">
        <f t="shared" si="7"/>
        <v>0</v>
      </c>
      <c r="W16" s="80" t="str">
        <f t="shared" si="8"/>
        <v/>
      </c>
      <c r="X16" s="80" t="str">
        <f t="shared" si="9"/>
        <v/>
      </c>
      <c r="Y16" s="80" t="str">
        <f t="shared" si="10"/>
        <v/>
      </c>
      <c r="Z16" s="11">
        <v>14</v>
      </c>
      <c r="AA16" s="77" t="str">
        <f>Data!B15</f>
        <v>STEPHEN HARUNA MALGWI</v>
      </c>
      <c r="AB16" s="87">
        <v>7</v>
      </c>
      <c r="AC16" s="87">
        <v>9</v>
      </c>
      <c r="AD16" s="87">
        <v>9</v>
      </c>
      <c r="AE16" s="87">
        <v>6</v>
      </c>
      <c r="AF16" s="88">
        <f t="shared" si="11"/>
        <v>31</v>
      </c>
      <c r="AG16" s="87">
        <v>30</v>
      </c>
      <c r="AH16" s="88">
        <f t="shared" si="12"/>
        <v>61</v>
      </c>
      <c r="AI16" s="82">
        <f t="shared" si="13"/>
        <v>16</v>
      </c>
      <c r="AJ16" s="82" t="str">
        <f t="shared" si="14"/>
        <v>C4</v>
      </c>
      <c r="AK16" s="82" t="str">
        <f t="shared" si="15"/>
        <v>Credit</v>
      </c>
      <c r="AL16" s="11">
        <v>14</v>
      </c>
      <c r="AM16" s="77" t="str">
        <f>Data!B15</f>
        <v>STEPHEN HARUNA MALGWI</v>
      </c>
      <c r="AN16" s="87">
        <v>7</v>
      </c>
      <c r="AO16" s="87">
        <v>9</v>
      </c>
      <c r="AP16" s="87">
        <v>9</v>
      </c>
      <c r="AQ16" s="87">
        <v>6</v>
      </c>
      <c r="AR16" s="88">
        <f t="shared" si="16"/>
        <v>31</v>
      </c>
      <c r="AS16" s="87">
        <v>30</v>
      </c>
      <c r="AT16" s="88">
        <f t="shared" si="17"/>
        <v>61</v>
      </c>
      <c r="AU16" s="83">
        <f t="shared" si="18"/>
        <v>16</v>
      </c>
      <c r="AV16" s="83" t="str">
        <f t="shared" si="19"/>
        <v>C4</v>
      </c>
      <c r="AW16" s="83" t="str">
        <f t="shared" si="20"/>
        <v>Credit</v>
      </c>
      <c r="AX16" s="11">
        <v>14</v>
      </c>
      <c r="AY16" s="77" t="str">
        <f>Data!B15</f>
        <v>STEPHEN HARUNA MALGWI</v>
      </c>
      <c r="AZ16" s="87">
        <v>7</v>
      </c>
      <c r="BA16" s="87">
        <v>9</v>
      </c>
      <c r="BB16" s="87">
        <v>9</v>
      </c>
      <c r="BC16" s="87">
        <v>6</v>
      </c>
      <c r="BD16" s="88">
        <f t="shared" si="21"/>
        <v>31</v>
      </c>
      <c r="BE16" s="87">
        <v>30</v>
      </c>
      <c r="BF16" s="88">
        <f t="shared" si="22"/>
        <v>61</v>
      </c>
      <c r="BG16" s="85">
        <f t="shared" si="23"/>
        <v>16</v>
      </c>
      <c r="BH16" s="85" t="str">
        <f t="shared" si="24"/>
        <v>C4</v>
      </c>
      <c r="BI16" s="85" t="str">
        <f t="shared" si="25"/>
        <v>Credit</v>
      </c>
      <c r="BJ16" s="36">
        <v>14</v>
      </c>
      <c r="BK16" s="77" t="str">
        <f>Data!B15</f>
        <v>STEPHEN HARUNA MALGWI</v>
      </c>
      <c r="BL16" s="87">
        <v>7</v>
      </c>
      <c r="BM16" s="87">
        <v>9</v>
      </c>
      <c r="BN16" s="87">
        <v>9</v>
      </c>
      <c r="BO16" s="87">
        <v>6</v>
      </c>
      <c r="BP16" s="88">
        <f t="shared" si="26"/>
        <v>31</v>
      </c>
      <c r="BQ16" s="87">
        <v>30</v>
      </c>
      <c r="BR16" s="88">
        <f t="shared" si="27"/>
        <v>61</v>
      </c>
      <c r="BS16" s="86">
        <f t="shared" si="28"/>
        <v>16</v>
      </c>
      <c r="BT16" s="86" t="str">
        <f t="shared" si="29"/>
        <v>C4</v>
      </c>
      <c r="BU16" s="86" t="str">
        <f t="shared" si="30"/>
        <v>Credit</v>
      </c>
      <c r="BV16">
        <v>14</v>
      </c>
      <c r="BW16" s="77" t="str">
        <f>Data!B15</f>
        <v>STEPHEN HARUNA MALGWI</v>
      </c>
      <c r="BX16" s="87">
        <v>7</v>
      </c>
      <c r="BY16" s="87">
        <v>9</v>
      </c>
      <c r="BZ16" s="87">
        <v>9</v>
      </c>
      <c r="CA16" s="87">
        <v>6</v>
      </c>
      <c r="CB16" s="88">
        <f t="shared" si="31"/>
        <v>31</v>
      </c>
      <c r="CC16" s="87">
        <v>30</v>
      </c>
      <c r="CD16" s="88">
        <f t="shared" si="32"/>
        <v>61</v>
      </c>
      <c r="CE16" s="88">
        <f t="shared" si="33"/>
        <v>16</v>
      </c>
      <c r="CF16" s="88" t="str">
        <f t="shared" si="34"/>
        <v>C4</v>
      </c>
      <c r="CG16" s="88" t="str">
        <f t="shared" si="35"/>
        <v>Credit</v>
      </c>
      <c r="CH16">
        <v>14</v>
      </c>
      <c r="CI16" s="77" t="str">
        <f>Data!B15</f>
        <v>STEPHEN HARUNA MALGWI</v>
      </c>
      <c r="CJ16" s="78"/>
      <c r="CK16" s="78"/>
      <c r="CL16" s="78"/>
      <c r="CM16" s="78"/>
      <c r="CN16" s="89">
        <f t="shared" si="36"/>
        <v>0</v>
      </c>
      <c r="CO16" s="89"/>
      <c r="CP16" s="89">
        <f t="shared" si="37"/>
        <v>0</v>
      </c>
      <c r="CQ16" s="89" t="str">
        <f t="shared" si="38"/>
        <v/>
      </c>
      <c r="CR16" s="89" t="str">
        <f t="shared" si="39"/>
        <v/>
      </c>
      <c r="CS16" s="89" t="str">
        <f t="shared" si="40"/>
        <v/>
      </c>
      <c r="CT16">
        <v>14</v>
      </c>
      <c r="CU16" s="77" t="str">
        <f>Data!B15</f>
        <v>STEPHEN HARUNA MALGWI</v>
      </c>
      <c r="CV16" s="12"/>
      <c r="CW16" s="12"/>
      <c r="CX16" s="12"/>
      <c r="CY16" s="12"/>
      <c r="CZ16" s="90">
        <f t="shared" si="41"/>
        <v>0</v>
      </c>
      <c r="DA16" s="12"/>
      <c r="DB16" s="90">
        <f t="shared" si="42"/>
        <v>0</v>
      </c>
      <c r="DC16" s="90" t="str">
        <f t="shared" si="43"/>
        <v/>
      </c>
      <c r="DD16" s="90" t="str">
        <f t="shared" si="44"/>
        <v/>
      </c>
      <c r="DE16" s="90" t="str">
        <f t="shared" si="45"/>
        <v/>
      </c>
      <c r="DF16">
        <v>14</v>
      </c>
      <c r="DG16" s="77" t="str">
        <f>Data!B15</f>
        <v>STEPHEN HARUNA MALGWI</v>
      </c>
      <c r="DH16" s="78">
        <v>7</v>
      </c>
      <c r="DI16" s="78">
        <v>3</v>
      </c>
      <c r="DJ16" s="78">
        <v>2</v>
      </c>
      <c r="DK16" s="78">
        <v>5</v>
      </c>
      <c r="DL16" s="85">
        <f t="shared" si="46"/>
        <v>17</v>
      </c>
      <c r="DM16" s="84">
        <v>27</v>
      </c>
      <c r="DN16" s="85">
        <f t="shared" si="47"/>
        <v>44</v>
      </c>
      <c r="DO16" s="85">
        <f t="shared" si="48"/>
        <v>3</v>
      </c>
      <c r="DP16" s="85" t="str">
        <f t="shared" si="49"/>
        <v>E8</v>
      </c>
      <c r="DQ16" s="85" t="str">
        <f t="shared" si="50"/>
        <v>Pass</v>
      </c>
      <c r="DR16">
        <v>14</v>
      </c>
      <c r="DS16" s="77" t="str">
        <f>Data!B15</f>
        <v>STEPHEN HARUNA MALGWI</v>
      </c>
      <c r="DT16" s="91"/>
      <c r="DU16" s="91"/>
      <c r="DV16" s="91"/>
      <c r="DW16" s="91"/>
      <c r="DX16" s="92">
        <f t="shared" si="51"/>
        <v>0</v>
      </c>
      <c r="DY16" s="93"/>
      <c r="DZ16" s="92">
        <f t="shared" si="52"/>
        <v>0</v>
      </c>
      <c r="EA16" s="92" t="str">
        <f t="shared" si="53"/>
        <v/>
      </c>
      <c r="EB16" s="92" t="str">
        <f t="shared" si="54"/>
        <v/>
      </c>
      <c r="EC16" s="92" t="str">
        <f t="shared" si="55"/>
        <v/>
      </c>
      <c r="ED16">
        <v>14</v>
      </c>
      <c r="EE16" s="77" t="str">
        <f>Data!B15</f>
        <v>STEPHEN HARUNA MALGWI</v>
      </c>
      <c r="EF16" s="78"/>
      <c r="EG16" s="78"/>
      <c r="EH16" s="78"/>
      <c r="EI16" s="78"/>
      <c r="EJ16" s="94">
        <f t="shared" si="56"/>
        <v>0</v>
      </c>
      <c r="EK16" s="94"/>
      <c r="EL16" s="94">
        <f t="shared" si="57"/>
        <v>0</v>
      </c>
      <c r="EM16" s="94" t="str">
        <f t="shared" si="58"/>
        <v/>
      </c>
      <c r="EN16" s="94" t="str">
        <f t="shared" si="59"/>
        <v/>
      </c>
      <c r="EO16" s="94" t="str">
        <f t="shared" si="60"/>
        <v/>
      </c>
      <c r="EP16">
        <v>14</v>
      </c>
      <c r="EQ16" s="95" t="str">
        <f>Data!B15</f>
        <v>STEPHEN HARUNA MALGWI</v>
      </c>
      <c r="ER16" s="78"/>
      <c r="ES16" s="78"/>
      <c r="ET16" s="78"/>
      <c r="EU16" s="78"/>
      <c r="EV16" s="90">
        <f t="shared" si="61"/>
        <v>0</v>
      </c>
      <c r="EW16" s="90"/>
      <c r="EX16" s="90">
        <f t="shared" si="62"/>
        <v>0</v>
      </c>
      <c r="EY16" s="90" t="str">
        <f t="shared" si="63"/>
        <v/>
      </c>
      <c r="EZ16" s="90" t="str">
        <f t="shared" si="64"/>
        <v/>
      </c>
      <c r="FA16" s="90" t="str">
        <f t="shared" si="65"/>
        <v/>
      </c>
      <c r="FB16">
        <v>14</v>
      </c>
      <c r="FC16" s="77" t="str">
        <f>Data!B15</f>
        <v>STEPHEN HARUNA MALGWI</v>
      </c>
      <c r="FD16" s="78"/>
      <c r="FE16" s="78"/>
      <c r="FF16" s="78"/>
      <c r="FG16" s="78"/>
      <c r="FH16" s="96">
        <f t="shared" si="66"/>
        <v>0</v>
      </c>
      <c r="FI16" s="96"/>
      <c r="FJ16" s="96">
        <f t="shared" si="67"/>
        <v>0</v>
      </c>
      <c r="FK16" s="96" t="str">
        <f t="shared" si="68"/>
        <v/>
      </c>
      <c r="FL16" s="96" t="str">
        <f t="shared" si="69"/>
        <v/>
      </c>
      <c r="FM16" s="96" t="str">
        <f t="shared" si="70"/>
        <v/>
      </c>
      <c r="FN16">
        <v>14</v>
      </c>
      <c r="FO16" s="77" t="str">
        <f>Data!B15</f>
        <v>STEPHEN HARUNA MALGWI</v>
      </c>
      <c r="FP16" s="78"/>
      <c r="FQ16" s="78"/>
      <c r="FR16" s="78"/>
      <c r="FS16" s="78"/>
      <c r="FT16" s="97">
        <f t="shared" si="71"/>
        <v>0</v>
      </c>
      <c r="FU16" s="97"/>
      <c r="FV16" s="97">
        <f t="shared" si="72"/>
        <v>0</v>
      </c>
      <c r="FW16" s="97" t="str">
        <f t="shared" si="73"/>
        <v/>
      </c>
      <c r="FX16" s="97" t="str">
        <f t="shared" si="74"/>
        <v/>
      </c>
      <c r="FY16" s="97" t="str">
        <f t="shared" si="75"/>
        <v/>
      </c>
      <c r="FZ16">
        <v>14</v>
      </c>
      <c r="GA16" s="77" t="str">
        <f>Data!B15</f>
        <v>STEPHEN HARUNA MALGWI</v>
      </c>
      <c r="GB16" s="78"/>
      <c r="GC16" s="78"/>
      <c r="GD16" s="78"/>
      <c r="GE16" s="78"/>
      <c r="GF16" s="98">
        <f t="shared" si="76"/>
        <v>0</v>
      </c>
      <c r="GG16" s="98"/>
      <c r="GH16" s="98">
        <f t="shared" si="77"/>
        <v>0</v>
      </c>
      <c r="GI16" s="98" t="str">
        <f t="shared" si="78"/>
        <v/>
      </c>
      <c r="GJ16" s="98" t="str">
        <f t="shared" si="79"/>
        <v/>
      </c>
      <c r="GK16" s="98" t="str">
        <f t="shared" si="80"/>
        <v/>
      </c>
      <c r="GL16">
        <v>14</v>
      </c>
      <c r="GM16" s="77" t="str">
        <f>Data!B15</f>
        <v>STEPHEN HARUNA MALGWI</v>
      </c>
      <c r="GN16" s="99"/>
      <c r="GO16" s="99"/>
      <c r="GP16" s="99"/>
      <c r="GQ16" s="99"/>
      <c r="GR16" s="100">
        <f t="shared" si="81"/>
        <v>0</v>
      </c>
      <c r="GS16" s="99"/>
      <c r="GT16" s="100">
        <f t="shared" si="82"/>
        <v>0</v>
      </c>
      <c r="GU16" s="100" t="str">
        <f t="shared" si="83"/>
        <v/>
      </c>
      <c r="GV16" s="100" t="str">
        <f t="shared" si="84"/>
        <v/>
      </c>
      <c r="GW16" s="100" t="str">
        <f t="shared" si="85"/>
        <v/>
      </c>
      <c r="GX16">
        <v>14</v>
      </c>
      <c r="GY16" s="77" t="str">
        <f>Data!B15</f>
        <v>STEPHEN HARUNA MALGWI</v>
      </c>
      <c r="GZ16" s="78"/>
      <c r="HA16" s="78"/>
      <c r="HB16" s="78"/>
      <c r="HC16" s="78"/>
      <c r="HD16" s="86">
        <f t="shared" si="86"/>
        <v>0</v>
      </c>
      <c r="HE16" s="86"/>
      <c r="HF16" s="86">
        <f t="shared" si="87"/>
        <v>0</v>
      </c>
      <c r="HG16" s="86" t="str">
        <f t="shared" si="88"/>
        <v/>
      </c>
      <c r="HH16" s="86" t="str">
        <f t="shared" si="89"/>
        <v/>
      </c>
      <c r="HI16" s="86" t="str">
        <f t="shared" si="90"/>
        <v/>
      </c>
      <c r="HJ16">
        <v>14</v>
      </c>
      <c r="HK16" s="77" t="str">
        <f>Data!B15</f>
        <v>STEPHEN HARUNA MALGWI</v>
      </c>
      <c r="HL16" s="111"/>
      <c r="HM16" s="112"/>
      <c r="HN16" s="112"/>
      <c r="HO16" s="112"/>
      <c r="HP16" s="103">
        <f t="shared" si="91"/>
        <v>0</v>
      </c>
      <c r="HQ16" s="111"/>
      <c r="HR16" s="103">
        <f t="shared" si="92"/>
        <v>0</v>
      </c>
      <c r="HS16" s="103" t="str">
        <f t="shared" si="93"/>
        <v/>
      </c>
      <c r="HT16" s="103" t="str">
        <f t="shared" si="94"/>
        <v/>
      </c>
      <c r="HU16" s="103" t="str">
        <f t="shared" si="95"/>
        <v/>
      </c>
      <c r="HV16">
        <v>14</v>
      </c>
      <c r="HW16" s="77" t="str">
        <f>Data!B15</f>
        <v>STEPHEN HARUNA MALGWI</v>
      </c>
      <c r="HX16" s="78"/>
      <c r="HY16" s="78"/>
      <c r="HZ16" s="78"/>
      <c r="IA16" s="78"/>
      <c r="IB16" s="85">
        <f t="shared" si="96"/>
        <v>0</v>
      </c>
      <c r="IC16" s="85"/>
      <c r="ID16" s="85">
        <f t="shared" si="97"/>
        <v>0</v>
      </c>
      <c r="IE16" s="85" t="str">
        <f t="shared" si="98"/>
        <v/>
      </c>
      <c r="IF16" s="85" t="str">
        <f t="shared" si="99"/>
        <v/>
      </c>
      <c r="IG16" s="85" t="str">
        <f t="shared" si="100"/>
        <v/>
      </c>
      <c r="IH16">
        <v>14</v>
      </c>
      <c r="II16" s="77" t="str">
        <f>Data!B15</f>
        <v>STEPHEN HARUNA MALGWI</v>
      </c>
      <c r="IJ16" s="78"/>
      <c r="IK16" s="78"/>
      <c r="IL16" s="78"/>
      <c r="IM16" s="78"/>
      <c r="IN16" s="104">
        <f t="shared" si="101"/>
        <v>0</v>
      </c>
      <c r="IO16" s="104"/>
      <c r="IP16" s="104">
        <f t="shared" si="102"/>
        <v>0</v>
      </c>
      <c r="IQ16" s="104" t="str">
        <f t="shared" si="103"/>
        <v/>
      </c>
      <c r="IR16" s="104" t="str">
        <f t="shared" si="104"/>
        <v/>
      </c>
      <c r="IS16" s="104" t="str">
        <f t="shared" si="105"/>
        <v/>
      </c>
      <c r="IT16">
        <v>14</v>
      </c>
      <c r="IU16" s="77" t="str">
        <f t="shared" si="106"/>
        <v>STEPHEN HARUNA MALGWI</v>
      </c>
      <c r="IV16" s="105"/>
      <c r="IW16" s="105"/>
      <c r="IX16" s="105"/>
      <c r="IY16" s="105"/>
      <c r="IZ16" s="98">
        <f t="shared" si="107"/>
        <v>0</v>
      </c>
      <c r="JA16" s="105"/>
      <c r="JB16" s="98">
        <f t="shared" si="108"/>
        <v>0</v>
      </c>
      <c r="JC16" s="98" t="str">
        <f t="shared" si="109"/>
        <v/>
      </c>
      <c r="JD16" s="98" t="str">
        <f t="shared" si="110"/>
        <v/>
      </c>
      <c r="JE16" s="98" t="str">
        <f t="shared" si="111"/>
        <v/>
      </c>
      <c r="JF16">
        <v>14</v>
      </c>
      <c r="JG16" s="77" t="str">
        <f t="shared" si="112"/>
        <v>STEPHEN HARUNA MALGWI</v>
      </c>
      <c r="JH16" s="114"/>
      <c r="JI16" s="114"/>
      <c r="JJ16" s="114"/>
      <c r="JK16" s="114"/>
      <c r="JL16" s="82">
        <f t="shared" si="113"/>
        <v>0</v>
      </c>
      <c r="JM16" s="114"/>
      <c r="JN16" s="82">
        <f t="shared" si="114"/>
        <v>0</v>
      </c>
      <c r="JO16" s="82" t="str">
        <f t="shared" si="115"/>
        <v/>
      </c>
      <c r="JP16" s="82" t="str">
        <f t="shared" si="116"/>
        <v/>
      </c>
      <c r="JQ16" s="82" t="str">
        <f t="shared" si="117"/>
        <v/>
      </c>
      <c r="JR16">
        <v>14</v>
      </c>
      <c r="JS16" s="77" t="str">
        <f t="shared" si="118"/>
        <v>STEPHEN HARUNA MALGWI</v>
      </c>
      <c r="JT16" s="107"/>
      <c r="JU16" s="107"/>
      <c r="JV16" s="107"/>
      <c r="JW16" s="107"/>
      <c r="JX16" s="80">
        <f t="shared" si="119"/>
        <v>0</v>
      </c>
      <c r="JY16" s="108"/>
      <c r="JZ16" s="80">
        <f t="shared" si="0"/>
        <v>0</v>
      </c>
      <c r="KA16" s="80" t="str">
        <f t="shared" si="120"/>
        <v/>
      </c>
      <c r="KB16" s="80" t="str">
        <f t="shared" si="121"/>
        <v/>
      </c>
      <c r="KC16" s="80" t="str">
        <f t="shared" si="122"/>
        <v/>
      </c>
      <c r="KE16" s="16"/>
      <c r="KF16" s="16"/>
      <c r="KG16" s="16"/>
      <c r="KH16" s="16"/>
      <c r="KI16" s="16"/>
      <c r="KJ16" s="16"/>
      <c r="KK16" s="16"/>
      <c r="KL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</row>
    <row r="17" spans="1:309" ht="23.25">
      <c r="A17" s="17">
        <v>15</v>
      </c>
      <c r="B17" s="186">
        <v>15</v>
      </c>
      <c r="C17" s="77" t="str">
        <f>Data!B16</f>
        <v xml:space="preserve">SUNDAY SUCCESS </v>
      </c>
      <c r="D17" s="87">
        <v>2</v>
      </c>
      <c r="E17" s="87">
        <v>2</v>
      </c>
      <c r="F17" s="87">
        <v>9</v>
      </c>
      <c r="G17" s="87">
        <v>10</v>
      </c>
      <c r="H17" s="88">
        <f t="shared" si="1"/>
        <v>23</v>
      </c>
      <c r="I17" s="87">
        <v>31</v>
      </c>
      <c r="J17" s="88">
        <f t="shared" si="2"/>
        <v>54</v>
      </c>
      <c r="K17" s="79">
        <f t="shared" si="3"/>
        <v>29</v>
      </c>
      <c r="L17" s="79" t="str">
        <f t="shared" si="4"/>
        <v>C6</v>
      </c>
      <c r="M17" s="79" t="str">
        <f t="shared" si="5"/>
        <v>Credit</v>
      </c>
      <c r="N17" s="17">
        <v>15</v>
      </c>
      <c r="O17" s="77" t="str">
        <f>Data!B16</f>
        <v xml:space="preserve">SUNDAY SUCCESS </v>
      </c>
      <c r="P17" s="78"/>
      <c r="Q17" s="78"/>
      <c r="R17" s="78"/>
      <c r="S17" s="78"/>
      <c r="T17" s="80">
        <f t="shared" si="6"/>
        <v>0</v>
      </c>
      <c r="U17" s="80"/>
      <c r="V17" s="80">
        <f t="shared" si="7"/>
        <v>0</v>
      </c>
      <c r="W17" s="80" t="str">
        <f t="shared" si="8"/>
        <v/>
      </c>
      <c r="X17" s="80" t="str">
        <f t="shared" si="9"/>
        <v/>
      </c>
      <c r="Y17" s="80" t="str">
        <f t="shared" si="10"/>
        <v/>
      </c>
      <c r="Z17" s="11">
        <v>15</v>
      </c>
      <c r="AA17" s="77" t="str">
        <f>Data!B16</f>
        <v xml:space="preserve">SUNDAY SUCCESS </v>
      </c>
      <c r="AB17" s="87">
        <v>2</v>
      </c>
      <c r="AC17" s="87">
        <v>2</v>
      </c>
      <c r="AD17" s="87">
        <v>9</v>
      </c>
      <c r="AE17" s="87">
        <v>10</v>
      </c>
      <c r="AF17" s="88">
        <f t="shared" si="11"/>
        <v>23</v>
      </c>
      <c r="AG17" s="87">
        <v>31</v>
      </c>
      <c r="AH17" s="88">
        <f t="shared" si="12"/>
        <v>54</v>
      </c>
      <c r="AI17" s="82">
        <f t="shared" si="13"/>
        <v>29</v>
      </c>
      <c r="AJ17" s="82" t="str">
        <f t="shared" si="14"/>
        <v>C6</v>
      </c>
      <c r="AK17" s="82" t="str">
        <f t="shared" si="15"/>
        <v>Credit</v>
      </c>
      <c r="AL17" s="11">
        <v>15</v>
      </c>
      <c r="AM17" s="77" t="str">
        <f>Data!B16</f>
        <v xml:space="preserve">SUNDAY SUCCESS </v>
      </c>
      <c r="AN17" s="87">
        <v>2</v>
      </c>
      <c r="AO17" s="87">
        <v>2</v>
      </c>
      <c r="AP17" s="87">
        <v>9</v>
      </c>
      <c r="AQ17" s="87">
        <v>10</v>
      </c>
      <c r="AR17" s="88">
        <f t="shared" si="16"/>
        <v>23</v>
      </c>
      <c r="AS17" s="87">
        <v>31</v>
      </c>
      <c r="AT17" s="88">
        <f t="shared" si="17"/>
        <v>54</v>
      </c>
      <c r="AU17" s="83">
        <f t="shared" si="18"/>
        <v>29</v>
      </c>
      <c r="AV17" s="83" t="str">
        <f t="shared" si="19"/>
        <v>C6</v>
      </c>
      <c r="AW17" s="83" t="str">
        <f t="shared" si="20"/>
        <v>Credit</v>
      </c>
      <c r="AX17" s="11">
        <v>15</v>
      </c>
      <c r="AY17" s="77" t="str">
        <f>Data!B16</f>
        <v xml:space="preserve">SUNDAY SUCCESS </v>
      </c>
      <c r="AZ17" s="87">
        <v>2</v>
      </c>
      <c r="BA17" s="87">
        <v>2</v>
      </c>
      <c r="BB17" s="87">
        <v>9</v>
      </c>
      <c r="BC17" s="87">
        <v>10</v>
      </c>
      <c r="BD17" s="88">
        <f t="shared" si="21"/>
        <v>23</v>
      </c>
      <c r="BE17" s="87">
        <v>31</v>
      </c>
      <c r="BF17" s="88">
        <f t="shared" si="22"/>
        <v>54</v>
      </c>
      <c r="BG17" s="85">
        <f t="shared" si="23"/>
        <v>29</v>
      </c>
      <c r="BH17" s="85" t="str">
        <f t="shared" si="24"/>
        <v>C6</v>
      </c>
      <c r="BI17" s="85" t="str">
        <f t="shared" si="25"/>
        <v>Credit</v>
      </c>
      <c r="BJ17" s="36">
        <v>15</v>
      </c>
      <c r="BK17" s="77" t="str">
        <f>Data!B16</f>
        <v xml:space="preserve">SUNDAY SUCCESS </v>
      </c>
      <c r="BL17" s="87">
        <v>2</v>
      </c>
      <c r="BM17" s="87">
        <v>2</v>
      </c>
      <c r="BN17" s="87">
        <v>9</v>
      </c>
      <c r="BO17" s="87">
        <v>10</v>
      </c>
      <c r="BP17" s="88">
        <f t="shared" si="26"/>
        <v>23</v>
      </c>
      <c r="BQ17" s="87">
        <v>31</v>
      </c>
      <c r="BR17" s="88">
        <f t="shared" si="27"/>
        <v>54</v>
      </c>
      <c r="BS17" s="86">
        <f t="shared" si="28"/>
        <v>29</v>
      </c>
      <c r="BT17" s="86" t="str">
        <f t="shared" si="29"/>
        <v>C6</v>
      </c>
      <c r="BU17" s="86" t="str">
        <f t="shared" si="30"/>
        <v>Credit</v>
      </c>
      <c r="BV17">
        <v>15</v>
      </c>
      <c r="BW17" s="77" t="str">
        <f>Data!B16</f>
        <v xml:space="preserve">SUNDAY SUCCESS </v>
      </c>
      <c r="BX17" s="87">
        <v>2</v>
      </c>
      <c r="BY17" s="87">
        <v>2</v>
      </c>
      <c r="BZ17" s="87">
        <v>9</v>
      </c>
      <c r="CA17" s="87">
        <v>10</v>
      </c>
      <c r="CB17" s="88">
        <f t="shared" si="31"/>
        <v>23</v>
      </c>
      <c r="CC17" s="87">
        <v>31</v>
      </c>
      <c r="CD17" s="88">
        <f t="shared" si="32"/>
        <v>54</v>
      </c>
      <c r="CE17" s="88">
        <f t="shared" si="33"/>
        <v>29</v>
      </c>
      <c r="CF17" s="88" t="str">
        <f t="shared" si="34"/>
        <v>C6</v>
      </c>
      <c r="CG17" s="88" t="str">
        <f t="shared" si="35"/>
        <v>Credit</v>
      </c>
      <c r="CH17">
        <v>15</v>
      </c>
      <c r="CI17" s="77" t="str">
        <f>Data!B16</f>
        <v xml:space="preserve">SUNDAY SUCCESS </v>
      </c>
      <c r="CJ17" s="78"/>
      <c r="CK17" s="78"/>
      <c r="CL17" s="78"/>
      <c r="CM17" s="78"/>
      <c r="CN17" s="89">
        <f t="shared" si="36"/>
        <v>0</v>
      </c>
      <c r="CO17" s="89"/>
      <c r="CP17" s="89">
        <f t="shared" si="37"/>
        <v>0</v>
      </c>
      <c r="CQ17" s="89" t="str">
        <f t="shared" si="38"/>
        <v/>
      </c>
      <c r="CR17" s="89" t="str">
        <f t="shared" si="39"/>
        <v/>
      </c>
      <c r="CS17" s="89" t="str">
        <f t="shared" si="40"/>
        <v/>
      </c>
      <c r="CT17">
        <v>15</v>
      </c>
      <c r="CU17" s="77" t="str">
        <f>Data!B16</f>
        <v xml:space="preserve">SUNDAY SUCCESS </v>
      </c>
      <c r="CV17" s="12"/>
      <c r="CW17" s="12"/>
      <c r="CX17" s="12"/>
      <c r="CY17" s="12"/>
      <c r="CZ17" s="90">
        <f t="shared" si="41"/>
        <v>0</v>
      </c>
      <c r="DA17" s="12"/>
      <c r="DB17" s="90">
        <f t="shared" si="42"/>
        <v>0</v>
      </c>
      <c r="DC17" s="90" t="str">
        <f t="shared" si="43"/>
        <v/>
      </c>
      <c r="DD17" s="90" t="str">
        <f t="shared" si="44"/>
        <v/>
      </c>
      <c r="DE17" s="90" t="str">
        <f t="shared" si="45"/>
        <v/>
      </c>
      <c r="DF17">
        <v>15</v>
      </c>
      <c r="DG17" s="77" t="str">
        <f>Data!B16</f>
        <v xml:space="preserve">SUNDAY SUCCESS </v>
      </c>
      <c r="DH17" s="78"/>
      <c r="DI17" s="78"/>
      <c r="DJ17" s="78"/>
      <c r="DK17" s="78"/>
      <c r="DL17" s="85">
        <f t="shared" si="46"/>
        <v>0</v>
      </c>
      <c r="DM17" s="84"/>
      <c r="DN17" s="85">
        <f t="shared" si="47"/>
        <v>0</v>
      </c>
      <c r="DO17" s="85" t="str">
        <f t="shared" si="48"/>
        <v/>
      </c>
      <c r="DP17" s="85" t="str">
        <f t="shared" si="49"/>
        <v/>
      </c>
      <c r="DQ17" s="85" t="str">
        <f t="shared" si="50"/>
        <v/>
      </c>
      <c r="DR17">
        <v>15</v>
      </c>
      <c r="DS17" s="77" t="str">
        <f>Data!B16</f>
        <v xml:space="preserve">SUNDAY SUCCESS </v>
      </c>
      <c r="DT17" s="91"/>
      <c r="DU17" s="91"/>
      <c r="DV17" s="91"/>
      <c r="DW17" s="91"/>
      <c r="DX17" s="92">
        <f t="shared" si="51"/>
        <v>0</v>
      </c>
      <c r="DY17" s="93"/>
      <c r="DZ17" s="92">
        <f t="shared" si="52"/>
        <v>0</v>
      </c>
      <c r="EA17" s="92" t="str">
        <f t="shared" si="53"/>
        <v/>
      </c>
      <c r="EB17" s="92" t="str">
        <f t="shared" si="54"/>
        <v/>
      </c>
      <c r="EC17" s="92" t="str">
        <f t="shared" si="55"/>
        <v/>
      </c>
      <c r="ED17">
        <v>15</v>
      </c>
      <c r="EE17" s="77" t="str">
        <f>Data!B16</f>
        <v xml:space="preserve">SUNDAY SUCCESS </v>
      </c>
      <c r="EF17" s="78"/>
      <c r="EG17" s="78"/>
      <c r="EH17" s="78"/>
      <c r="EI17" s="78"/>
      <c r="EJ17" s="94">
        <f t="shared" si="56"/>
        <v>0</v>
      </c>
      <c r="EK17" s="94"/>
      <c r="EL17" s="94">
        <f t="shared" si="57"/>
        <v>0</v>
      </c>
      <c r="EM17" s="94" t="str">
        <f t="shared" si="58"/>
        <v/>
      </c>
      <c r="EN17" s="94" t="str">
        <f t="shared" si="59"/>
        <v/>
      </c>
      <c r="EO17" s="94" t="str">
        <f t="shared" si="60"/>
        <v/>
      </c>
      <c r="EP17">
        <v>15</v>
      </c>
      <c r="EQ17" s="95" t="str">
        <f>Data!B16</f>
        <v xml:space="preserve">SUNDAY SUCCESS </v>
      </c>
      <c r="ER17" s="78"/>
      <c r="ES17" s="78"/>
      <c r="ET17" s="78"/>
      <c r="EU17" s="78"/>
      <c r="EV17" s="90">
        <f t="shared" si="61"/>
        <v>0</v>
      </c>
      <c r="EW17" s="90"/>
      <c r="EX17" s="90">
        <f t="shared" si="62"/>
        <v>0</v>
      </c>
      <c r="EY17" s="90" t="str">
        <f t="shared" si="63"/>
        <v/>
      </c>
      <c r="EZ17" s="90" t="str">
        <f t="shared" si="64"/>
        <v/>
      </c>
      <c r="FA17" s="90" t="str">
        <f t="shared" si="65"/>
        <v/>
      </c>
      <c r="FB17">
        <v>15</v>
      </c>
      <c r="FC17" s="77" t="str">
        <f>Data!B16</f>
        <v xml:space="preserve">SUNDAY SUCCESS </v>
      </c>
      <c r="FD17" s="78"/>
      <c r="FE17" s="78"/>
      <c r="FF17" s="78"/>
      <c r="FG17" s="78"/>
      <c r="FH17" s="96">
        <f t="shared" si="66"/>
        <v>0</v>
      </c>
      <c r="FI17" s="96"/>
      <c r="FJ17" s="96">
        <f t="shared" si="67"/>
        <v>0</v>
      </c>
      <c r="FK17" s="96" t="str">
        <f t="shared" si="68"/>
        <v/>
      </c>
      <c r="FL17" s="96" t="str">
        <f t="shared" si="69"/>
        <v/>
      </c>
      <c r="FM17" s="96" t="str">
        <f t="shared" si="70"/>
        <v/>
      </c>
      <c r="FN17">
        <v>15</v>
      </c>
      <c r="FO17" s="77" t="str">
        <f>Data!B16</f>
        <v xml:space="preserve">SUNDAY SUCCESS </v>
      </c>
      <c r="FP17" s="78"/>
      <c r="FQ17" s="78"/>
      <c r="FR17" s="78"/>
      <c r="FS17" s="78"/>
      <c r="FT17" s="97">
        <f t="shared" si="71"/>
        <v>0</v>
      </c>
      <c r="FU17" s="97"/>
      <c r="FV17" s="97">
        <f t="shared" si="72"/>
        <v>0</v>
      </c>
      <c r="FW17" s="97" t="str">
        <f t="shared" si="73"/>
        <v/>
      </c>
      <c r="FX17" s="97" t="str">
        <f t="shared" si="74"/>
        <v/>
      </c>
      <c r="FY17" s="97" t="str">
        <f t="shared" si="75"/>
        <v/>
      </c>
      <c r="FZ17">
        <v>15</v>
      </c>
      <c r="GA17" s="77" t="str">
        <f>Data!B16</f>
        <v xml:space="preserve">SUNDAY SUCCESS </v>
      </c>
      <c r="GB17" s="78"/>
      <c r="GC17" s="78"/>
      <c r="GD17" s="78"/>
      <c r="GE17" s="78"/>
      <c r="GF17" s="98">
        <f t="shared" si="76"/>
        <v>0</v>
      </c>
      <c r="GG17" s="98"/>
      <c r="GH17" s="98">
        <f t="shared" si="77"/>
        <v>0</v>
      </c>
      <c r="GI17" s="98" t="str">
        <f t="shared" si="78"/>
        <v/>
      </c>
      <c r="GJ17" s="98" t="str">
        <f t="shared" si="79"/>
        <v/>
      </c>
      <c r="GK17" s="98" t="str">
        <f t="shared" si="80"/>
        <v/>
      </c>
      <c r="GL17">
        <v>15</v>
      </c>
      <c r="GM17" s="77" t="str">
        <f>Data!B16</f>
        <v xml:space="preserve">SUNDAY SUCCESS </v>
      </c>
      <c r="GN17" s="99"/>
      <c r="GO17" s="99"/>
      <c r="GP17" s="99"/>
      <c r="GQ17" s="99"/>
      <c r="GR17" s="100">
        <f t="shared" si="81"/>
        <v>0</v>
      </c>
      <c r="GS17" s="99"/>
      <c r="GT17" s="100">
        <f t="shared" si="82"/>
        <v>0</v>
      </c>
      <c r="GU17" s="100" t="str">
        <f t="shared" si="83"/>
        <v/>
      </c>
      <c r="GV17" s="100" t="str">
        <f t="shared" si="84"/>
        <v/>
      </c>
      <c r="GW17" s="100" t="str">
        <f t="shared" si="85"/>
        <v/>
      </c>
      <c r="GX17">
        <v>15</v>
      </c>
      <c r="GY17" s="77" t="str">
        <f>Data!B16</f>
        <v xml:space="preserve">SUNDAY SUCCESS </v>
      </c>
      <c r="GZ17" s="78"/>
      <c r="HA17" s="78"/>
      <c r="HB17" s="78"/>
      <c r="HC17" s="78"/>
      <c r="HD17" s="86">
        <f t="shared" si="86"/>
        <v>0</v>
      </c>
      <c r="HE17" s="86"/>
      <c r="HF17" s="86">
        <f t="shared" si="87"/>
        <v>0</v>
      </c>
      <c r="HG17" s="86" t="str">
        <f t="shared" si="88"/>
        <v/>
      </c>
      <c r="HH17" s="86" t="str">
        <f t="shared" si="89"/>
        <v/>
      </c>
      <c r="HI17" s="86" t="str">
        <f t="shared" si="90"/>
        <v/>
      </c>
      <c r="HJ17">
        <v>15</v>
      </c>
      <c r="HK17" s="77" t="str">
        <f>Data!B16</f>
        <v xml:space="preserve">SUNDAY SUCCESS </v>
      </c>
      <c r="HL17" s="111"/>
      <c r="HM17" s="112"/>
      <c r="HN17" s="112"/>
      <c r="HO17" s="112"/>
      <c r="HP17" s="103">
        <f t="shared" si="91"/>
        <v>0</v>
      </c>
      <c r="HQ17" s="111"/>
      <c r="HR17" s="103">
        <f t="shared" si="92"/>
        <v>0</v>
      </c>
      <c r="HS17" s="103" t="str">
        <f t="shared" si="93"/>
        <v/>
      </c>
      <c r="HT17" s="103" t="str">
        <f t="shared" si="94"/>
        <v/>
      </c>
      <c r="HU17" s="103" t="str">
        <f t="shared" si="95"/>
        <v/>
      </c>
      <c r="HV17">
        <v>15</v>
      </c>
      <c r="HW17" s="77" t="str">
        <f>Data!B16</f>
        <v xml:space="preserve">SUNDAY SUCCESS </v>
      </c>
      <c r="HX17" s="78"/>
      <c r="HY17" s="78"/>
      <c r="HZ17" s="78"/>
      <c r="IA17" s="78"/>
      <c r="IB17" s="85">
        <f t="shared" si="96"/>
        <v>0</v>
      </c>
      <c r="IC17" s="85"/>
      <c r="ID17" s="85">
        <f t="shared" si="97"/>
        <v>0</v>
      </c>
      <c r="IE17" s="85" t="str">
        <f t="shared" si="98"/>
        <v/>
      </c>
      <c r="IF17" s="85" t="str">
        <f t="shared" si="99"/>
        <v/>
      </c>
      <c r="IG17" s="85" t="str">
        <f t="shared" si="100"/>
        <v/>
      </c>
      <c r="IH17">
        <v>15</v>
      </c>
      <c r="II17" s="77" t="str">
        <f>Data!B16</f>
        <v xml:space="preserve">SUNDAY SUCCESS </v>
      </c>
      <c r="IJ17" s="78"/>
      <c r="IK17" s="78"/>
      <c r="IL17" s="78"/>
      <c r="IM17" s="78"/>
      <c r="IN17" s="104">
        <f t="shared" si="101"/>
        <v>0</v>
      </c>
      <c r="IO17" s="104"/>
      <c r="IP17" s="104">
        <f t="shared" si="102"/>
        <v>0</v>
      </c>
      <c r="IQ17" s="104" t="str">
        <f t="shared" si="103"/>
        <v/>
      </c>
      <c r="IR17" s="104" t="str">
        <f t="shared" si="104"/>
        <v/>
      </c>
      <c r="IS17" s="104" t="str">
        <f t="shared" si="105"/>
        <v/>
      </c>
      <c r="IT17">
        <v>15</v>
      </c>
      <c r="IU17" s="77" t="str">
        <f t="shared" si="106"/>
        <v xml:space="preserve">SUNDAY SUCCESS </v>
      </c>
      <c r="IV17" s="105"/>
      <c r="IW17" s="105"/>
      <c r="IX17" s="105"/>
      <c r="IY17" s="105"/>
      <c r="IZ17" s="98">
        <f t="shared" si="107"/>
        <v>0</v>
      </c>
      <c r="JA17" s="105"/>
      <c r="JB17" s="98">
        <f t="shared" si="108"/>
        <v>0</v>
      </c>
      <c r="JC17" s="98" t="str">
        <f t="shared" si="109"/>
        <v/>
      </c>
      <c r="JD17" s="98" t="str">
        <f t="shared" si="110"/>
        <v/>
      </c>
      <c r="JE17" s="98" t="str">
        <f t="shared" si="111"/>
        <v/>
      </c>
      <c r="JF17">
        <v>15</v>
      </c>
      <c r="JG17" s="77" t="str">
        <f t="shared" si="112"/>
        <v xml:space="preserve">SUNDAY SUCCESS </v>
      </c>
      <c r="JH17" s="114"/>
      <c r="JI17" s="114"/>
      <c r="JJ17" s="114"/>
      <c r="JK17" s="114"/>
      <c r="JL17" s="82">
        <f t="shared" si="113"/>
        <v>0</v>
      </c>
      <c r="JM17" s="114"/>
      <c r="JN17" s="82">
        <f t="shared" si="114"/>
        <v>0</v>
      </c>
      <c r="JO17" s="82" t="str">
        <f t="shared" si="115"/>
        <v/>
      </c>
      <c r="JP17" s="82" t="str">
        <f t="shared" si="116"/>
        <v/>
      </c>
      <c r="JQ17" s="82" t="str">
        <f t="shared" si="117"/>
        <v/>
      </c>
      <c r="JR17">
        <v>15</v>
      </c>
      <c r="JS17" s="77" t="str">
        <f t="shared" si="118"/>
        <v xml:space="preserve">SUNDAY SUCCESS </v>
      </c>
      <c r="JT17" s="107"/>
      <c r="JU17" s="107"/>
      <c r="JV17" s="107"/>
      <c r="JW17" s="107"/>
      <c r="JX17" s="80">
        <f t="shared" si="119"/>
        <v>0</v>
      </c>
      <c r="JY17" s="108"/>
      <c r="JZ17" s="80">
        <f t="shared" si="0"/>
        <v>0</v>
      </c>
      <c r="KA17" s="80" t="str">
        <f t="shared" si="120"/>
        <v/>
      </c>
      <c r="KB17" s="80" t="str">
        <f t="shared" si="121"/>
        <v/>
      </c>
      <c r="KC17" s="80" t="str">
        <f t="shared" si="122"/>
        <v/>
      </c>
      <c r="KE17" s="16"/>
      <c r="KF17" s="16"/>
      <c r="KG17" s="16"/>
      <c r="KH17" s="16"/>
      <c r="KI17" s="16"/>
      <c r="KJ17" s="16"/>
      <c r="KK17" s="16"/>
      <c r="KL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</row>
    <row r="18" spans="1:309" ht="23.25">
      <c r="A18" s="17">
        <v>16</v>
      </c>
      <c r="B18" s="186">
        <v>16</v>
      </c>
      <c r="C18" s="77" t="str">
        <f>Data!B17</f>
        <v>USMAN UGULDE IBRAHIM</v>
      </c>
      <c r="D18" s="87">
        <v>4</v>
      </c>
      <c r="E18" s="87">
        <v>5</v>
      </c>
      <c r="F18" s="87">
        <v>8</v>
      </c>
      <c r="G18" s="87">
        <v>10</v>
      </c>
      <c r="H18" s="88">
        <f t="shared" si="1"/>
        <v>27</v>
      </c>
      <c r="I18" s="87">
        <v>37</v>
      </c>
      <c r="J18" s="88">
        <f t="shared" si="2"/>
        <v>64</v>
      </c>
      <c r="K18" s="79">
        <f t="shared" si="3"/>
        <v>13</v>
      </c>
      <c r="L18" s="79" t="str">
        <f t="shared" si="4"/>
        <v>C4</v>
      </c>
      <c r="M18" s="79" t="str">
        <f t="shared" si="5"/>
        <v>Credit</v>
      </c>
      <c r="N18" s="17">
        <v>16</v>
      </c>
      <c r="O18" s="77" t="str">
        <f>Data!B17</f>
        <v>USMAN UGULDE IBRAHIM</v>
      </c>
      <c r="P18" s="78"/>
      <c r="Q18" s="78"/>
      <c r="R18" s="78"/>
      <c r="S18" s="78"/>
      <c r="T18" s="80">
        <f t="shared" si="6"/>
        <v>0</v>
      </c>
      <c r="U18" s="80"/>
      <c r="V18" s="80">
        <f t="shared" si="7"/>
        <v>0</v>
      </c>
      <c r="W18" s="80" t="str">
        <f t="shared" si="8"/>
        <v/>
      </c>
      <c r="X18" s="80" t="str">
        <f t="shared" si="9"/>
        <v/>
      </c>
      <c r="Y18" s="80" t="str">
        <f t="shared" si="10"/>
        <v/>
      </c>
      <c r="Z18" s="11">
        <v>16</v>
      </c>
      <c r="AA18" s="77" t="str">
        <f>Data!B17</f>
        <v>USMAN UGULDE IBRAHIM</v>
      </c>
      <c r="AB18" s="87">
        <v>4</v>
      </c>
      <c r="AC18" s="87">
        <v>5</v>
      </c>
      <c r="AD18" s="87">
        <v>8</v>
      </c>
      <c r="AE18" s="87">
        <v>10</v>
      </c>
      <c r="AF18" s="88">
        <f t="shared" si="11"/>
        <v>27</v>
      </c>
      <c r="AG18" s="87">
        <v>37</v>
      </c>
      <c r="AH18" s="88">
        <f t="shared" si="12"/>
        <v>64</v>
      </c>
      <c r="AI18" s="82">
        <f t="shared" si="13"/>
        <v>13</v>
      </c>
      <c r="AJ18" s="82" t="str">
        <f t="shared" si="14"/>
        <v>C4</v>
      </c>
      <c r="AK18" s="82" t="str">
        <f t="shared" si="15"/>
        <v>Credit</v>
      </c>
      <c r="AL18" s="11">
        <v>16</v>
      </c>
      <c r="AM18" s="77" t="str">
        <f>Data!B17</f>
        <v>USMAN UGULDE IBRAHIM</v>
      </c>
      <c r="AN18" s="87">
        <v>4</v>
      </c>
      <c r="AO18" s="87">
        <v>5</v>
      </c>
      <c r="AP18" s="87">
        <v>8</v>
      </c>
      <c r="AQ18" s="87">
        <v>10</v>
      </c>
      <c r="AR18" s="88">
        <f t="shared" si="16"/>
        <v>27</v>
      </c>
      <c r="AS18" s="87">
        <v>37</v>
      </c>
      <c r="AT18" s="88">
        <f t="shared" si="17"/>
        <v>64</v>
      </c>
      <c r="AU18" s="83">
        <f t="shared" si="18"/>
        <v>13</v>
      </c>
      <c r="AV18" s="83" t="str">
        <f t="shared" si="19"/>
        <v>C4</v>
      </c>
      <c r="AW18" s="83" t="str">
        <f t="shared" si="20"/>
        <v>Credit</v>
      </c>
      <c r="AX18" s="11">
        <v>16</v>
      </c>
      <c r="AY18" s="77" t="str">
        <f>Data!B17</f>
        <v>USMAN UGULDE IBRAHIM</v>
      </c>
      <c r="AZ18" s="87">
        <v>4</v>
      </c>
      <c r="BA18" s="87">
        <v>5</v>
      </c>
      <c r="BB18" s="87">
        <v>8</v>
      </c>
      <c r="BC18" s="87">
        <v>10</v>
      </c>
      <c r="BD18" s="88">
        <f t="shared" si="21"/>
        <v>27</v>
      </c>
      <c r="BE18" s="87">
        <v>37</v>
      </c>
      <c r="BF18" s="88">
        <f t="shared" si="22"/>
        <v>64</v>
      </c>
      <c r="BG18" s="85">
        <f t="shared" si="23"/>
        <v>13</v>
      </c>
      <c r="BH18" s="85" t="str">
        <f t="shared" si="24"/>
        <v>C4</v>
      </c>
      <c r="BI18" s="85" t="str">
        <f t="shared" si="25"/>
        <v>Credit</v>
      </c>
      <c r="BJ18" s="36">
        <v>16</v>
      </c>
      <c r="BK18" s="77" t="str">
        <f>Data!B17</f>
        <v>USMAN UGULDE IBRAHIM</v>
      </c>
      <c r="BL18" s="87">
        <v>4</v>
      </c>
      <c r="BM18" s="87">
        <v>5</v>
      </c>
      <c r="BN18" s="87">
        <v>8</v>
      </c>
      <c r="BO18" s="87">
        <v>10</v>
      </c>
      <c r="BP18" s="88">
        <f t="shared" si="26"/>
        <v>27</v>
      </c>
      <c r="BQ18" s="87">
        <v>37</v>
      </c>
      <c r="BR18" s="88">
        <f t="shared" si="27"/>
        <v>64</v>
      </c>
      <c r="BS18" s="86">
        <f t="shared" si="28"/>
        <v>13</v>
      </c>
      <c r="BT18" s="86" t="str">
        <f t="shared" si="29"/>
        <v>C4</v>
      </c>
      <c r="BU18" s="86" t="str">
        <f t="shared" si="30"/>
        <v>Credit</v>
      </c>
      <c r="BV18">
        <v>16</v>
      </c>
      <c r="BW18" s="77" t="str">
        <f>Data!B17</f>
        <v>USMAN UGULDE IBRAHIM</v>
      </c>
      <c r="BX18" s="87">
        <v>4</v>
      </c>
      <c r="BY18" s="87">
        <v>5</v>
      </c>
      <c r="BZ18" s="87">
        <v>8</v>
      </c>
      <c r="CA18" s="87">
        <v>10</v>
      </c>
      <c r="CB18" s="88">
        <f t="shared" si="31"/>
        <v>27</v>
      </c>
      <c r="CC18" s="87">
        <v>37</v>
      </c>
      <c r="CD18" s="88">
        <f t="shared" si="32"/>
        <v>64</v>
      </c>
      <c r="CE18" s="88">
        <f t="shared" si="33"/>
        <v>13</v>
      </c>
      <c r="CF18" s="88" t="str">
        <f t="shared" si="34"/>
        <v>C4</v>
      </c>
      <c r="CG18" s="88" t="str">
        <f t="shared" si="35"/>
        <v>Credit</v>
      </c>
      <c r="CH18">
        <v>16</v>
      </c>
      <c r="CI18" s="77" t="str">
        <f>Data!B17</f>
        <v>USMAN UGULDE IBRAHIM</v>
      </c>
      <c r="CJ18" s="78"/>
      <c r="CK18" s="78"/>
      <c r="CL18" s="78"/>
      <c r="CM18" s="78"/>
      <c r="CN18" s="89">
        <f t="shared" si="36"/>
        <v>0</v>
      </c>
      <c r="CO18" s="89"/>
      <c r="CP18" s="89">
        <f t="shared" si="37"/>
        <v>0</v>
      </c>
      <c r="CQ18" s="89" t="str">
        <f t="shared" si="38"/>
        <v/>
      </c>
      <c r="CR18" s="89" t="str">
        <f t="shared" si="39"/>
        <v/>
      </c>
      <c r="CS18" s="89" t="str">
        <f t="shared" si="40"/>
        <v/>
      </c>
      <c r="CT18">
        <v>16</v>
      </c>
      <c r="CU18" s="77" t="str">
        <f>Data!B17</f>
        <v>USMAN UGULDE IBRAHIM</v>
      </c>
      <c r="CV18" s="12"/>
      <c r="CW18" s="12"/>
      <c r="CX18" s="12"/>
      <c r="CY18" s="12"/>
      <c r="CZ18" s="90">
        <f t="shared" si="41"/>
        <v>0</v>
      </c>
      <c r="DA18" s="12"/>
      <c r="DB18" s="90">
        <f t="shared" si="42"/>
        <v>0</v>
      </c>
      <c r="DC18" s="90" t="str">
        <f t="shared" si="43"/>
        <v/>
      </c>
      <c r="DD18" s="90" t="str">
        <f t="shared" si="44"/>
        <v/>
      </c>
      <c r="DE18" s="90" t="str">
        <f t="shared" si="45"/>
        <v/>
      </c>
      <c r="DF18">
        <v>16</v>
      </c>
      <c r="DG18" s="77" t="str">
        <f>Data!B17</f>
        <v>USMAN UGULDE IBRAHIM</v>
      </c>
      <c r="DH18" s="78"/>
      <c r="DI18" s="78"/>
      <c r="DJ18" s="78"/>
      <c r="DK18" s="78"/>
      <c r="DL18" s="85">
        <f t="shared" si="46"/>
        <v>0</v>
      </c>
      <c r="DM18" s="84"/>
      <c r="DN18" s="85">
        <f t="shared" si="47"/>
        <v>0</v>
      </c>
      <c r="DO18" s="85" t="str">
        <f t="shared" si="48"/>
        <v/>
      </c>
      <c r="DP18" s="85" t="str">
        <f t="shared" si="49"/>
        <v/>
      </c>
      <c r="DQ18" s="85" t="str">
        <f t="shared" si="50"/>
        <v/>
      </c>
      <c r="DR18">
        <v>16</v>
      </c>
      <c r="DS18" s="77" t="str">
        <f>Data!B17</f>
        <v>USMAN UGULDE IBRAHIM</v>
      </c>
      <c r="DT18" s="91"/>
      <c r="DU18" s="91"/>
      <c r="DV18" s="91"/>
      <c r="DW18" s="91"/>
      <c r="DX18" s="92">
        <f t="shared" si="51"/>
        <v>0</v>
      </c>
      <c r="DY18" s="93"/>
      <c r="DZ18" s="92">
        <f t="shared" si="52"/>
        <v>0</v>
      </c>
      <c r="EA18" s="92" t="str">
        <f t="shared" si="53"/>
        <v/>
      </c>
      <c r="EB18" s="92" t="str">
        <f t="shared" si="54"/>
        <v/>
      </c>
      <c r="EC18" s="92" t="str">
        <f t="shared" si="55"/>
        <v/>
      </c>
      <c r="ED18">
        <v>16</v>
      </c>
      <c r="EE18" s="77" t="str">
        <f>Data!B17</f>
        <v>USMAN UGULDE IBRAHIM</v>
      </c>
      <c r="EF18" s="78"/>
      <c r="EG18" s="78"/>
      <c r="EH18" s="78"/>
      <c r="EI18" s="78"/>
      <c r="EJ18" s="94">
        <f t="shared" si="56"/>
        <v>0</v>
      </c>
      <c r="EK18" s="94"/>
      <c r="EL18" s="94">
        <f t="shared" si="57"/>
        <v>0</v>
      </c>
      <c r="EM18" s="94" t="str">
        <f t="shared" si="58"/>
        <v/>
      </c>
      <c r="EN18" s="94" t="str">
        <f t="shared" si="59"/>
        <v/>
      </c>
      <c r="EO18" s="94" t="str">
        <f t="shared" si="60"/>
        <v/>
      </c>
      <c r="EP18">
        <v>16</v>
      </c>
      <c r="EQ18" s="95" t="str">
        <f>Data!B17</f>
        <v>USMAN UGULDE IBRAHIM</v>
      </c>
      <c r="ER18" s="78"/>
      <c r="ES18" s="78"/>
      <c r="ET18" s="78"/>
      <c r="EU18" s="78"/>
      <c r="EV18" s="90">
        <f t="shared" si="61"/>
        <v>0</v>
      </c>
      <c r="EW18" s="90"/>
      <c r="EX18" s="90">
        <f t="shared" si="62"/>
        <v>0</v>
      </c>
      <c r="EY18" s="90" t="str">
        <f t="shared" si="63"/>
        <v/>
      </c>
      <c r="EZ18" s="90" t="str">
        <f t="shared" si="64"/>
        <v/>
      </c>
      <c r="FA18" s="90" t="str">
        <f t="shared" si="65"/>
        <v/>
      </c>
      <c r="FB18">
        <v>16</v>
      </c>
      <c r="FC18" s="77" t="str">
        <f>Data!B17</f>
        <v>USMAN UGULDE IBRAHIM</v>
      </c>
      <c r="FD18" s="78"/>
      <c r="FE18" s="78"/>
      <c r="FF18" s="78"/>
      <c r="FG18" s="78"/>
      <c r="FH18" s="96">
        <f t="shared" si="66"/>
        <v>0</v>
      </c>
      <c r="FI18" s="96"/>
      <c r="FJ18" s="96">
        <f t="shared" si="67"/>
        <v>0</v>
      </c>
      <c r="FK18" s="96" t="str">
        <f t="shared" si="68"/>
        <v/>
      </c>
      <c r="FL18" s="96" t="str">
        <f t="shared" si="69"/>
        <v/>
      </c>
      <c r="FM18" s="96" t="str">
        <f t="shared" si="70"/>
        <v/>
      </c>
      <c r="FN18">
        <v>16</v>
      </c>
      <c r="FO18" s="77" t="str">
        <f>Data!B17</f>
        <v>USMAN UGULDE IBRAHIM</v>
      </c>
      <c r="FP18" s="78"/>
      <c r="FQ18" s="78"/>
      <c r="FR18" s="78"/>
      <c r="FS18" s="78"/>
      <c r="FT18" s="97">
        <f t="shared" si="71"/>
        <v>0</v>
      </c>
      <c r="FU18" s="97"/>
      <c r="FV18" s="97">
        <f t="shared" si="72"/>
        <v>0</v>
      </c>
      <c r="FW18" s="97" t="str">
        <f t="shared" si="73"/>
        <v/>
      </c>
      <c r="FX18" s="97" t="str">
        <f t="shared" si="74"/>
        <v/>
      </c>
      <c r="FY18" s="97" t="str">
        <f t="shared" si="75"/>
        <v/>
      </c>
      <c r="FZ18">
        <v>16</v>
      </c>
      <c r="GA18" s="77" t="str">
        <f>Data!B17</f>
        <v>USMAN UGULDE IBRAHIM</v>
      </c>
      <c r="GB18" s="78"/>
      <c r="GC18" s="78"/>
      <c r="GD18" s="78"/>
      <c r="GE18" s="78"/>
      <c r="GF18" s="98">
        <f t="shared" si="76"/>
        <v>0</v>
      </c>
      <c r="GG18" s="98"/>
      <c r="GH18" s="98">
        <f t="shared" si="77"/>
        <v>0</v>
      </c>
      <c r="GI18" s="98" t="str">
        <f t="shared" si="78"/>
        <v/>
      </c>
      <c r="GJ18" s="98" t="str">
        <f t="shared" si="79"/>
        <v/>
      </c>
      <c r="GK18" s="98" t="str">
        <f t="shared" si="80"/>
        <v/>
      </c>
      <c r="GL18">
        <v>16</v>
      </c>
      <c r="GM18" s="77" t="str">
        <f>Data!B17</f>
        <v>USMAN UGULDE IBRAHIM</v>
      </c>
      <c r="GN18" s="99"/>
      <c r="GO18" s="99"/>
      <c r="GP18" s="99"/>
      <c r="GQ18" s="99"/>
      <c r="GR18" s="100">
        <f t="shared" si="81"/>
        <v>0</v>
      </c>
      <c r="GS18" s="99"/>
      <c r="GT18" s="100">
        <f t="shared" si="82"/>
        <v>0</v>
      </c>
      <c r="GU18" s="100" t="str">
        <f t="shared" si="83"/>
        <v/>
      </c>
      <c r="GV18" s="100" t="str">
        <f t="shared" si="84"/>
        <v/>
      </c>
      <c r="GW18" s="100" t="str">
        <f t="shared" si="85"/>
        <v/>
      </c>
      <c r="GX18">
        <v>16</v>
      </c>
      <c r="GY18" s="77" t="str">
        <f>Data!B17</f>
        <v>USMAN UGULDE IBRAHIM</v>
      </c>
      <c r="GZ18" s="78"/>
      <c r="HA18" s="78"/>
      <c r="HB18" s="78"/>
      <c r="HC18" s="78"/>
      <c r="HD18" s="86">
        <f t="shared" si="86"/>
        <v>0</v>
      </c>
      <c r="HE18" s="86"/>
      <c r="HF18" s="86">
        <f t="shared" si="87"/>
        <v>0</v>
      </c>
      <c r="HG18" s="86" t="str">
        <f t="shared" si="88"/>
        <v/>
      </c>
      <c r="HH18" s="86" t="str">
        <f t="shared" si="89"/>
        <v/>
      </c>
      <c r="HI18" s="86" t="str">
        <f t="shared" si="90"/>
        <v/>
      </c>
      <c r="HJ18">
        <v>16</v>
      </c>
      <c r="HK18" s="77" t="str">
        <f>Data!B17</f>
        <v>USMAN UGULDE IBRAHIM</v>
      </c>
      <c r="HL18" s="111"/>
      <c r="HM18" s="112"/>
      <c r="HN18" s="112"/>
      <c r="HO18" s="112"/>
      <c r="HP18" s="103">
        <f t="shared" si="91"/>
        <v>0</v>
      </c>
      <c r="HQ18" s="111"/>
      <c r="HR18" s="103">
        <f t="shared" si="92"/>
        <v>0</v>
      </c>
      <c r="HS18" s="103" t="str">
        <f t="shared" si="93"/>
        <v/>
      </c>
      <c r="HT18" s="103" t="str">
        <f t="shared" si="94"/>
        <v/>
      </c>
      <c r="HU18" s="103" t="str">
        <f t="shared" si="95"/>
        <v/>
      </c>
      <c r="HV18">
        <v>16</v>
      </c>
      <c r="HW18" s="77" t="str">
        <f>Data!B17</f>
        <v>USMAN UGULDE IBRAHIM</v>
      </c>
      <c r="HX18" s="78"/>
      <c r="HY18" s="78"/>
      <c r="HZ18" s="78"/>
      <c r="IA18" s="78"/>
      <c r="IB18" s="85">
        <f t="shared" si="96"/>
        <v>0</v>
      </c>
      <c r="IC18" s="85"/>
      <c r="ID18" s="85">
        <f t="shared" si="97"/>
        <v>0</v>
      </c>
      <c r="IE18" s="85" t="str">
        <f t="shared" si="98"/>
        <v/>
      </c>
      <c r="IF18" s="85" t="str">
        <f t="shared" si="99"/>
        <v/>
      </c>
      <c r="IG18" s="85" t="str">
        <f t="shared" si="100"/>
        <v/>
      </c>
      <c r="IH18">
        <v>16</v>
      </c>
      <c r="II18" s="77" t="str">
        <f>Data!B17</f>
        <v>USMAN UGULDE IBRAHIM</v>
      </c>
      <c r="IJ18" s="78"/>
      <c r="IK18" s="78"/>
      <c r="IL18" s="78"/>
      <c r="IM18" s="78"/>
      <c r="IN18" s="104">
        <f t="shared" si="101"/>
        <v>0</v>
      </c>
      <c r="IO18" s="104"/>
      <c r="IP18" s="104">
        <f t="shared" si="102"/>
        <v>0</v>
      </c>
      <c r="IQ18" s="104" t="str">
        <f t="shared" si="103"/>
        <v/>
      </c>
      <c r="IR18" s="104" t="str">
        <f t="shared" si="104"/>
        <v/>
      </c>
      <c r="IS18" s="104" t="str">
        <f t="shared" si="105"/>
        <v/>
      </c>
      <c r="IT18">
        <v>16</v>
      </c>
      <c r="IU18" s="77" t="str">
        <f t="shared" si="106"/>
        <v>USMAN UGULDE IBRAHIM</v>
      </c>
      <c r="IV18" s="105"/>
      <c r="IW18" s="105"/>
      <c r="IX18" s="105"/>
      <c r="IY18" s="105"/>
      <c r="IZ18" s="98">
        <f t="shared" si="107"/>
        <v>0</v>
      </c>
      <c r="JA18" s="105"/>
      <c r="JB18" s="98">
        <f t="shared" si="108"/>
        <v>0</v>
      </c>
      <c r="JC18" s="98" t="str">
        <f t="shared" si="109"/>
        <v/>
      </c>
      <c r="JD18" s="98" t="str">
        <f t="shared" si="110"/>
        <v/>
      </c>
      <c r="JE18" s="98" t="str">
        <f t="shared" si="111"/>
        <v/>
      </c>
      <c r="JF18">
        <v>16</v>
      </c>
      <c r="JG18" s="77" t="str">
        <f t="shared" si="112"/>
        <v>USMAN UGULDE IBRAHIM</v>
      </c>
      <c r="JH18" s="114"/>
      <c r="JI18" s="114"/>
      <c r="JJ18" s="114"/>
      <c r="JK18" s="114"/>
      <c r="JL18" s="82">
        <f t="shared" si="113"/>
        <v>0</v>
      </c>
      <c r="JM18" s="114"/>
      <c r="JN18" s="82">
        <f t="shared" si="114"/>
        <v>0</v>
      </c>
      <c r="JO18" s="82" t="str">
        <f t="shared" si="115"/>
        <v/>
      </c>
      <c r="JP18" s="82" t="str">
        <f t="shared" si="116"/>
        <v/>
      </c>
      <c r="JQ18" s="82" t="str">
        <f t="shared" si="117"/>
        <v/>
      </c>
      <c r="JR18">
        <v>16</v>
      </c>
      <c r="JS18" s="77" t="str">
        <f t="shared" si="118"/>
        <v>USMAN UGULDE IBRAHIM</v>
      </c>
      <c r="JT18" s="107"/>
      <c r="JU18" s="107"/>
      <c r="JV18" s="107"/>
      <c r="JW18" s="107"/>
      <c r="JX18" s="80">
        <f t="shared" si="119"/>
        <v>0</v>
      </c>
      <c r="JY18" s="108"/>
      <c r="JZ18" s="80">
        <f t="shared" si="0"/>
        <v>0</v>
      </c>
      <c r="KA18" s="80" t="str">
        <f t="shared" si="120"/>
        <v/>
      </c>
      <c r="KB18" s="80" t="str">
        <f t="shared" si="121"/>
        <v/>
      </c>
      <c r="KC18" s="80" t="str">
        <f t="shared" si="122"/>
        <v/>
      </c>
      <c r="KE18" s="16"/>
      <c r="KF18" s="16"/>
      <c r="KG18" s="16"/>
      <c r="KH18" s="16"/>
      <c r="KI18" s="16"/>
      <c r="KJ18" s="16"/>
      <c r="KK18" s="16"/>
      <c r="KL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</row>
    <row r="19" spans="1:309" ht="23.25">
      <c r="A19" s="17">
        <v>17</v>
      </c>
      <c r="B19" s="186">
        <v>17</v>
      </c>
      <c r="C19" s="77" t="str">
        <f>Data!B18</f>
        <v xml:space="preserve">USMAN YAHAYA ABUBAKAR </v>
      </c>
      <c r="D19" s="87">
        <v>6</v>
      </c>
      <c r="E19" s="87">
        <v>5</v>
      </c>
      <c r="F19" s="87">
        <v>8</v>
      </c>
      <c r="G19" s="87">
        <v>9</v>
      </c>
      <c r="H19" s="88">
        <f t="shared" si="1"/>
        <v>28</v>
      </c>
      <c r="I19" s="87">
        <v>25</v>
      </c>
      <c r="J19" s="88">
        <f t="shared" si="2"/>
        <v>53</v>
      </c>
      <c r="K19" s="79">
        <f t="shared" si="3"/>
        <v>31</v>
      </c>
      <c r="L19" s="79" t="str">
        <f t="shared" si="4"/>
        <v>C6</v>
      </c>
      <c r="M19" s="79" t="str">
        <f t="shared" si="5"/>
        <v>Credit</v>
      </c>
      <c r="N19" s="17">
        <v>17</v>
      </c>
      <c r="O19" s="77" t="str">
        <f>Data!B18</f>
        <v xml:space="preserve">USMAN YAHAYA ABUBAKAR </v>
      </c>
      <c r="P19" s="78"/>
      <c r="Q19" s="78"/>
      <c r="R19" s="78"/>
      <c r="S19" s="78"/>
      <c r="T19" s="80">
        <f t="shared" si="6"/>
        <v>0</v>
      </c>
      <c r="U19" s="80"/>
      <c r="V19" s="80">
        <f t="shared" si="7"/>
        <v>0</v>
      </c>
      <c r="W19" s="80" t="str">
        <f t="shared" si="8"/>
        <v/>
      </c>
      <c r="X19" s="80" t="str">
        <f t="shared" si="9"/>
        <v/>
      </c>
      <c r="Y19" s="80" t="str">
        <f t="shared" si="10"/>
        <v/>
      </c>
      <c r="Z19" s="11">
        <v>17</v>
      </c>
      <c r="AA19" s="77" t="str">
        <f>Data!B18</f>
        <v xml:space="preserve">USMAN YAHAYA ABUBAKAR </v>
      </c>
      <c r="AB19" s="87">
        <v>6</v>
      </c>
      <c r="AC19" s="87">
        <v>5</v>
      </c>
      <c r="AD19" s="87">
        <v>8</v>
      </c>
      <c r="AE19" s="87">
        <v>9</v>
      </c>
      <c r="AF19" s="88">
        <f t="shared" si="11"/>
        <v>28</v>
      </c>
      <c r="AG19" s="87">
        <v>25</v>
      </c>
      <c r="AH19" s="88">
        <f t="shared" si="12"/>
        <v>53</v>
      </c>
      <c r="AI19" s="82">
        <f t="shared" si="13"/>
        <v>31</v>
      </c>
      <c r="AJ19" s="82" t="str">
        <f t="shared" si="14"/>
        <v>C6</v>
      </c>
      <c r="AK19" s="82" t="str">
        <f t="shared" si="15"/>
        <v>Credit</v>
      </c>
      <c r="AL19" s="11">
        <v>17</v>
      </c>
      <c r="AM19" s="77" t="str">
        <f>Data!B18</f>
        <v xml:space="preserve">USMAN YAHAYA ABUBAKAR </v>
      </c>
      <c r="AN19" s="87">
        <v>6</v>
      </c>
      <c r="AO19" s="87">
        <v>5</v>
      </c>
      <c r="AP19" s="87">
        <v>8</v>
      </c>
      <c r="AQ19" s="87">
        <v>9</v>
      </c>
      <c r="AR19" s="88">
        <f t="shared" si="16"/>
        <v>28</v>
      </c>
      <c r="AS19" s="87">
        <v>25</v>
      </c>
      <c r="AT19" s="88">
        <f t="shared" si="17"/>
        <v>53</v>
      </c>
      <c r="AU19" s="83">
        <f t="shared" si="18"/>
        <v>31</v>
      </c>
      <c r="AV19" s="83" t="str">
        <f t="shared" si="19"/>
        <v>C6</v>
      </c>
      <c r="AW19" s="83" t="str">
        <f t="shared" si="20"/>
        <v>Credit</v>
      </c>
      <c r="AX19" s="11">
        <v>17</v>
      </c>
      <c r="AY19" s="77" t="str">
        <f>Data!B18</f>
        <v xml:space="preserve">USMAN YAHAYA ABUBAKAR </v>
      </c>
      <c r="AZ19" s="87">
        <v>6</v>
      </c>
      <c r="BA19" s="87">
        <v>5</v>
      </c>
      <c r="BB19" s="87">
        <v>8</v>
      </c>
      <c r="BC19" s="87">
        <v>9</v>
      </c>
      <c r="BD19" s="88">
        <f t="shared" si="21"/>
        <v>28</v>
      </c>
      <c r="BE19" s="87">
        <v>25</v>
      </c>
      <c r="BF19" s="88">
        <f t="shared" si="22"/>
        <v>53</v>
      </c>
      <c r="BG19" s="85">
        <f t="shared" si="23"/>
        <v>31</v>
      </c>
      <c r="BH19" s="85" t="str">
        <f t="shared" si="24"/>
        <v>C6</v>
      </c>
      <c r="BI19" s="85" t="str">
        <f t="shared" si="25"/>
        <v>Credit</v>
      </c>
      <c r="BJ19" s="36">
        <v>17</v>
      </c>
      <c r="BK19" s="77" t="str">
        <f>Data!B18</f>
        <v xml:space="preserve">USMAN YAHAYA ABUBAKAR </v>
      </c>
      <c r="BL19" s="87">
        <v>6</v>
      </c>
      <c r="BM19" s="87">
        <v>5</v>
      </c>
      <c r="BN19" s="87">
        <v>8</v>
      </c>
      <c r="BO19" s="87">
        <v>9</v>
      </c>
      <c r="BP19" s="88">
        <f t="shared" si="26"/>
        <v>28</v>
      </c>
      <c r="BQ19" s="87">
        <v>25</v>
      </c>
      <c r="BR19" s="88">
        <f t="shared" si="27"/>
        <v>53</v>
      </c>
      <c r="BS19" s="86">
        <f t="shared" si="28"/>
        <v>31</v>
      </c>
      <c r="BT19" s="86" t="str">
        <f t="shared" si="29"/>
        <v>C6</v>
      </c>
      <c r="BU19" s="86" t="str">
        <f t="shared" si="30"/>
        <v>Credit</v>
      </c>
      <c r="BV19">
        <v>17</v>
      </c>
      <c r="BW19" s="77" t="str">
        <f>Data!B18</f>
        <v xml:space="preserve">USMAN YAHAYA ABUBAKAR </v>
      </c>
      <c r="BX19" s="87">
        <v>6</v>
      </c>
      <c r="BY19" s="87">
        <v>5</v>
      </c>
      <c r="BZ19" s="87">
        <v>8</v>
      </c>
      <c r="CA19" s="87">
        <v>9</v>
      </c>
      <c r="CB19" s="88">
        <f t="shared" si="31"/>
        <v>28</v>
      </c>
      <c r="CC19" s="87">
        <v>25</v>
      </c>
      <c r="CD19" s="88">
        <f t="shared" si="32"/>
        <v>53</v>
      </c>
      <c r="CE19" s="88">
        <f t="shared" si="33"/>
        <v>31</v>
      </c>
      <c r="CF19" s="88" t="str">
        <f t="shared" si="34"/>
        <v>C6</v>
      </c>
      <c r="CG19" s="88" t="str">
        <f t="shared" si="35"/>
        <v>Credit</v>
      </c>
      <c r="CH19">
        <v>17</v>
      </c>
      <c r="CI19" s="77" t="str">
        <f>Data!B18</f>
        <v xml:space="preserve">USMAN YAHAYA ABUBAKAR </v>
      </c>
      <c r="CJ19" s="78"/>
      <c r="CK19" s="78"/>
      <c r="CL19" s="78"/>
      <c r="CM19" s="78"/>
      <c r="CN19" s="89">
        <f t="shared" si="36"/>
        <v>0</v>
      </c>
      <c r="CO19" s="89"/>
      <c r="CP19" s="89">
        <f t="shared" si="37"/>
        <v>0</v>
      </c>
      <c r="CQ19" s="89" t="str">
        <f t="shared" si="38"/>
        <v/>
      </c>
      <c r="CR19" s="89" t="str">
        <f t="shared" si="39"/>
        <v/>
      </c>
      <c r="CS19" s="89" t="str">
        <f t="shared" si="40"/>
        <v/>
      </c>
      <c r="CT19">
        <v>17</v>
      </c>
      <c r="CU19" s="77" t="str">
        <f>Data!B18</f>
        <v xml:space="preserve">USMAN YAHAYA ABUBAKAR </v>
      </c>
      <c r="CV19" s="12"/>
      <c r="CW19" s="12"/>
      <c r="CX19" s="12"/>
      <c r="CY19" s="12"/>
      <c r="CZ19" s="90">
        <f t="shared" si="41"/>
        <v>0</v>
      </c>
      <c r="DA19" s="12"/>
      <c r="DB19" s="90">
        <f t="shared" si="42"/>
        <v>0</v>
      </c>
      <c r="DC19" s="90" t="str">
        <f t="shared" si="43"/>
        <v/>
      </c>
      <c r="DD19" s="90" t="str">
        <f t="shared" si="44"/>
        <v/>
      </c>
      <c r="DE19" s="90" t="str">
        <f t="shared" si="45"/>
        <v/>
      </c>
      <c r="DF19">
        <v>17</v>
      </c>
      <c r="DG19" s="77" t="str">
        <f>Data!B18</f>
        <v xml:space="preserve">USMAN YAHAYA ABUBAKAR </v>
      </c>
      <c r="DH19" s="78"/>
      <c r="DI19" s="78"/>
      <c r="DJ19" s="78"/>
      <c r="DK19" s="78"/>
      <c r="DL19" s="85">
        <f t="shared" si="46"/>
        <v>0</v>
      </c>
      <c r="DM19" s="84"/>
      <c r="DN19" s="85">
        <f t="shared" si="47"/>
        <v>0</v>
      </c>
      <c r="DO19" s="85" t="str">
        <f t="shared" si="48"/>
        <v/>
      </c>
      <c r="DP19" s="85" t="str">
        <f t="shared" si="49"/>
        <v/>
      </c>
      <c r="DQ19" s="85" t="str">
        <f t="shared" si="50"/>
        <v/>
      </c>
      <c r="DR19">
        <v>17</v>
      </c>
      <c r="DS19" s="77" t="str">
        <f>Data!B18</f>
        <v xml:space="preserve">USMAN YAHAYA ABUBAKAR </v>
      </c>
      <c r="DT19" s="91"/>
      <c r="DU19" s="91"/>
      <c r="DV19" s="91"/>
      <c r="DW19" s="91"/>
      <c r="DX19" s="92">
        <f t="shared" si="51"/>
        <v>0</v>
      </c>
      <c r="DY19" s="93"/>
      <c r="DZ19" s="92">
        <f t="shared" si="52"/>
        <v>0</v>
      </c>
      <c r="EA19" s="92" t="str">
        <f t="shared" si="53"/>
        <v/>
      </c>
      <c r="EB19" s="92" t="str">
        <f t="shared" si="54"/>
        <v/>
      </c>
      <c r="EC19" s="92" t="str">
        <f t="shared" si="55"/>
        <v/>
      </c>
      <c r="ED19">
        <v>17</v>
      </c>
      <c r="EE19" s="77" t="str">
        <f>Data!B18</f>
        <v xml:space="preserve">USMAN YAHAYA ABUBAKAR </v>
      </c>
      <c r="EF19" s="78"/>
      <c r="EG19" s="78"/>
      <c r="EH19" s="78"/>
      <c r="EI19" s="78"/>
      <c r="EJ19" s="94">
        <f t="shared" si="56"/>
        <v>0</v>
      </c>
      <c r="EK19" s="94"/>
      <c r="EL19" s="94">
        <f t="shared" si="57"/>
        <v>0</v>
      </c>
      <c r="EM19" s="94" t="str">
        <f t="shared" si="58"/>
        <v/>
      </c>
      <c r="EN19" s="94" t="str">
        <f t="shared" si="59"/>
        <v/>
      </c>
      <c r="EO19" s="94" t="str">
        <f t="shared" si="60"/>
        <v/>
      </c>
      <c r="EP19">
        <v>17</v>
      </c>
      <c r="EQ19" s="95" t="str">
        <f>Data!B18</f>
        <v xml:space="preserve">USMAN YAHAYA ABUBAKAR </v>
      </c>
      <c r="ER19" s="78"/>
      <c r="ES19" s="78"/>
      <c r="ET19" s="78"/>
      <c r="EU19" s="78"/>
      <c r="EV19" s="90">
        <f t="shared" si="61"/>
        <v>0</v>
      </c>
      <c r="EW19" s="90"/>
      <c r="EX19" s="90">
        <f t="shared" si="62"/>
        <v>0</v>
      </c>
      <c r="EY19" s="90" t="str">
        <f t="shared" si="63"/>
        <v/>
      </c>
      <c r="EZ19" s="90" t="str">
        <f t="shared" si="64"/>
        <v/>
      </c>
      <c r="FA19" s="90" t="str">
        <f t="shared" si="65"/>
        <v/>
      </c>
      <c r="FB19">
        <v>17</v>
      </c>
      <c r="FC19" s="77" t="str">
        <f>Data!B18</f>
        <v xml:space="preserve">USMAN YAHAYA ABUBAKAR </v>
      </c>
      <c r="FD19" s="78"/>
      <c r="FE19" s="78"/>
      <c r="FF19" s="78"/>
      <c r="FG19" s="78"/>
      <c r="FH19" s="96">
        <f t="shared" si="66"/>
        <v>0</v>
      </c>
      <c r="FI19" s="96"/>
      <c r="FJ19" s="96">
        <f t="shared" si="67"/>
        <v>0</v>
      </c>
      <c r="FK19" s="96" t="str">
        <f t="shared" si="68"/>
        <v/>
      </c>
      <c r="FL19" s="96" t="str">
        <f t="shared" si="69"/>
        <v/>
      </c>
      <c r="FM19" s="96" t="str">
        <f t="shared" si="70"/>
        <v/>
      </c>
      <c r="FN19">
        <v>17</v>
      </c>
      <c r="FO19" s="77" t="str">
        <f>Data!B18</f>
        <v xml:space="preserve">USMAN YAHAYA ABUBAKAR </v>
      </c>
      <c r="FP19" s="78"/>
      <c r="FQ19" s="78"/>
      <c r="FR19" s="78"/>
      <c r="FS19" s="78"/>
      <c r="FT19" s="97">
        <f t="shared" si="71"/>
        <v>0</v>
      </c>
      <c r="FU19" s="97"/>
      <c r="FV19" s="97">
        <f t="shared" si="72"/>
        <v>0</v>
      </c>
      <c r="FW19" s="97" t="str">
        <f t="shared" si="73"/>
        <v/>
      </c>
      <c r="FX19" s="97" t="str">
        <f t="shared" si="74"/>
        <v/>
      </c>
      <c r="FY19" s="97" t="str">
        <f t="shared" si="75"/>
        <v/>
      </c>
      <c r="FZ19">
        <v>17</v>
      </c>
      <c r="GA19" s="77" t="str">
        <f>Data!B18</f>
        <v xml:space="preserve">USMAN YAHAYA ABUBAKAR </v>
      </c>
      <c r="GB19" s="78"/>
      <c r="GC19" s="78"/>
      <c r="GD19" s="78"/>
      <c r="GE19" s="78"/>
      <c r="GF19" s="98">
        <f t="shared" si="76"/>
        <v>0</v>
      </c>
      <c r="GG19" s="98"/>
      <c r="GH19" s="98">
        <f t="shared" si="77"/>
        <v>0</v>
      </c>
      <c r="GI19" s="98" t="str">
        <f t="shared" si="78"/>
        <v/>
      </c>
      <c r="GJ19" s="98" t="str">
        <f t="shared" si="79"/>
        <v/>
      </c>
      <c r="GK19" s="98" t="str">
        <f t="shared" si="80"/>
        <v/>
      </c>
      <c r="GL19">
        <v>17</v>
      </c>
      <c r="GM19" s="77" t="str">
        <f>Data!B18</f>
        <v xml:space="preserve">USMAN YAHAYA ABUBAKAR </v>
      </c>
      <c r="GN19" s="99"/>
      <c r="GO19" s="99"/>
      <c r="GP19" s="99"/>
      <c r="GQ19" s="99"/>
      <c r="GR19" s="100">
        <f t="shared" si="81"/>
        <v>0</v>
      </c>
      <c r="GS19" s="99"/>
      <c r="GT19" s="100">
        <f t="shared" si="82"/>
        <v>0</v>
      </c>
      <c r="GU19" s="100" t="str">
        <f t="shared" si="83"/>
        <v/>
      </c>
      <c r="GV19" s="100" t="str">
        <f t="shared" si="84"/>
        <v/>
      </c>
      <c r="GW19" s="100" t="str">
        <f t="shared" si="85"/>
        <v/>
      </c>
      <c r="GX19">
        <v>17</v>
      </c>
      <c r="GY19" s="77" t="str">
        <f>Data!B18</f>
        <v xml:space="preserve">USMAN YAHAYA ABUBAKAR </v>
      </c>
      <c r="GZ19" s="78"/>
      <c r="HA19" s="78"/>
      <c r="HB19" s="78"/>
      <c r="HC19" s="78"/>
      <c r="HD19" s="86">
        <f t="shared" si="86"/>
        <v>0</v>
      </c>
      <c r="HE19" s="86"/>
      <c r="HF19" s="86">
        <f t="shared" si="87"/>
        <v>0</v>
      </c>
      <c r="HG19" s="86" t="str">
        <f t="shared" si="88"/>
        <v/>
      </c>
      <c r="HH19" s="86" t="str">
        <f t="shared" si="89"/>
        <v/>
      </c>
      <c r="HI19" s="86" t="str">
        <f t="shared" si="90"/>
        <v/>
      </c>
      <c r="HJ19">
        <v>17</v>
      </c>
      <c r="HK19" s="77" t="str">
        <f>Data!B18</f>
        <v xml:space="preserve">USMAN YAHAYA ABUBAKAR </v>
      </c>
      <c r="HL19" s="111"/>
      <c r="HM19" s="112"/>
      <c r="HN19" s="112"/>
      <c r="HO19" s="112"/>
      <c r="HP19" s="103">
        <f t="shared" si="91"/>
        <v>0</v>
      </c>
      <c r="HQ19" s="111"/>
      <c r="HR19" s="103">
        <f t="shared" si="92"/>
        <v>0</v>
      </c>
      <c r="HS19" s="103" t="str">
        <f t="shared" si="93"/>
        <v/>
      </c>
      <c r="HT19" s="103" t="str">
        <f t="shared" si="94"/>
        <v/>
      </c>
      <c r="HU19" s="103" t="str">
        <f t="shared" si="95"/>
        <v/>
      </c>
      <c r="HV19">
        <v>17</v>
      </c>
      <c r="HW19" s="77" t="str">
        <f>Data!B18</f>
        <v xml:space="preserve">USMAN YAHAYA ABUBAKAR </v>
      </c>
      <c r="HX19" s="78"/>
      <c r="HY19" s="78"/>
      <c r="HZ19" s="78"/>
      <c r="IA19" s="78"/>
      <c r="IB19" s="85">
        <f t="shared" si="96"/>
        <v>0</v>
      </c>
      <c r="IC19" s="85"/>
      <c r="ID19" s="85">
        <f t="shared" si="97"/>
        <v>0</v>
      </c>
      <c r="IE19" s="85" t="str">
        <f t="shared" si="98"/>
        <v/>
      </c>
      <c r="IF19" s="85" t="str">
        <f t="shared" si="99"/>
        <v/>
      </c>
      <c r="IG19" s="85" t="str">
        <f t="shared" si="100"/>
        <v/>
      </c>
      <c r="IH19">
        <v>17</v>
      </c>
      <c r="II19" s="77" t="str">
        <f>Data!B18</f>
        <v xml:space="preserve">USMAN YAHAYA ABUBAKAR </v>
      </c>
      <c r="IJ19" s="78"/>
      <c r="IK19" s="78"/>
      <c r="IL19" s="78"/>
      <c r="IM19" s="78"/>
      <c r="IN19" s="104">
        <f t="shared" si="101"/>
        <v>0</v>
      </c>
      <c r="IO19" s="104"/>
      <c r="IP19" s="104">
        <f t="shared" si="102"/>
        <v>0</v>
      </c>
      <c r="IQ19" s="104" t="str">
        <f t="shared" si="103"/>
        <v/>
      </c>
      <c r="IR19" s="104" t="str">
        <f t="shared" si="104"/>
        <v/>
      </c>
      <c r="IS19" s="104" t="str">
        <f t="shared" si="105"/>
        <v/>
      </c>
      <c r="IT19">
        <v>17</v>
      </c>
      <c r="IU19" s="77" t="str">
        <f t="shared" si="106"/>
        <v xml:space="preserve">USMAN YAHAYA ABUBAKAR </v>
      </c>
      <c r="IV19" s="105"/>
      <c r="IW19" s="105"/>
      <c r="IX19" s="105"/>
      <c r="IY19" s="105"/>
      <c r="IZ19" s="98">
        <f t="shared" si="107"/>
        <v>0</v>
      </c>
      <c r="JA19" s="105"/>
      <c r="JB19" s="98">
        <f t="shared" si="108"/>
        <v>0</v>
      </c>
      <c r="JC19" s="98" t="str">
        <f t="shared" si="109"/>
        <v/>
      </c>
      <c r="JD19" s="98" t="str">
        <f t="shared" si="110"/>
        <v/>
      </c>
      <c r="JE19" s="98" t="str">
        <f t="shared" si="111"/>
        <v/>
      </c>
      <c r="JF19">
        <v>17</v>
      </c>
      <c r="JG19" s="77" t="str">
        <f t="shared" si="112"/>
        <v xml:space="preserve">USMAN YAHAYA ABUBAKAR </v>
      </c>
      <c r="JH19" s="114"/>
      <c r="JI19" s="114"/>
      <c r="JJ19" s="114"/>
      <c r="JK19" s="114"/>
      <c r="JL19" s="82">
        <f t="shared" si="113"/>
        <v>0</v>
      </c>
      <c r="JM19" s="114"/>
      <c r="JN19" s="82">
        <f t="shared" si="114"/>
        <v>0</v>
      </c>
      <c r="JO19" s="82" t="str">
        <f t="shared" si="115"/>
        <v/>
      </c>
      <c r="JP19" s="82" t="str">
        <f t="shared" si="116"/>
        <v/>
      </c>
      <c r="JQ19" s="82" t="str">
        <f t="shared" si="117"/>
        <v/>
      </c>
      <c r="JR19">
        <v>17</v>
      </c>
      <c r="JS19" s="77" t="str">
        <f t="shared" si="118"/>
        <v xml:space="preserve">USMAN YAHAYA ABUBAKAR </v>
      </c>
      <c r="JT19" s="107"/>
      <c r="JU19" s="107"/>
      <c r="JV19" s="107"/>
      <c r="JW19" s="107"/>
      <c r="JX19" s="80">
        <f t="shared" si="119"/>
        <v>0</v>
      </c>
      <c r="JY19" s="108"/>
      <c r="JZ19" s="80">
        <f t="shared" si="0"/>
        <v>0</v>
      </c>
      <c r="KA19" s="80" t="str">
        <f t="shared" si="120"/>
        <v/>
      </c>
      <c r="KB19" s="80" t="str">
        <f t="shared" si="121"/>
        <v/>
      </c>
      <c r="KC19" s="80" t="str">
        <f t="shared" si="122"/>
        <v/>
      </c>
      <c r="KE19" s="16"/>
      <c r="KF19" s="16"/>
      <c r="KG19" s="16"/>
      <c r="KH19" s="16"/>
      <c r="KI19" s="16"/>
      <c r="KJ19" s="16"/>
      <c r="KK19" s="16"/>
      <c r="KL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</row>
    <row r="20" spans="1:309" ht="23.25">
      <c r="A20" s="17">
        <v>18</v>
      </c>
      <c r="B20" s="186">
        <v>18</v>
      </c>
      <c r="C20" s="77" t="str">
        <f>Data!B19</f>
        <v>WANANGU DAWA</v>
      </c>
      <c r="D20" s="87">
        <v>7</v>
      </c>
      <c r="E20" s="87">
        <v>6</v>
      </c>
      <c r="F20" s="87">
        <v>9</v>
      </c>
      <c r="G20" s="87">
        <v>9</v>
      </c>
      <c r="H20" s="88">
        <f t="shared" si="1"/>
        <v>31</v>
      </c>
      <c r="I20" s="87">
        <v>28</v>
      </c>
      <c r="J20" s="88">
        <f t="shared" si="2"/>
        <v>59</v>
      </c>
      <c r="K20" s="79">
        <f t="shared" si="3"/>
        <v>19</v>
      </c>
      <c r="L20" s="79" t="str">
        <f t="shared" si="4"/>
        <v>C5</v>
      </c>
      <c r="M20" s="79" t="str">
        <f t="shared" si="5"/>
        <v>Credit</v>
      </c>
      <c r="N20" s="17">
        <v>18</v>
      </c>
      <c r="O20" s="77" t="str">
        <f>Data!B19</f>
        <v>WANANGU DAWA</v>
      </c>
      <c r="P20" s="78"/>
      <c r="Q20" s="78"/>
      <c r="R20" s="78"/>
      <c r="S20" s="78"/>
      <c r="T20" s="80">
        <f t="shared" si="6"/>
        <v>0</v>
      </c>
      <c r="U20" s="80"/>
      <c r="V20" s="80">
        <f t="shared" si="7"/>
        <v>0</v>
      </c>
      <c r="W20" s="80" t="str">
        <f t="shared" si="8"/>
        <v/>
      </c>
      <c r="X20" s="80" t="str">
        <f t="shared" si="9"/>
        <v/>
      </c>
      <c r="Y20" s="80" t="str">
        <f t="shared" si="10"/>
        <v/>
      </c>
      <c r="Z20" s="11">
        <v>18</v>
      </c>
      <c r="AA20" s="77" t="str">
        <f>Data!B19</f>
        <v>WANANGU DAWA</v>
      </c>
      <c r="AB20" s="87">
        <v>7</v>
      </c>
      <c r="AC20" s="87">
        <v>6</v>
      </c>
      <c r="AD20" s="87">
        <v>9</v>
      </c>
      <c r="AE20" s="87">
        <v>9</v>
      </c>
      <c r="AF20" s="88">
        <f t="shared" si="11"/>
        <v>31</v>
      </c>
      <c r="AG20" s="87">
        <v>28</v>
      </c>
      <c r="AH20" s="88">
        <f t="shared" si="12"/>
        <v>59</v>
      </c>
      <c r="AI20" s="82">
        <f t="shared" si="13"/>
        <v>19</v>
      </c>
      <c r="AJ20" s="82" t="str">
        <f t="shared" si="14"/>
        <v>C5</v>
      </c>
      <c r="AK20" s="82" t="str">
        <f t="shared" si="15"/>
        <v>Credit</v>
      </c>
      <c r="AL20" s="11">
        <v>18</v>
      </c>
      <c r="AM20" s="77" t="str">
        <f>Data!B19</f>
        <v>WANANGU DAWA</v>
      </c>
      <c r="AN20" s="87">
        <v>7</v>
      </c>
      <c r="AO20" s="87">
        <v>6</v>
      </c>
      <c r="AP20" s="87">
        <v>9</v>
      </c>
      <c r="AQ20" s="87">
        <v>9</v>
      </c>
      <c r="AR20" s="88">
        <f t="shared" si="16"/>
        <v>31</v>
      </c>
      <c r="AS20" s="87">
        <v>28</v>
      </c>
      <c r="AT20" s="88">
        <f t="shared" si="17"/>
        <v>59</v>
      </c>
      <c r="AU20" s="83">
        <f t="shared" si="18"/>
        <v>19</v>
      </c>
      <c r="AV20" s="83" t="str">
        <f t="shared" si="19"/>
        <v>C5</v>
      </c>
      <c r="AW20" s="83" t="str">
        <f t="shared" si="20"/>
        <v>Credit</v>
      </c>
      <c r="AX20" s="11">
        <v>18</v>
      </c>
      <c r="AY20" s="77" t="str">
        <f>Data!B19</f>
        <v>WANANGU DAWA</v>
      </c>
      <c r="AZ20" s="87">
        <v>7</v>
      </c>
      <c r="BA20" s="87">
        <v>6</v>
      </c>
      <c r="BB20" s="87">
        <v>9</v>
      </c>
      <c r="BC20" s="87">
        <v>9</v>
      </c>
      <c r="BD20" s="88">
        <f t="shared" si="21"/>
        <v>31</v>
      </c>
      <c r="BE20" s="87">
        <v>28</v>
      </c>
      <c r="BF20" s="88">
        <f t="shared" si="22"/>
        <v>59</v>
      </c>
      <c r="BG20" s="85">
        <f t="shared" si="23"/>
        <v>19</v>
      </c>
      <c r="BH20" s="85" t="str">
        <f t="shared" si="24"/>
        <v>C5</v>
      </c>
      <c r="BI20" s="85" t="str">
        <f t="shared" si="25"/>
        <v>Credit</v>
      </c>
      <c r="BJ20" s="36">
        <v>18</v>
      </c>
      <c r="BK20" s="77" t="str">
        <f>Data!B19</f>
        <v>WANANGU DAWA</v>
      </c>
      <c r="BL20" s="87">
        <v>7</v>
      </c>
      <c r="BM20" s="87">
        <v>6</v>
      </c>
      <c r="BN20" s="87">
        <v>9</v>
      </c>
      <c r="BO20" s="87">
        <v>9</v>
      </c>
      <c r="BP20" s="88">
        <f t="shared" si="26"/>
        <v>31</v>
      </c>
      <c r="BQ20" s="87">
        <v>28</v>
      </c>
      <c r="BR20" s="88">
        <f t="shared" si="27"/>
        <v>59</v>
      </c>
      <c r="BS20" s="86">
        <f t="shared" si="28"/>
        <v>19</v>
      </c>
      <c r="BT20" s="86" t="str">
        <f t="shared" si="29"/>
        <v>C5</v>
      </c>
      <c r="BU20" s="86" t="str">
        <f t="shared" si="30"/>
        <v>Credit</v>
      </c>
      <c r="BV20">
        <v>18</v>
      </c>
      <c r="BW20" s="77" t="str">
        <f>Data!B19</f>
        <v>WANANGU DAWA</v>
      </c>
      <c r="BX20" s="87">
        <v>7</v>
      </c>
      <c r="BY20" s="87">
        <v>6</v>
      </c>
      <c r="BZ20" s="87">
        <v>9</v>
      </c>
      <c r="CA20" s="87">
        <v>9</v>
      </c>
      <c r="CB20" s="88">
        <f t="shared" si="31"/>
        <v>31</v>
      </c>
      <c r="CC20" s="87">
        <v>28</v>
      </c>
      <c r="CD20" s="88">
        <f t="shared" si="32"/>
        <v>59</v>
      </c>
      <c r="CE20" s="88">
        <f t="shared" si="33"/>
        <v>19</v>
      </c>
      <c r="CF20" s="88" t="str">
        <f t="shared" si="34"/>
        <v>C5</v>
      </c>
      <c r="CG20" s="88" t="str">
        <f t="shared" si="35"/>
        <v>Credit</v>
      </c>
      <c r="CH20">
        <v>18</v>
      </c>
      <c r="CI20" s="77" t="str">
        <f>Data!B19</f>
        <v>WANANGU DAWA</v>
      </c>
      <c r="CJ20" s="78"/>
      <c r="CK20" s="78"/>
      <c r="CL20" s="78"/>
      <c r="CM20" s="78"/>
      <c r="CN20" s="89">
        <f t="shared" si="36"/>
        <v>0</v>
      </c>
      <c r="CO20" s="89"/>
      <c r="CP20" s="89">
        <f t="shared" si="37"/>
        <v>0</v>
      </c>
      <c r="CQ20" s="89" t="str">
        <f t="shared" si="38"/>
        <v/>
      </c>
      <c r="CR20" s="89" t="str">
        <f t="shared" si="39"/>
        <v/>
      </c>
      <c r="CS20" s="89" t="str">
        <f t="shared" si="40"/>
        <v/>
      </c>
      <c r="CT20">
        <v>18</v>
      </c>
      <c r="CU20" s="77" t="str">
        <f>Data!B19</f>
        <v>WANANGU DAWA</v>
      </c>
      <c r="CV20" s="12"/>
      <c r="CW20" s="12"/>
      <c r="CX20" s="12"/>
      <c r="CY20" s="12"/>
      <c r="CZ20" s="90">
        <f t="shared" si="41"/>
        <v>0</v>
      </c>
      <c r="DA20" s="12"/>
      <c r="DB20" s="90">
        <f t="shared" si="42"/>
        <v>0</v>
      </c>
      <c r="DC20" s="90" t="str">
        <f t="shared" si="43"/>
        <v/>
      </c>
      <c r="DD20" s="90" t="str">
        <f t="shared" si="44"/>
        <v/>
      </c>
      <c r="DE20" s="90" t="str">
        <f t="shared" si="45"/>
        <v/>
      </c>
      <c r="DF20">
        <v>18</v>
      </c>
      <c r="DG20" s="77" t="str">
        <f>Data!B19</f>
        <v>WANANGU DAWA</v>
      </c>
      <c r="DH20" s="78"/>
      <c r="DI20" s="78"/>
      <c r="DJ20" s="78"/>
      <c r="DK20" s="78"/>
      <c r="DL20" s="85">
        <f t="shared" si="46"/>
        <v>0</v>
      </c>
      <c r="DM20" s="84"/>
      <c r="DN20" s="85">
        <f t="shared" si="47"/>
        <v>0</v>
      </c>
      <c r="DO20" s="85" t="str">
        <f t="shared" si="48"/>
        <v/>
      </c>
      <c r="DP20" s="85" t="str">
        <f t="shared" si="49"/>
        <v/>
      </c>
      <c r="DQ20" s="85" t="str">
        <f t="shared" si="50"/>
        <v/>
      </c>
      <c r="DR20">
        <v>18</v>
      </c>
      <c r="DS20" s="77" t="str">
        <f>Data!B19</f>
        <v>WANANGU DAWA</v>
      </c>
      <c r="DT20" s="91"/>
      <c r="DU20" s="91"/>
      <c r="DV20" s="91"/>
      <c r="DW20" s="91"/>
      <c r="DX20" s="92">
        <f t="shared" si="51"/>
        <v>0</v>
      </c>
      <c r="DY20" s="93"/>
      <c r="DZ20" s="92">
        <f t="shared" si="52"/>
        <v>0</v>
      </c>
      <c r="EA20" s="92" t="str">
        <f t="shared" si="53"/>
        <v/>
      </c>
      <c r="EB20" s="92" t="str">
        <f t="shared" si="54"/>
        <v/>
      </c>
      <c r="EC20" s="92" t="str">
        <f t="shared" si="55"/>
        <v/>
      </c>
      <c r="ED20">
        <v>18</v>
      </c>
      <c r="EE20" s="77" t="str">
        <f>Data!B19</f>
        <v>WANANGU DAWA</v>
      </c>
      <c r="EF20" s="78"/>
      <c r="EG20" s="78"/>
      <c r="EH20" s="78"/>
      <c r="EI20" s="78"/>
      <c r="EJ20" s="94">
        <f t="shared" si="56"/>
        <v>0</v>
      </c>
      <c r="EK20" s="94"/>
      <c r="EL20" s="94">
        <f t="shared" si="57"/>
        <v>0</v>
      </c>
      <c r="EM20" s="94" t="str">
        <f t="shared" si="58"/>
        <v/>
      </c>
      <c r="EN20" s="94" t="str">
        <f t="shared" si="59"/>
        <v/>
      </c>
      <c r="EO20" s="94" t="str">
        <f t="shared" si="60"/>
        <v/>
      </c>
      <c r="EP20">
        <v>18</v>
      </c>
      <c r="EQ20" s="95" t="str">
        <f>Data!B19</f>
        <v>WANANGU DAWA</v>
      </c>
      <c r="ER20" s="78"/>
      <c r="ES20" s="78"/>
      <c r="ET20" s="78"/>
      <c r="EU20" s="78"/>
      <c r="EV20" s="90">
        <f t="shared" si="61"/>
        <v>0</v>
      </c>
      <c r="EW20" s="90"/>
      <c r="EX20" s="90">
        <f t="shared" si="62"/>
        <v>0</v>
      </c>
      <c r="EY20" s="90" t="str">
        <f t="shared" si="63"/>
        <v/>
      </c>
      <c r="EZ20" s="90" t="str">
        <f t="shared" si="64"/>
        <v/>
      </c>
      <c r="FA20" s="90" t="str">
        <f t="shared" si="65"/>
        <v/>
      </c>
      <c r="FB20">
        <v>18</v>
      </c>
      <c r="FC20" s="77" t="str">
        <f>Data!B19</f>
        <v>WANANGU DAWA</v>
      </c>
      <c r="FD20" s="78"/>
      <c r="FE20" s="78"/>
      <c r="FF20" s="78"/>
      <c r="FG20" s="78"/>
      <c r="FH20" s="96">
        <f t="shared" si="66"/>
        <v>0</v>
      </c>
      <c r="FI20" s="96"/>
      <c r="FJ20" s="96">
        <f t="shared" si="67"/>
        <v>0</v>
      </c>
      <c r="FK20" s="96" t="str">
        <f t="shared" si="68"/>
        <v/>
      </c>
      <c r="FL20" s="96" t="str">
        <f t="shared" si="69"/>
        <v/>
      </c>
      <c r="FM20" s="96" t="str">
        <f t="shared" si="70"/>
        <v/>
      </c>
      <c r="FN20">
        <v>18</v>
      </c>
      <c r="FO20" s="77" t="str">
        <f>Data!B19</f>
        <v>WANANGU DAWA</v>
      </c>
      <c r="FP20" s="78"/>
      <c r="FQ20" s="78"/>
      <c r="FR20" s="78"/>
      <c r="FS20" s="78"/>
      <c r="FT20" s="97">
        <f t="shared" si="71"/>
        <v>0</v>
      </c>
      <c r="FU20" s="97"/>
      <c r="FV20" s="97">
        <f t="shared" si="72"/>
        <v>0</v>
      </c>
      <c r="FW20" s="97" t="str">
        <f t="shared" si="73"/>
        <v/>
      </c>
      <c r="FX20" s="97" t="str">
        <f t="shared" si="74"/>
        <v/>
      </c>
      <c r="FY20" s="97" t="str">
        <f t="shared" si="75"/>
        <v/>
      </c>
      <c r="FZ20">
        <v>18</v>
      </c>
      <c r="GA20" s="77" t="str">
        <f>Data!B19</f>
        <v>WANANGU DAWA</v>
      </c>
      <c r="GB20" s="78"/>
      <c r="GC20" s="78"/>
      <c r="GD20" s="78"/>
      <c r="GE20" s="78"/>
      <c r="GF20" s="98">
        <f t="shared" si="76"/>
        <v>0</v>
      </c>
      <c r="GG20" s="98"/>
      <c r="GH20" s="98">
        <f t="shared" si="77"/>
        <v>0</v>
      </c>
      <c r="GI20" s="98" t="str">
        <f t="shared" si="78"/>
        <v/>
      </c>
      <c r="GJ20" s="98" t="str">
        <f t="shared" si="79"/>
        <v/>
      </c>
      <c r="GK20" s="98" t="str">
        <f t="shared" si="80"/>
        <v/>
      </c>
      <c r="GL20">
        <v>18</v>
      </c>
      <c r="GM20" s="77" t="str">
        <f>Data!B19</f>
        <v>WANANGU DAWA</v>
      </c>
      <c r="GN20" s="99"/>
      <c r="GO20" s="99"/>
      <c r="GP20" s="99"/>
      <c r="GQ20" s="99"/>
      <c r="GR20" s="100">
        <f t="shared" si="81"/>
        <v>0</v>
      </c>
      <c r="GS20" s="99"/>
      <c r="GT20" s="100">
        <f t="shared" si="82"/>
        <v>0</v>
      </c>
      <c r="GU20" s="100" t="str">
        <f t="shared" si="83"/>
        <v/>
      </c>
      <c r="GV20" s="100" t="str">
        <f t="shared" si="84"/>
        <v/>
      </c>
      <c r="GW20" s="100" t="str">
        <f t="shared" si="85"/>
        <v/>
      </c>
      <c r="GX20">
        <v>18</v>
      </c>
      <c r="GY20" s="77" t="str">
        <f>Data!B19</f>
        <v>WANANGU DAWA</v>
      </c>
      <c r="GZ20" s="78"/>
      <c r="HA20" s="78"/>
      <c r="HB20" s="78"/>
      <c r="HC20" s="78"/>
      <c r="HD20" s="86">
        <f t="shared" si="86"/>
        <v>0</v>
      </c>
      <c r="HE20" s="86"/>
      <c r="HF20" s="86">
        <f t="shared" si="87"/>
        <v>0</v>
      </c>
      <c r="HG20" s="86" t="str">
        <f t="shared" si="88"/>
        <v/>
      </c>
      <c r="HH20" s="86" t="str">
        <f t="shared" si="89"/>
        <v/>
      </c>
      <c r="HI20" s="86" t="str">
        <f t="shared" si="90"/>
        <v/>
      </c>
      <c r="HJ20">
        <v>18</v>
      </c>
      <c r="HK20" s="77" t="str">
        <f>Data!B19</f>
        <v>WANANGU DAWA</v>
      </c>
      <c r="HL20" s="111"/>
      <c r="HM20" s="112"/>
      <c r="HN20" s="112"/>
      <c r="HO20" s="112"/>
      <c r="HP20" s="103">
        <f t="shared" si="91"/>
        <v>0</v>
      </c>
      <c r="HQ20" s="111"/>
      <c r="HR20" s="103">
        <f t="shared" si="92"/>
        <v>0</v>
      </c>
      <c r="HS20" s="103" t="str">
        <f t="shared" si="93"/>
        <v/>
      </c>
      <c r="HT20" s="103" t="str">
        <f t="shared" si="94"/>
        <v/>
      </c>
      <c r="HU20" s="103" t="str">
        <f t="shared" si="95"/>
        <v/>
      </c>
      <c r="HV20">
        <v>18</v>
      </c>
      <c r="HW20" s="77" t="str">
        <f>Data!B19</f>
        <v>WANANGU DAWA</v>
      </c>
      <c r="HX20" s="78"/>
      <c r="HY20" s="78"/>
      <c r="HZ20" s="78"/>
      <c r="IA20" s="78"/>
      <c r="IB20" s="85">
        <f t="shared" si="96"/>
        <v>0</v>
      </c>
      <c r="IC20" s="85"/>
      <c r="ID20" s="85">
        <f t="shared" si="97"/>
        <v>0</v>
      </c>
      <c r="IE20" s="85" t="str">
        <f t="shared" si="98"/>
        <v/>
      </c>
      <c r="IF20" s="85" t="str">
        <f t="shared" si="99"/>
        <v/>
      </c>
      <c r="IG20" s="85" t="str">
        <f t="shared" si="100"/>
        <v/>
      </c>
      <c r="IH20">
        <v>18</v>
      </c>
      <c r="II20" s="77" t="str">
        <f>Data!B19</f>
        <v>WANANGU DAWA</v>
      </c>
      <c r="IJ20" s="78"/>
      <c r="IK20" s="78"/>
      <c r="IL20" s="78"/>
      <c r="IM20" s="78"/>
      <c r="IN20" s="104">
        <f t="shared" si="101"/>
        <v>0</v>
      </c>
      <c r="IO20" s="104"/>
      <c r="IP20" s="104">
        <f t="shared" si="102"/>
        <v>0</v>
      </c>
      <c r="IQ20" s="104" t="str">
        <f t="shared" si="103"/>
        <v/>
      </c>
      <c r="IR20" s="104" t="str">
        <f t="shared" si="104"/>
        <v/>
      </c>
      <c r="IS20" s="104" t="str">
        <f t="shared" si="105"/>
        <v/>
      </c>
      <c r="IT20">
        <v>18</v>
      </c>
      <c r="IU20" s="77" t="str">
        <f t="shared" si="106"/>
        <v>WANANGU DAWA</v>
      </c>
      <c r="IV20" s="105"/>
      <c r="IW20" s="105"/>
      <c r="IX20" s="105"/>
      <c r="IY20" s="105"/>
      <c r="IZ20" s="98">
        <f t="shared" si="107"/>
        <v>0</v>
      </c>
      <c r="JA20" s="105"/>
      <c r="JB20" s="98">
        <f t="shared" si="108"/>
        <v>0</v>
      </c>
      <c r="JC20" s="98" t="str">
        <f t="shared" si="109"/>
        <v/>
      </c>
      <c r="JD20" s="98" t="str">
        <f t="shared" si="110"/>
        <v/>
      </c>
      <c r="JE20" s="98" t="str">
        <f t="shared" si="111"/>
        <v/>
      </c>
      <c r="JF20">
        <v>18</v>
      </c>
      <c r="JG20" s="77" t="str">
        <f t="shared" si="112"/>
        <v>WANANGU DAWA</v>
      </c>
      <c r="JH20" s="114"/>
      <c r="JI20" s="114"/>
      <c r="JJ20" s="114"/>
      <c r="JK20" s="114"/>
      <c r="JL20" s="82">
        <f t="shared" si="113"/>
        <v>0</v>
      </c>
      <c r="JM20" s="114"/>
      <c r="JN20" s="82">
        <f t="shared" si="114"/>
        <v>0</v>
      </c>
      <c r="JO20" s="82" t="str">
        <f t="shared" si="115"/>
        <v/>
      </c>
      <c r="JP20" s="82" t="str">
        <f t="shared" si="116"/>
        <v/>
      </c>
      <c r="JQ20" s="82" t="str">
        <f t="shared" si="117"/>
        <v/>
      </c>
      <c r="JR20">
        <v>18</v>
      </c>
      <c r="JS20" s="77" t="str">
        <f t="shared" si="118"/>
        <v>WANANGU DAWA</v>
      </c>
      <c r="JT20" s="107"/>
      <c r="JU20" s="107"/>
      <c r="JV20" s="107"/>
      <c r="JW20" s="107"/>
      <c r="JX20" s="80">
        <f t="shared" si="119"/>
        <v>0</v>
      </c>
      <c r="JY20" s="108"/>
      <c r="JZ20" s="80">
        <f t="shared" si="0"/>
        <v>0</v>
      </c>
      <c r="KA20" s="80" t="str">
        <f t="shared" si="120"/>
        <v/>
      </c>
      <c r="KB20" s="80" t="str">
        <f t="shared" si="121"/>
        <v/>
      </c>
      <c r="KC20" s="80" t="str">
        <f t="shared" si="122"/>
        <v/>
      </c>
      <c r="KE20" s="16"/>
      <c r="KF20" s="16"/>
      <c r="KG20" s="16"/>
      <c r="KH20" s="16"/>
      <c r="KI20" s="16"/>
      <c r="KJ20" s="16"/>
      <c r="KK20" s="16"/>
      <c r="KL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</row>
    <row r="21" spans="1:309" ht="23.25">
      <c r="A21" s="17">
        <v>19</v>
      </c>
      <c r="B21" s="186">
        <v>19</v>
      </c>
      <c r="C21" s="77" t="str">
        <f>Data!B20</f>
        <v xml:space="preserve">YAKUBU ALHAJI ALIYU </v>
      </c>
      <c r="D21" s="87">
        <v>7</v>
      </c>
      <c r="E21" s="87">
        <v>7</v>
      </c>
      <c r="F21" s="87">
        <v>8</v>
      </c>
      <c r="G21" s="87">
        <v>6</v>
      </c>
      <c r="H21" s="88">
        <f t="shared" si="1"/>
        <v>28</v>
      </c>
      <c r="I21" s="87">
        <v>20</v>
      </c>
      <c r="J21" s="88">
        <f t="shared" si="2"/>
        <v>48</v>
      </c>
      <c r="K21" s="79">
        <f t="shared" si="3"/>
        <v>36</v>
      </c>
      <c r="L21" s="79" t="str">
        <f t="shared" si="4"/>
        <v>D7</v>
      </c>
      <c r="M21" s="79" t="str">
        <f t="shared" si="5"/>
        <v>Pass</v>
      </c>
      <c r="N21" s="17">
        <v>19</v>
      </c>
      <c r="O21" s="77" t="str">
        <f>Data!B20</f>
        <v xml:space="preserve">YAKUBU ALHAJI ALIYU </v>
      </c>
      <c r="P21" s="78"/>
      <c r="Q21" s="78"/>
      <c r="R21" s="78"/>
      <c r="S21" s="78"/>
      <c r="T21" s="80">
        <f t="shared" si="6"/>
        <v>0</v>
      </c>
      <c r="U21" s="80"/>
      <c r="V21" s="80">
        <f t="shared" si="7"/>
        <v>0</v>
      </c>
      <c r="W21" s="80" t="str">
        <f t="shared" si="8"/>
        <v/>
      </c>
      <c r="X21" s="80" t="str">
        <f t="shared" si="9"/>
        <v/>
      </c>
      <c r="Y21" s="80" t="str">
        <f t="shared" si="10"/>
        <v/>
      </c>
      <c r="Z21" s="11">
        <v>19</v>
      </c>
      <c r="AA21" s="77" t="str">
        <f>Data!B20</f>
        <v xml:space="preserve">YAKUBU ALHAJI ALIYU </v>
      </c>
      <c r="AB21" s="87">
        <v>7</v>
      </c>
      <c r="AC21" s="87">
        <v>7</v>
      </c>
      <c r="AD21" s="87">
        <v>8</v>
      </c>
      <c r="AE21" s="87">
        <v>6</v>
      </c>
      <c r="AF21" s="88">
        <f t="shared" si="11"/>
        <v>28</v>
      </c>
      <c r="AG21" s="87">
        <v>20</v>
      </c>
      <c r="AH21" s="88">
        <f t="shared" si="12"/>
        <v>48</v>
      </c>
      <c r="AI21" s="82">
        <f t="shared" si="13"/>
        <v>36</v>
      </c>
      <c r="AJ21" s="82" t="str">
        <f t="shared" si="14"/>
        <v>D7</v>
      </c>
      <c r="AK21" s="82" t="str">
        <f t="shared" si="15"/>
        <v>Pass</v>
      </c>
      <c r="AL21" s="11">
        <v>19</v>
      </c>
      <c r="AM21" s="77" t="str">
        <f>Data!B20</f>
        <v xml:space="preserve">YAKUBU ALHAJI ALIYU </v>
      </c>
      <c r="AN21" s="87">
        <v>7</v>
      </c>
      <c r="AO21" s="87">
        <v>7</v>
      </c>
      <c r="AP21" s="87">
        <v>8</v>
      </c>
      <c r="AQ21" s="87">
        <v>6</v>
      </c>
      <c r="AR21" s="88">
        <f t="shared" si="16"/>
        <v>28</v>
      </c>
      <c r="AS21" s="87">
        <v>20</v>
      </c>
      <c r="AT21" s="88">
        <f t="shared" si="17"/>
        <v>48</v>
      </c>
      <c r="AU21" s="83">
        <f t="shared" si="18"/>
        <v>36</v>
      </c>
      <c r="AV21" s="83" t="str">
        <f t="shared" si="19"/>
        <v>D7</v>
      </c>
      <c r="AW21" s="83" t="str">
        <f t="shared" si="20"/>
        <v>Pass</v>
      </c>
      <c r="AX21" s="11">
        <v>19</v>
      </c>
      <c r="AY21" s="77" t="str">
        <f>Data!B20</f>
        <v xml:space="preserve">YAKUBU ALHAJI ALIYU </v>
      </c>
      <c r="AZ21" s="87">
        <v>7</v>
      </c>
      <c r="BA21" s="87">
        <v>7</v>
      </c>
      <c r="BB21" s="87">
        <v>8</v>
      </c>
      <c r="BC21" s="87">
        <v>6</v>
      </c>
      <c r="BD21" s="88">
        <f t="shared" si="21"/>
        <v>28</v>
      </c>
      <c r="BE21" s="87">
        <v>20</v>
      </c>
      <c r="BF21" s="88">
        <f t="shared" si="22"/>
        <v>48</v>
      </c>
      <c r="BG21" s="85">
        <f t="shared" si="23"/>
        <v>36</v>
      </c>
      <c r="BH21" s="85" t="str">
        <f t="shared" si="24"/>
        <v>D7</v>
      </c>
      <c r="BI21" s="85" t="str">
        <f t="shared" si="25"/>
        <v>Pass</v>
      </c>
      <c r="BJ21" s="36">
        <v>19</v>
      </c>
      <c r="BK21" s="77" t="str">
        <f>Data!B20</f>
        <v xml:space="preserve">YAKUBU ALHAJI ALIYU </v>
      </c>
      <c r="BL21" s="87">
        <v>7</v>
      </c>
      <c r="BM21" s="87">
        <v>7</v>
      </c>
      <c r="BN21" s="87">
        <v>8</v>
      </c>
      <c r="BO21" s="87">
        <v>6</v>
      </c>
      <c r="BP21" s="88">
        <f t="shared" si="26"/>
        <v>28</v>
      </c>
      <c r="BQ21" s="87">
        <v>20</v>
      </c>
      <c r="BR21" s="88">
        <f t="shared" si="27"/>
        <v>48</v>
      </c>
      <c r="BS21" s="86">
        <f t="shared" si="28"/>
        <v>36</v>
      </c>
      <c r="BT21" s="86" t="str">
        <f t="shared" si="29"/>
        <v>D7</v>
      </c>
      <c r="BU21" s="86" t="str">
        <f t="shared" si="30"/>
        <v>Pass</v>
      </c>
      <c r="BV21">
        <v>19</v>
      </c>
      <c r="BW21" s="77" t="str">
        <f>Data!B20</f>
        <v xml:space="preserve">YAKUBU ALHAJI ALIYU </v>
      </c>
      <c r="BX21" s="87">
        <v>7</v>
      </c>
      <c r="BY21" s="87">
        <v>7</v>
      </c>
      <c r="BZ21" s="87">
        <v>8</v>
      </c>
      <c r="CA21" s="87">
        <v>6</v>
      </c>
      <c r="CB21" s="88">
        <f t="shared" si="31"/>
        <v>28</v>
      </c>
      <c r="CC21" s="87">
        <v>20</v>
      </c>
      <c r="CD21" s="88">
        <f t="shared" si="32"/>
        <v>48</v>
      </c>
      <c r="CE21" s="88">
        <f t="shared" si="33"/>
        <v>36</v>
      </c>
      <c r="CF21" s="88" t="str">
        <f t="shared" si="34"/>
        <v>D7</v>
      </c>
      <c r="CG21" s="88" t="str">
        <f t="shared" si="35"/>
        <v>Pass</v>
      </c>
      <c r="CH21">
        <v>19</v>
      </c>
      <c r="CI21" s="77" t="str">
        <f>Data!B20</f>
        <v xml:space="preserve">YAKUBU ALHAJI ALIYU </v>
      </c>
      <c r="CJ21" s="78"/>
      <c r="CK21" s="78"/>
      <c r="CL21" s="78"/>
      <c r="CM21" s="78"/>
      <c r="CN21" s="89">
        <f t="shared" si="36"/>
        <v>0</v>
      </c>
      <c r="CO21" s="89"/>
      <c r="CP21" s="89">
        <f t="shared" si="37"/>
        <v>0</v>
      </c>
      <c r="CQ21" s="89" t="str">
        <f t="shared" si="38"/>
        <v/>
      </c>
      <c r="CR21" s="89" t="str">
        <f t="shared" si="39"/>
        <v/>
      </c>
      <c r="CS21" s="89" t="str">
        <f t="shared" si="40"/>
        <v/>
      </c>
      <c r="CT21">
        <v>19</v>
      </c>
      <c r="CU21" s="77" t="str">
        <f>Data!B20</f>
        <v xml:space="preserve">YAKUBU ALHAJI ALIYU </v>
      </c>
      <c r="CV21" s="12"/>
      <c r="CW21" s="12"/>
      <c r="CX21" s="12"/>
      <c r="CY21" s="12"/>
      <c r="CZ21" s="90">
        <f t="shared" si="41"/>
        <v>0</v>
      </c>
      <c r="DA21" s="12"/>
      <c r="DB21" s="90">
        <f t="shared" si="42"/>
        <v>0</v>
      </c>
      <c r="DC21" s="90" t="str">
        <f t="shared" si="43"/>
        <v/>
      </c>
      <c r="DD21" s="90" t="str">
        <f t="shared" si="44"/>
        <v/>
      </c>
      <c r="DE21" s="90" t="str">
        <f t="shared" si="45"/>
        <v/>
      </c>
      <c r="DF21">
        <v>19</v>
      </c>
      <c r="DG21" s="77" t="str">
        <f>Data!B20</f>
        <v xml:space="preserve">YAKUBU ALHAJI ALIYU </v>
      </c>
      <c r="DH21" s="78">
        <v>1</v>
      </c>
      <c r="DI21" s="78">
        <v>2</v>
      </c>
      <c r="DJ21" s="78">
        <v>2</v>
      </c>
      <c r="DK21" s="78">
        <v>5</v>
      </c>
      <c r="DL21" s="85">
        <f t="shared" si="46"/>
        <v>10</v>
      </c>
      <c r="DM21" s="84">
        <v>16</v>
      </c>
      <c r="DN21" s="85">
        <f t="shared" si="47"/>
        <v>26</v>
      </c>
      <c r="DO21" s="85">
        <f t="shared" si="48"/>
        <v>7</v>
      </c>
      <c r="DP21" s="85" t="str">
        <f t="shared" si="49"/>
        <v>F</v>
      </c>
      <c r="DQ21" s="85" t="str">
        <f t="shared" si="50"/>
        <v>Fail</v>
      </c>
      <c r="DR21">
        <v>19</v>
      </c>
      <c r="DS21" s="77" t="str">
        <f>Data!B20</f>
        <v xml:space="preserve">YAKUBU ALHAJI ALIYU </v>
      </c>
      <c r="DT21" s="91"/>
      <c r="DU21" s="91"/>
      <c r="DV21" s="91"/>
      <c r="DW21" s="91"/>
      <c r="DX21" s="92">
        <f t="shared" si="51"/>
        <v>0</v>
      </c>
      <c r="DY21" s="93"/>
      <c r="DZ21" s="92">
        <f t="shared" si="52"/>
        <v>0</v>
      </c>
      <c r="EA21" s="92" t="str">
        <f t="shared" si="53"/>
        <v/>
      </c>
      <c r="EB21" s="92" t="str">
        <f t="shared" si="54"/>
        <v/>
      </c>
      <c r="EC21" s="92" t="str">
        <f t="shared" si="55"/>
        <v/>
      </c>
      <c r="ED21">
        <v>19</v>
      </c>
      <c r="EE21" s="77" t="str">
        <f>Data!B20</f>
        <v xml:space="preserve">YAKUBU ALHAJI ALIYU </v>
      </c>
      <c r="EF21" s="78"/>
      <c r="EG21" s="78"/>
      <c r="EH21" s="78"/>
      <c r="EI21" s="78"/>
      <c r="EJ21" s="94">
        <f t="shared" si="56"/>
        <v>0</v>
      </c>
      <c r="EK21" s="94"/>
      <c r="EL21" s="94">
        <f t="shared" si="57"/>
        <v>0</v>
      </c>
      <c r="EM21" s="94" t="str">
        <f t="shared" si="58"/>
        <v/>
      </c>
      <c r="EN21" s="94" t="str">
        <f t="shared" si="59"/>
        <v/>
      </c>
      <c r="EO21" s="94" t="str">
        <f t="shared" si="60"/>
        <v/>
      </c>
      <c r="EP21">
        <v>19</v>
      </c>
      <c r="EQ21" s="95" t="str">
        <f>Data!B20</f>
        <v xml:space="preserve">YAKUBU ALHAJI ALIYU </v>
      </c>
      <c r="ER21" s="78"/>
      <c r="ES21" s="78"/>
      <c r="ET21" s="78"/>
      <c r="EU21" s="78"/>
      <c r="EV21" s="90">
        <f t="shared" si="61"/>
        <v>0</v>
      </c>
      <c r="EW21" s="90"/>
      <c r="EX21" s="90">
        <f t="shared" si="62"/>
        <v>0</v>
      </c>
      <c r="EY21" s="90" t="str">
        <f t="shared" si="63"/>
        <v/>
      </c>
      <c r="EZ21" s="90" t="str">
        <f t="shared" si="64"/>
        <v/>
      </c>
      <c r="FA21" s="90" t="str">
        <f t="shared" si="65"/>
        <v/>
      </c>
      <c r="FB21">
        <v>19</v>
      </c>
      <c r="FC21" s="77" t="str">
        <f>Data!B20</f>
        <v xml:space="preserve">YAKUBU ALHAJI ALIYU </v>
      </c>
      <c r="FD21" s="78"/>
      <c r="FE21" s="78"/>
      <c r="FF21" s="78"/>
      <c r="FG21" s="78"/>
      <c r="FH21" s="96">
        <f t="shared" si="66"/>
        <v>0</v>
      </c>
      <c r="FI21" s="96"/>
      <c r="FJ21" s="96">
        <f t="shared" si="67"/>
        <v>0</v>
      </c>
      <c r="FK21" s="96" t="str">
        <f t="shared" si="68"/>
        <v/>
      </c>
      <c r="FL21" s="96" t="str">
        <f t="shared" si="69"/>
        <v/>
      </c>
      <c r="FM21" s="96" t="str">
        <f t="shared" si="70"/>
        <v/>
      </c>
      <c r="FN21">
        <v>19</v>
      </c>
      <c r="FO21" s="77" t="str">
        <f>Data!B20</f>
        <v xml:space="preserve">YAKUBU ALHAJI ALIYU </v>
      </c>
      <c r="FP21" s="78"/>
      <c r="FQ21" s="78"/>
      <c r="FR21" s="78"/>
      <c r="FS21" s="78"/>
      <c r="FT21" s="97">
        <f t="shared" si="71"/>
        <v>0</v>
      </c>
      <c r="FU21" s="97"/>
      <c r="FV21" s="97">
        <f t="shared" si="72"/>
        <v>0</v>
      </c>
      <c r="FW21" s="97" t="str">
        <f t="shared" si="73"/>
        <v/>
      </c>
      <c r="FX21" s="97" t="str">
        <f t="shared" si="74"/>
        <v/>
      </c>
      <c r="FY21" s="97" t="str">
        <f t="shared" si="75"/>
        <v/>
      </c>
      <c r="FZ21">
        <v>19</v>
      </c>
      <c r="GA21" s="77" t="str">
        <f>Data!B20</f>
        <v xml:space="preserve">YAKUBU ALHAJI ALIYU </v>
      </c>
      <c r="GB21" s="78"/>
      <c r="GC21" s="78"/>
      <c r="GD21" s="78"/>
      <c r="GE21" s="78"/>
      <c r="GF21" s="98">
        <f t="shared" si="76"/>
        <v>0</v>
      </c>
      <c r="GG21" s="98"/>
      <c r="GH21" s="98">
        <f t="shared" si="77"/>
        <v>0</v>
      </c>
      <c r="GI21" s="98" t="str">
        <f t="shared" si="78"/>
        <v/>
      </c>
      <c r="GJ21" s="98" t="str">
        <f t="shared" si="79"/>
        <v/>
      </c>
      <c r="GK21" s="98" t="str">
        <f t="shared" si="80"/>
        <v/>
      </c>
      <c r="GL21">
        <v>19</v>
      </c>
      <c r="GM21" s="77" t="str">
        <f>Data!B20</f>
        <v xml:space="preserve">YAKUBU ALHAJI ALIYU </v>
      </c>
      <c r="GN21" s="99"/>
      <c r="GO21" s="99"/>
      <c r="GP21" s="99"/>
      <c r="GQ21" s="99"/>
      <c r="GR21" s="100">
        <f t="shared" si="81"/>
        <v>0</v>
      </c>
      <c r="GS21" s="99"/>
      <c r="GT21" s="100">
        <f t="shared" si="82"/>
        <v>0</v>
      </c>
      <c r="GU21" s="100" t="str">
        <f t="shared" si="83"/>
        <v/>
      </c>
      <c r="GV21" s="100" t="str">
        <f t="shared" si="84"/>
        <v/>
      </c>
      <c r="GW21" s="100" t="str">
        <f t="shared" si="85"/>
        <v/>
      </c>
      <c r="GX21">
        <v>19</v>
      </c>
      <c r="GY21" s="77" t="str">
        <f>Data!B20</f>
        <v xml:space="preserve">YAKUBU ALHAJI ALIYU </v>
      </c>
      <c r="GZ21" s="78"/>
      <c r="HA21" s="78"/>
      <c r="HB21" s="78"/>
      <c r="HC21" s="78"/>
      <c r="HD21" s="86">
        <f t="shared" si="86"/>
        <v>0</v>
      </c>
      <c r="HE21" s="86"/>
      <c r="HF21" s="86">
        <f t="shared" si="87"/>
        <v>0</v>
      </c>
      <c r="HG21" s="86" t="str">
        <f t="shared" si="88"/>
        <v/>
      </c>
      <c r="HH21" s="86" t="str">
        <f t="shared" si="89"/>
        <v/>
      </c>
      <c r="HI21" s="86" t="str">
        <f t="shared" si="90"/>
        <v/>
      </c>
      <c r="HJ21">
        <v>19</v>
      </c>
      <c r="HK21" s="77" t="str">
        <f>Data!B20</f>
        <v xml:space="preserve">YAKUBU ALHAJI ALIYU </v>
      </c>
      <c r="HL21" s="111"/>
      <c r="HM21" s="112"/>
      <c r="HN21" s="112"/>
      <c r="HO21" s="112"/>
      <c r="HP21" s="103">
        <f t="shared" si="91"/>
        <v>0</v>
      </c>
      <c r="HQ21" s="111"/>
      <c r="HR21" s="103">
        <f t="shared" si="92"/>
        <v>0</v>
      </c>
      <c r="HS21" s="103" t="str">
        <f t="shared" si="93"/>
        <v/>
      </c>
      <c r="HT21" s="103" t="str">
        <f t="shared" si="94"/>
        <v/>
      </c>
      <c r="HU21" s="103" t="str">
        <f t="shared" si="95"/>
        <v/>
      </c>
      <c r="HV21">
        <v>19</v>
      </c>
      <c r="HW21" s="77" t="str">
        <f>Data!B20</f>
        <v xml:space="preserve">YAKUBU ALHAJI ALIYU </v>
      </c>
      <c r="HX21" s="78"/>
      <c r="HY21" s="78"/>
      <c r="HZ21" s="78"/>
      <c r="IA21" s="78"/>
      <c r="IB21" s="85">
        <f t="shared" si="96"/>
        <v>0</v>
      </c>
      <c r="IC21" s="85"/>
      <c r="ID21" s="85">
        <f t="shared" si="97"/>
        <v>0</v>
      </c>
      <c r="IE21" s="85" t="str">
        <f t="shared" si="98"/>
        <v/>
      </c>
      <c r="IF21" s="85" t="str">
        <f t="shared" si="99"/>
        <v/>
      </c>
      <c r="IG21" s="85" t="str">
        <f t="shared" si="100"/>
        <v/>
      </c>
      <c r="IH21">
        <v>19</v>
      </c>
      <c r="II21" s="77" t="str">
        <f>Data!B20</f>
        <v xml:space="preserve">YAKUBU ALHAJI ALIYU </v>
      </c>
      <c r="IJ21" s="78"/>
      <c r="IK21" s="78"/>
      <c r="IL21" s="78"/>
      <c r="IM21" s="78"/>
      <c r="IN21" s="104">
        <f t="shared" si="101"/>
        <v>0</v>
      </c>
      <c r="IO21" s="104"/>
      <c r="IP21" s="104">
        <f t="shared" si="102"/>
        <v>0</v>
      </c>
      <c r="IQ21" s="104" t="str">
        <f t="shared" si="103"/>
        <v/>
      </c>
      <c r="IR21" s="104" t="str">
        <f t="shared" si="104"/>
        <v/>
      </c>
      <c r="IS21" s="104" t="str">
        <f t="shared" si="105"/>
        <v/>
      </c>
      <c r="IT21">
        <v>19</v>
      </c>
      <c r="IU21" s="77" t="str">
        <f t="shared" si="106"/>
        <v xml:space="preserve">YAKUBU ALHAJI ALIYU </v>
      </c>
      <c r="IV21" s="105"/>
      <c r="IW21" s="105"/>
      <c r="IX21" s="105"/>
      <c r="IY21" s="105"/>
      <c r="IZ21" s="98">
        <f t="shared" si="107"/>
        <v>0</v>
      </c>
      <c r="JA21" s="105"/>
      <c r="JB21" s="98">
        <f t="shared" si="108"/>
        <v>0</v>
      </c>
      <c r="JC21" s="98" t="str">
        <f t="shared" si="109"/>
        <v/>
      </c>
      <c r="JD21" s="98" t="str">
        <f t="shared" si="110"/>
        <v/>
      </c>
      <c r="JE21" s="98" t="str">
        <f t="shared" si="111"/>
        <v/>
      </c>
      <c r="JF21">
        <v>19</v>
      </c>
      <c r="JG21" s="77" t="str">
        <f t="shared" si="112"/>
        <v xml:space="preserve">YAKUBU ALHAJI ALIYU </v>
      </c>
      <c r="JH21" s="114"/>
      <c r="JI21" s="114"/>
      <c r="JJ21" s="114"/>
      <c r="JK21" s="114"/>
      <c r="JL21" s="82">
        <f t="shared" si="113"/>
        <v>0</v>
      </c>
      <c r="JM21" s="114"/>
      <c r="JN21" s="82">
        <f t="shared" si="114"/>
        <v>0</v>
      </c>
      <c r="JO21" s="82" t="str">
        <f t="shared" si="115"/>
        <v/>
      </c>
      <c r="JP21" s="82" t="str">
        <f t="shared" si="116"/>
        <v/>
      </c>
      <c r="JQ21" s="82" t="str">
        <f t="shared" si="117"/>
        <v/>
      </c>
      <c r="JR21">
        <v>19</v>
      </c>
      <c r="JS21" s="77" t="str">
        <f t="shared" si="118"/>
        <v xml:space="preserve">YAKUBU ALHAJI ALIYU </v>
      </c>
      <c r="JT21" s="107"/>
      <c r="JU21" s="107"/>
      <c r="JV21" s="107"/>
      <c r="JW21" s="107"/>
      <c r="JX21" s="80">
        <f t="shared" si="119"/>
        <v>0</v>
      </c>
      <c r="JY21" s="108"/>
      <c r="JZ21" s="80">
        <f t="shared" si="0"/>
        <v>0</v>
      </c>
      <c r="KA21" s="80" t="str">
        <f t="shared" si="120"/>
        <v/>
      </c>
      <c r="KB21" s="80" t="str">
        <f t="shared" si="121"/>
        <v/>
      </c>
      <c r="KC21" s="80" t="str">
        <f t="shared" si="122"/>
        <v/>
      </c>
      <c r="KE21" s="16"/>
      <c r="KF21" s="16"/>
      <c r="KG21" s="16"/>
      <c r="KH21" s="16"/>
      <c r="KI21" s="16"/>
      <c r="KJ21" s="16"/>
      <c r="KK21" s="16"/>
      <c r="KL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</row>
    <row r="22" spans="1:309" ht="23.25">
      <c r="A22" s="17">
        <v>20</v>
      </c>
      <c r="B22" s="186">
        <v>20</v>
      </c>
      <c r="C22" s="77" t="str">
        <f>Data!B21</f>
        <v xml:space="preserve">ABBA AISHA YUSUF </v>
      </c>
      <c r="D22" s="87">
        <v>6</v>
      </c>
      <c r="E22" s="87">
        <v>4</v>
      </c>
      <c r="F22" s="87">
        <v>5</v>
      </c>
      <c r="G22" s="87">
        <v>6</v>
      </c>
      <c r="H22" s="88">
        <f t="shared" si="1"/>
        <v>21</v>
      </c>
      <c r="I22" s="87">
        <v>36</v>
      </c>
      <c r="J22" s="88">
        <f t="shared" si="2"/>
        <v>57</v>
      </c>
      <c r="K22" s="79">
        <f t="shared" si="3"/>
        <v>23</v>
      </c>
      <c r="L22" s="79" t="str">
        <f t="shared" si="4"/>
        <v>C5</v>
      </c>
      <c r="M22" s="79" t="str">
        <f t="shared" si="5"/>
        <v>Credit</v>
      </c>
      <c r="N22" s="17">
        <v>20</v>
      </c>
      <c r="O22" s="77" t="str">
        <f>Data!B21</f>
        <v xml:space="preserve">ABBA AISHA YUSUF </v>
      </c>
      <c r="P22" s="78"/>
      <c r="Q22" s="78"/>
      <c r="R22" s="78"/>
      <c r="S22" s="78"/>
      <c r="T22" s="80">
        <f t="shared" si="6"/>
        <v>0</v>
      </c>
      <c r="U22" s="80"/>
      <c r="V22" s="80">
        <f t="shared" si="7"/>
        <v>0</v>
      </c>
      <c r="W22" s="80" t="str">
        <f t="shared" si="8"/>
        <v/>
      </c>
      <c r="X22" s="80" t="str">
        <f t="shared" si="9"/>
        <v/>
      </c>
      <c r="Y22" s="80" t="str">
        <f t="shared" si="10"/>
        <v/>
      </c>
      <c r="Z22" s="11">
        <v>20</v>
      </c>
      <c r="AA22" s="77" t="str">
        <f>Data!B21</f>
        <v xml:space="preserve">ABBA AISHA YUSUF </v>
      </c>
      <c r="AB22" s="87">
        <v>6</v>
      </c>
      <c r="AC22" s="87">
        <v>4</v>
      </c>
      <c r="AD22" s="87">
        <v>5</v>
      </c>
      <c r="AE22" s="87">
        <v>6</v>
      </c>
      <c r="AF22" s="88">
        <f t="shared" si="11"/>
        <v>21</v>
      </c>
      <c r="AG22" s="87">
        <v>36</v>
      </c>
      <c r="AH22" s="88">
        <f t="shared" si="12"/>
        <v>57</v>
      </c>
      <c r="AI22" s="82">
        <f t="shared" si="13"/>
        <v>23</v>
      </c>
      <c r="AJ22" s="82" t="str">
        <f t="shared" si="14"/>
        <v>C5</v>
      </c>
      <c r="AK22" s="82" t="str">
        <f t="shared" si="15"/>
        <v>Credit</v>
      </c>
      <c r="AL22" s="11">
        <v>20</v>
      </c>
      <c r="AM22" s="77" t="str">
        <f>Data!B21</f>
        <v xml:space="preserve">ABBA AISHA YUSUF </v>
      </c>
      <c r="AN22" s="87">
        <v>6</v>
      </c>
      <c r="AO22" s="87">
        <v>4</v>
      </c>
      <c r="AP22" s="87">
        <v>5</v>
      </c>
      <c r="AQ22" s="87">
        <v>6</v>
      </c>
      <c r="AR22" s="88">
        <f t="shared" si="16"/>
        <v>21</v>
      </c>
      <c r="AS22" s="87">
        <v>36</v>
      </c>
      <c r="AT22" s="88">
        <f t="shared" si="17"/>
        <v>57</v>
      </c>
      <c r="AU22" s="83">
        <f t="shared" si="18"/>
        <v>23</v>
      </c>
      <c r="AV22" s="83" t="str">
        <f t="shared" si="19"/>
        <v>C5</v>
      </c>
      <c r="AW22" s="83" t="str">
        <f t="shared" si="20"/>
        <v>Credit</v>
      </c>
      <c r="AX22" s="11">
        <v>20</v>
      </c>
      <c r="AY22" s="77" t="str">
        <f>Data!B21</f>
        <v xml:space="preserve">ABBA AISHA YUSUF </v>
      </c>
      <c r="AZ22" s="87">
        <v>6</v>
      </c>
      <c r="BA22" s="87">
        <v>4</v>
      </c>
      <c r="BB22" s="87">
        <v>5</v>
      </c>
      <c r="BC22" s="87">
        <v>6</v>
      </c>
      <c r="BD22" s="88">
        <f t="shared" si="21"/>
        <v>21</v>
      </c>
      <c r="BE22" s="87">
        <v>36</v>
      </c>
      <c r="BF22" s="88">
        <f t="shared" si="22"/>
        <v>57</v>
      </c>
      <c r="BG22" s="85">
        <f t="shared" si="23"/>
        <v>23</v>
      </c>
      <c r="BH22" s="85" t="str">
        <f t="shared" si="24"/>
        <v>C5</v>
      </c>
      <c r="BI22" s="85" t="str">
        <f t="shared" si="25"/>
        <v>Credit</v>
      </c>
      <c r="BJ22" s="36">
        <v>20</v>
      </c>
      <c r="BK22" s="77" t="str">
        <f>Data!B21</f>
        <v xml:space="preserve">ABBA AISHA YUSUF </v>
      </c>
      <c r="BL22" s="87">
        <v>6</v>
      </c>
      <c r="BM22" s="87">
        <v>4</v>
      </c>
      <c r="BN22" s="87">
        <v>5</v>
      </c>
      <c r="BO22" s="87">
        <v>6</v>
      </c>
      <c r="BP22" s="88">
        <f t="shared" si="26"/>
        <v>21</v>
      </c>
      <c r="BQ22" s="87">
        <v>36</v>
      </c>
      <c r="BR22" s="88">
        <f t="shared" si="27"/>
        <v>57</v>
      </c>
      <c r="BS22" s="86">
        <f t="shared" si="28"/>
        <v>23</v>
      </c>
      <c r="BT22" s="86" t="str">
        <f t="shared" si="29"/>
        <v>C5</v>
      </c>
      <c r="BU22" s="86" t="str">
        <f t="shared" si="30"/>
        <v>Credit</v>
      </c>
      <c r="BV22">
        <v>20</v>
      </c>
      <c r="BW22" s="77" t="str">
        <f>Data!B21</f>
        <v xml:space="preserve">ABBA AISHA YUSUF </v>
      </c>
      <c r="BX22" s="87">
        <v>6</v>
      </c>
      <c r="BY22" s="87">
        <v>4</v>
      </c>
      <c r="BZ22" s="87">
        <v>5</v>
      </c>
      <c r="CA22" s="87">
        <v>6</v>
      </c>
      <c r="CB22" s="88">
        <f t="shared" si="31"/>
        <v>21</v>
      </c>
      <c r="CC22" s="87">
        <v>36</v>
      </c>
      <c r="CD22" s="88">
        <f t="shared" si="32"/>
        <v>57</v>
      </c>
      <c r="CE22" s="88">
        <f t="shared" si="33"/>
        <v>23</v>
      </c>
      <c r="CF22" s="88" t="str">
        <f t="shared" si="34"/>
        <v>C5</v>
      </c>
      <c r="CG22" s="88" t="str">
        <f t="shared" si="35"/>
        <v>Credit</v>
      </c>
      <c r="CH22">
        <v>20</v>
      </c>
      <c r="CI22" s="77" t="str">
        <f>Data!B21</f>
        <v xml:space="preserve">ABBA AISHA YUSUF </v>
      </c>
      <c r="CJ22" s="78"/>
      <c r="CK22" s="78"/>
      <c r="CL22" s="78"/>
      <c r="CM22" s="78"/>
      <c r="CN22" s="89">
        <f t="shared" si="36"/>
        <v>0</v>
      </c>
      <c r="CO22" s="89"/>
      <c r="CP22" s="89">
        <f t="shared" si="37"/>
        <v>0</v>
      </c>
      <c r="CQ22" s="89" t="str">
        <f t="shared" si="38"/>
        <v/>
      </c>
      <c r="CR22" s="89" t="str">
        <f t="shared" si="39"/>
        <v/>
      </c>
      <c r="CS22" s="89" t="str">
        <f t="shared" si="40"/>
        <v/>
      </c>
      <c r="CT22">
        <v>20</v>
      </c>
      <c r="CU22" s="77" t="str">
        <f>Data!B21</f>
        <v xml:space="preserve">ABBA AISHA YUSUF </v>
      </c>
      <c r="CV22" s="12"/>
      <c r="CW22" s="12"/>
      <c r="CX22" s="12"/>
      <c r="CY22" s="12"/>
      <c r="CZ22" s="90">
        <f t="shared" si="41"/>
        <v>0</v>
      </c>
      <c r="DA22" s="12"/>
      <c r="DB22" s="90">
        <f t="shared" si="42"/>
        <v>0</v>
      </c>
      <c r="DC22" s="90" t="str">
        <f t="shared" si="43"/>
        <v/>
      </c>
      <c r="DD22" s="90" t="str">
        <f t="shared" si="44"/>
        <v/>
      </c>
      <c r="DE22" s="90" t="str">
        <f t="shared" si="45"/>
        <v/>
      </c>
      <c r="DF22">
        <v>20</v>
      </c>
      <c r="DG22" s="77" t="str">
        <f>Data!B21</f>
        <v xml:space="preserve">ABBA AISHA YUSUF </v>
      </c>
      <c r="DH22" s="78"/>
      <c r="DI22" s="78"/>
      <c r="DJ22" s="78"/>
      <c r="DK22" s="78"/>
      <c r="DL22" s="85">
        <f t="shared" si="46"/>
        <v>0</v>
      </c>
      <c r="DM22" s="84"/>
      <c r="DN22" s="85">
        <f t="shared" si="47"/>
        <v>0</v>
      </c>
      <c r="DO22" s="85" t="str">
        <f t="shared" si="48"/>
        <v/>
      </c>
      <c r="DP22" s="85" t="str">
        <f t="shared" si="49"/>
        <v/>
      </c>
      <c r="DQ22" s="85" t="str">
        <f t="shared" si="50"/>
        <v/>
      </c>
      <c r="DR22">
        <v>20</v>
      </c>
      <c r="DS22" s="77" t="str">
        <f>Data!B21</f>
        <v xml:space="preserve">ABBA AISHA YUSUF </v>
      </c>
      <c r="DT22" s="91"/>
      <c r="DU22" s="91"/>
      <c r="DV22" s="91"/>
      <c r="DW22" s="91"/>
      <c r="DX22" s="92">
        <f t="shared" si="51"/>
        <v>0</v>
      </c>
      <c r="DY22" s="93"/>
      <c r="DZ22" s="92">
        <f t="shared" si="52"/>
        <v>0</v>
      </c>
      <c r="EA22" s="92" t="str">
        <f t="shared" si="53"/>
        <v/>
      </c>
      <c r="EB22" s="92" t="str">
        <f t="shared" si="54"/>
        <v/>
      </c>
      <c r="EC22" s="92" t="str">
        <f t="shared" si="55"/>
        <v/>
      </c>
      <c r="ED22">
        <v>20</v>
      </c>
      <c r="EE22" s="77" t="str">
        <f>Data!B21</f>
        <v xml:space="preserve">ABBA AISHA YUSUF </v>
      </c>
      <c r="EF22" s="78"/>
      <c r="EG22" s="78"/>
      <c r="EH22" s="78"/>
      <c r="EI22" s="78"/>
      <c r="EJ22" s="94">
        <f t="shared" si="56"/>
        <v>0</v>
      </c>
      <c r="EK22" s="94"/>
      <c r="EL22" s="94">
        <f t="shared" si="57"/>
        <v>0</v>
      </c>
      <c r="EM22" s="94" t="str">
        <f t="shared" si="58"/>
        <v/>
      </c>
      <c r="EN22" s="94" t="str">
        <f t="shared" si="59"/>
        <v/>
      </c>
      <c r="EO22" s="94" t="str">
        <f t="shared" si="60"/>
        <v/>
      </c>
      <c r="EP22">
        <v>20</v>
      </c>
      <c r="EQ22" s="95" t="str">
        <f>Data!B21</f>
        <v xml:space="preserve">ABBA AISHA YUSUF </v>
      </c>
      <c r="ER22" s="78"/>
      <c r="ES22" s="78"/>
      <c r="ET22" s="78"/>
      <c r="EU22" s="78"/>
      <c r="EV22" s="90">
        <f t="shared" si="61"/>
        <v>0</v>
      </c>
      <c r="EW22" s="90"/>
      <c r="EX22" s="90">
        <f t="shared" si="62"/>
        <v>0</v>
      </c>
      <c r="EY22" s="90" t="str">
        <f t="shared" si="63"/>
        <v/>
      </c>
      <c r="EZ22" s="90" t="str">
        <f t="shared" si="64"/>
        <v/>
      </c>
      <c r="FA22" s="90" t="str">
        <f t="shared" si="65"/>
        <v/>
      </c>
      <c r="FB22">
        <v>20</v>
      </c>
      <c r="FC22" s="77" t="str">
        <f>Data!B21</f>
        <v xml:space="preserve">ABBA AISHA YUSUF </v>
      </c>
      <c r="FD22" s="78"/>
      <c r="FE22" s="78"/>
      <c r="FF22" s="78"/>
      <c r="FG22" s="78"/>
      <c r="FH22" s="96">
        <f t="shared" si="66"/>
        <v>0</v>
      </c>
      <c r="FI22" s="96"/>
      <c r="FJ22" s="96">
        <f t="shared" si="67"/>
        <v>0</v>
      </c>
      <c r="FK22" s="96" t="str">
        <f t="shared" si="68"/>
        <v/>
      </c>
      <c r="FL22" s="96" t="str">
        <f t="shared" si="69"/>
        <v/>
      </c>
      <c r="FM22" s="96" t="str">
        <f t="shared" si="70"/>
        <v/>
      </c>
      <c r="FN22">
        <v>20</v>
      </c>
      <c r="FO22" s="77" t="str">
        <f>Data!B21</f>
        <v xml:space="preserve">ABBA AISHA YUSUF </v>
      </c>
      <c r="FP22" s="78"/>
      <c r="FQ22" s="78"/>
      <c r="FR22" s="78"/>
      <c r="FS22" s="78"/>
      <c r="FT22" s="97">
        <f t="shared" si="71"/>
        <v>0</v>
      </c>
      <c r="FU22" s="97"/>
      <c r="FV22" s="97">
        <f t="shared" si="72"/>
        <v>0</v>
      </c>
      <c r="FW22" s="97" t="str">
        <f t="shared" si="73"/>
        <v/>
      </c>
      <c r="FX22" s="97" t="str">
        <f t="shared" si="74"/>
        <v/>
      </c>
      <c r="FY22" s="97" t="str">
        <f t="shared" si="75"/>
        <v/>
      </c>
      <c r="FZ22">
        <v>20</v>
      </c>
      <c r="GA22" s="77" t="str">
        <f>Data!B21</f>
        <v xml:space="preserve">ABBA AISHA YUSUF </v>
      </c>
      <c r="GB22" s="78"/>
      <c r="GC22" s="78"/>
      <c r="GD22" s="78"/>
      <c r="GE22" s="78"/>
      <c r="GF22" s="98">
        <f t="shared" si="76"/>
        <v>0</v>
      </c>
      <c r="GG22" s="98"/>
      <c r="GH22" s="98">
        <f t="shared" si="77"/>
        <v>0</v>
      </c>
      <c r="GI22" s="98" t="str">
        <f t="shared" si="78"/>
        <v/>
      </c>
      <c r="GJ22" s="98" t="str">
        <f t="shared" si="79"/>
        <v/>
      </c>
      <c r="GK22" s="98" t="str">
        <f t="shared" si="80"/>
        <v/>
      </c>
      <c r="GL22">
        <v>20</v>
      </c>
      <c r="GM22" s="77" t="str">
        <f>Data!B21</f>
        <v xml:space="preserve">ABBA AISHA YUSUF </v>
      </c>
      <c r="GN22" s="99"/>
      <c r="GO22" s="99"/>
      <c r="GP22" s="99"/>
      <c r="GQ22" s="99"/>
      <c r="GR22" s="100">
        <f t="shared" si="81"/>
        <v>0</v>
      </c>
      <c r="GS22" s="99"/>
      <c r="GT22" s="100">
        <f t="shared" si="82"/>
        <v>0</v>
      </c>
      <c r="GU22" s="100" t="str">
        <f t="shared" si="83"/>
        <v/>
      </c>
      <c r="GV22" s="100" t="str">
        <f t="shared" si="84"/>
        <v/>
      </c>
      <c r="GW22" s="100" t="str">
        <f t="shared" si="85"/>
        <v/>
      </c>
      <c r="GX22">
        <v>20</v>
      </c>
      <c r="GY22" s="77" t="str">
        <f>Data!B21</f>
        <v xml:space="preserve">ABBA AISHA YUSUF </v>
      </c>
      <c r="GZ22" s="78"/>
      <c r="HA22" s="78"/>
      <c r="HB22" s="78"/>
      <c r="HC22" s="78"/>
      <c r="HD22" s="86">
        <f t="shared" si="86"/>
        <v>0</v>
      </c>
      <c r="HE22" s="86"/>
      <c r="HF22" s="86">
        <f t="shared" si="87"/>
        <v>0</v>
      </c>
      <c r="HG22" s="86" t="str">
        <f t="shared" si="88"/>
        <v/>
      </c>
      <c r="HH22" s="86" t="str">
        <f t="shared" si="89"/>
        <v/>
      </c>
      <c r="HI22" s="86" t="str">
        <f t="shared" si="90"/>
        <v/>
      </c>
      <c r="HJ22">
        <v>20</v>
      </c>
      <c r="HK22" s="77" t="str">
        <f>Data!B21</f>
        <v xml:space="preserve">ABBA AISHA YUSUF </v>
      </c>
      <c r="HL22" s="111">
        <v>6</v>
      </c>
      <c r="HM22" s="112">
        <v>9</v>
      </c>
      <c r="HN22" s="112">
        <v>8</v>
      </c>
      <c r="HO22" s="112">
        <v>8</v>
      </c>
      <c r="HP22" s="103">
        <f t="shared" si="91"/>
        <v>31</v>
      </c>
      <c r="HQ22" s="111"/>
      <c r="HR22" s="103">
        <f t="shared" si="92"/>
        <v>31</v>
      </c>
      <c r="HS22" s="103">
        <f t="shared" si="93"/>
        <v>13</v>
      </c>
      <c r="HT22" s="103" t="str">
        <f t="shared" si="94"/>
        <v>F</v>
      </c>
      <c r="HU22" s="103" t="str">
        <f t="shared" si="95"/>
        <v>Fail</v>
      </c>
      <c r="HV22">
        <v>20</v>
      </c>
      <c r="HW22" s="77" t="str">
        <f>Data!B21</f>
        <v xml:space="preserve">ABBA AISHA YUSUF </v>
      </c>
      <c r="HX22" s="78"/>
      <c r="HY22" s="78"/>
      <c r="HZ22" s="78"/>
      <c r="IA22" s="78"/>
      <c r="IB22" s="85">
        <f t="shared" si="96"/>
        <v>0</v>
      </c>
      <c r="IC22" s="85"/>
      <c r="ID22" s="85">
        <f t="shared" si="97"/>
        <v>0</v>
      </c>
      <c r="IE22" s="85" t="str">
        <f t="shared" si="98"/>
        <v/>
      </c>
      <c r="IF22" s="85" t="str">
        <f t="shared" si="99"/>
        <v/>
      </c>
      <c r="IG22" s="85" t="str">
        <f t="shared" si="100"/>
        <v/>
      </c>
      <c r="IH22">
        <v>20</v>
      </c>
      <c r="II22" s="77" t="str">
        <f>Data!B21</f>
        <v xml:space="preserve">ABBA AISHA YUSUF </v>
      </c>
      <c r="IJ22" s="78"/>
      <c r="IK22" s="78"/>
      <c r="IL22" s="78"/>
      <c r="IM22" s="78"/>
      <c r="IN22" s="104">
        <f t="shared" si="101"/>
        <v>0</v>
      </c>
      <c r="IO22" s="104"/>
      <c r="IP22" s="104">
        <f t="shared" si="102"/>
        <v>0</v>
      </c>
      <c r="IQ22" s="104" t="str">
        <f t="shared" si="103"/>
        <v/>
      </c>
      <c r="IR22" s="104" t="str">
        <f t="shared" si="104"/>
        <v/>
      </c>
      <c r="IS22" s="104" t="str">
        <f t="shared" si="105"/>
        <v/>
      </c>
      <c r="IT22">
        <v>20</v>
      </c>
      <c r="IU22" s="77" t="str">
        <f t="shared" si="106"/>
        <v xml:space="preserve">ABBA AISHA YUSUF </v>
      </c>
      <c r="IV22" s="105"/>
      <c r="IW22" s="105"/>
      <c r="IX22" s="105"/>
      <c r="IY22" s="105"/>
      <c r="IZ22" s="98">
        <f t="shared" si="107"/>
        <v>0</v>
      </c>
      <c r="JA22" s="105"/>
      <c r="JB22" s="98">
        <f t="shared" si="108"/>
        <v>0</v>
      </c>
      <c r="JC22" s="98" t="str">
        <f t="shared" si="109"/>
        <v/>
      </c>
      <c r="JD22" s="98" t="str">
        <f t="shared" si="110"/>
        <v/>
      </c>
      <c r="JE22" s="98" t="str">
        <f t="shared" si="111"/>
        <v/>
      </c>
      <c r="JF22">
        <v>20</v>
      </c>
      <c r="JG22" s="77" t="str">
        <f t="shared" si="112"/>
        <v xml:space="preserve">ABBA AISHA YUSUF </v>
      </c>
      <c r="JH22" s="114"/>
      <c r="JI22" s="114"/>
      <c r="JJ22" s="114"/>
      <c r="JK22" s="114"/>
      <c r="JL22" s="82">
        <f t="shared" si="113"/>
        <v>0</v>
      </c>
      <c r="JM22" s="114"/>
      <c r="JN22" s="82">
        <f t="shared" si="114"/>
        <v>0</v>
      </c>
      <c r="JO22" s="82" t="str">
        <f t="shared" si="115"/>
        <v/>
      </c>
      <c r="JP22" s="82" t="str">
        <f t="shared" si="116"/>
        <v/>
      </c>
      <c r="JQ22" s="82" t="str">
        <f t="shared" si="117"/>
        <v/>
      </c>
      <c r="JR22">
        <v>20</v>
      </c>
      <c r="JS22" s="77" t="str">
        <f t="shared" si="118"/>
        <v xml:space="preserve">ABBA AISHA YUSUF </v>
      </c>
      <c r="JT22" s="107"/>
      <c r="JU22" s="107"/>
      <c r="JV22" s="107"/>
      <c r="JW22" s="107"/>
      <c r="JX22" s="80">
        <f t="shared" si="119"/>
        <v>0</v>
      </c>
      <c r="JY22" s="108"/>
      <c r="JZ22" s="80">
        <f t="shared" si="0"/>
        <v>0</v>
      </c>
      <c r="KA22" s="80" t="str">
        <f t="shared" si="120"/>
        <v/>
      </c>
      <c r="KB22" s="80" t="str">
        <f t="shared" si="121"/>
        <v/>
      </c>
      <c r="KC22" s="80" t="str">
        <f t="shared" si="122"/>
        <v/>
      </c>
      <c r="KE22" s="16"/>
      <c r="KF22" s="16"/>
      <c r="KG22" s="16"/>
      <c r="KH22" s="16"/>
      <c r="KI22" s="16"/>
      <c r="KJ22" s="16"/>
      <c r="KK22" s="16"/>
      <c r="KL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</row>
    <row r="23" spans="1:309" ht="23.25">
      <c r="A23" s="17">
        <v>21</v>
      </c>
      <c r="B23" s="186">
        <v>21</v>
      </c>
      <c r="C23" s="77" t="str">
        <f>Data!B22</f>
        <v xml:space="preserve">ABEDNEGO JOSEPH JANICE </v>
      </c>
      <c r="D23" s="87">
        <v>4</v>
      </c>
      <c r="E23" s="87">
        <v>7</v>
      </c>
      <c r="F23" s="87">
        <v>7</v>
      </c>
      <c r="G23" s="87">
        <v>5</v>
      </c>
      <c r="H23" s="88">
        <f t="shared" si="1"/>
        <v>23</v>
      </c>
      <c r="I23" s="87">
        <v>25</v>
      </c>
      <c r="J23" s="88">
        <f t="shared" si="2"/>
        <v>48</v>
      </c>
      <c r="K23" s="79">
        <f t="shared" si="3"/>
        <v>36</v>
      </c>
      <c r="L23" s="79" t="str">
        <f t="shared" si="4"/>
        <v>D7</v>
      </c>
      <c r="M23" s="79" t="str">
        <f t="shared" si="5"/>
        <v>Pass</v>
      </c>
      <c r="N23" s="17">
        <v>21</v>
      </c>
      <c r="O23" s="77" t="str">
        <f>Data!B22</f>
        <v xml:space="preserve">ABEDNEGO JOSEPH JANICE </v>
      </c>
      <c r="P23" s="78"/>
      <c r="Q23" s="78"/>
      <c r="R23" s="78"/>
      <c r="S23" s="78"/>
      <c r="T23" s="80">
        <f t="shared" si="6"/>
        <v>0</v>
      </c>
      <c r="U23" s="80"/>
      <c r="V23" s="80">
        <f t="shared" si="7"/>
        <v>0</v>
      </c>
      <c r="W23" s="80" t="str">
        <f t="shared" si="8"/>
        <v/>
      </c>
      <c r="X23" s="80" t="str">
        <f t="shared" si="9"/>
        <v/>
      </c>
      <c r="Y23" s="80" t="str">
        <f t="shared" si="10"/>
        <v/>
      </c>
      <c r="Z23" s="11">
        <v>21</v>
      </c>
      <c r="AA23" s="77" t="str">
        <f>Data!B22</f>
        <v xml:space="preserve">ABEDNEGO JOSEPH JANICE </v>
      </c>
      <c r="AB23" s="87">
        <v>4</v>
      </c>
      <c r="AC23" s="87">
        <v>7</v>
      </c>
      <c r="AD23" s="87">
        <v>7</v>
      </c>
      <c r="AE23" s="87">
        <v>5</v>
      </c>
      <c r="AF23" s="88">
        <f t="shared" si="11"/>
        <v>23</v>
      </c>
      <c r="AG23" s="87">
        <v>25</v>
      </c>
      <c r="AH23" s="88">
        <f t="shared" si="12"/>
        <v>48</v>
      </c>
      <c r="AI23" s="82">
        <f t="shared" si="13"/>
        <v>36</v>
      </c>
      <c r="AJ23" s="82" t="str">
        <f t="shared" si="14"/>
        <v>D7</v>
      </c>
      <c r="AK23" s="82" t="str">
        <f t="shared" si="15"/>
        <v>Pass</v>
      </c>
      <c r="AL23" s="11">
        <v>21</v>
      </c>
      <c r="AM23" s="77" t="str">
        <f>Data!B22</f>
        <v xml:space="preserve">ABEDNEGO JOSEPH JANICE </v>
      </c>
      <c r="AN23" s="87">
        <v>4</v>
      </c>
      <c r="AO23" s="87">
        <v>7</v>
      </c>
      <c r="AP23" s="87">
        <v>7</v>
      </c>
      <c r="AQ23" s="87">
        <v>5</v>
      </c>
      <c r="AR23" s="88">
        <f t="shared" si="16"/>
        <v>23</v>
      </c>
      <c r="AS23" s="87">
        <v>25</v>
      </c>
      <c r="AT23" s="88">
        <f t="shared" si="17"/>
        <v>48</v>
      </c>
      <c r="AU23" s="83">
        <f t="shared" si="18"/>
        <v>36</v>
      </c>
      <c r="AV23" s="83" t="str">
        <f t="shared" si="19"/>
        <v>D7</v>
      </c>
      <c r="AW23" s="83" t="str">
        <f t="shared" si="20"/>
        <v>Pass</v>
      </c>
      <c r="AX23" s="11">
        <v>21</v>
      </c>
      <c r="AY23" s="77" t="str">
        <f>Data!B22</f>
        <v xml:space="preserve">ABEDNEGO JOSEPH JANICE </v>
      </c>
      <c r="AZ23" s="87">
        <v>4</v>
      </c>
      <c r="BA23" s="87">
        <v>7</v>
      </c>
      <c r="BB23" s="87">
        <v>7</v>
      </c>
      <c r="BC23" s="87">
        <v>5</v>
      </c>
      <c r="BD23" s="88">
        <f t="shared" si="21"/>
        <v>23</v>
      </c>
      <c r="BE23" s="87">
        <v>25</v>
      </c>
      <c r="BF23" s="88">
        <f t="shared" si="22"/>
        <v>48</v>
      </c>
      <c r="BG23" s="85">
        <f t="shared" si="23"/>
        <v>36</v>
      </c>
      <c r="BH23" s="85" t="str">
        <f t="shared" si="24"/>
        <v>D7</v>
      </c>
      <c r="BI23" s="85" t="str">
        <f t="shared" si="25"/>
        <v>Pass</v>
      </c>
      <c r="BJ23" s="36">
        <v>21</v>
      </c>
      <c r="BK23" s="77" t="str">
        <f>Data!B22</f>
        <v xml:space="preserve">ABEDNEGO JOSEPH JANICE </v>
      </c>
      <c r="BL23" s="87">
        <v>4</v>
      </c>
      <c r="BM23" s="87">
        <v>7</v>
      </c>
      <c r="BN23" s="87">
        <v>7</v>
      </c>
      <c r="BO23" s="87">
        <v>5</v>
      </c>
      <c r="BP23" s="88">
        <f t="shared" si="26"/>
        <v>23</v>
      </c>
      <c r="BQ23" s="87">
        <v>25</v>
      </c>
      <c r="BR23" s="88">
        <f t="shared" si="27"/>
        <v>48</v>
      </c>
      <c r="BS23" s="86">
        <f t="shared" si="28"/>
        <v>36</v>
      </c>
      <c r="BT23" s="86" t="str">
        <f t="shared" si="29"/>
        <v>D7</v>
      </c>
      <c r="BU23" s="86" t="str">
        <f t="shared" si="30"/>
        <v>Pass</v>
      </c>
      <c r="BV23">
        <v>21</v>
      </c>
      <c r="BW23" s="77" t="str">
        <f>Data!B22</f>
        <v xml:space="preserve">ABEDNEGO JOSEPH JANICE </v>
      </c>
      <c r="BX23" s="87">
        <v>4</v>
      </c>
      <c r="BY23" s="87">
        <v>7</v>
      </c>
      <c r="BZ23" s="87">
        <v>7</v>
      </c>
      <c r="CA23" s="87">
        <v>5</v>
      </c>
      <c r="CB23" s="88">
        <f t="shared" si="31"/>
        <v>23</v>
      </c>
      <c r="CC23" s="87">
        <v>25</v>
      </c>
      <c r="CD23" s="88">
        <f t="shared" si="32"/>
        <v>48</v>
      </c>
      <c r="CE23" s="88">
        <f t="shared" si="33"/>
        <v>36</v>
      </c>
      <c r="CF23" s="88" t="str">
        <f t="shared" si="34"/>
        <v>D7</v>
      </c>
      <c r="CG23" s="88" t="str">
        <f t="shared" si="35"/>
        <v>Pass</v>
      </c>
      <c r="CH23">
        <v>21</v>
      </c>
      <c r="CI23" s="77" t="str">
        <f>Data!B22</f>
        <v xml:space="preserve">ABEDNEGO JOSEPH JANICE </v>
      </c>
      <c r="CJ23" s="78"/>
      <c r="CK23" s="78"/>
      <c r="CL23" s="78"/>
      <c r="CM23" s="78"/>
      <c r="CN23" s="89">
        <f t="shared" si="36"/>
        <v>0</v>
      </c>
      <c r="CO23" s="89"/>
      <c r="CP23" s="89">
        <f t="shared" si="37"/>
        <v>0</v>
      </c>
      <c r="CQ23" s="89" t="str">
        <f t="shared" si="38"/>
        <v/>
      </c>
      <c r="CR23" s="89" t="str">
        <f t="shared" si="39"/>
        <v/>
      </c>
      <c r="CS23" s="89" t="str">
        <f t="shared" si="40"/>
        <v/>
      </c>
      <c r="CT23">
        <v>21</v>
      </c>
      <c r="CU23" s="77" t="str">
        <f>Data!B22</f>
        <v xml:space="preserve">ABEDNEGO JOSEPH JANICE </v>
      </c>
      <c r="CV23" s="12"/>
      <c r="CW23" s="12"/>
      <c r="CX23" s="12"/>
      <c r="CY23" s="12"/>
      <c r="CZ23" s="90">
        <f t="shared" si="41"/>
        <v>0</v>
      </c>
      <c r="DA23" s="12"/>
      <c r="DB23" s="90">
        <f t="shared" si="42"/>
        <v>0</v>
      </c>
      <c r="DC23" s="90" t="str">
        <f t="shared" si="43"/>
        <v/>
      </c>
      <c r="DD23" s="90" t="str">
        <f t="shared" si="44"/>
        <v/>
      </c>
      <c r="DE23" s="90" t="str">
        <f t="shared" si="45"/>
        <v/>
      </c>
      <c r="DF23">
        <v>21</v>
      </c>
      <c r="DG23" s="77" t="str">
        <f>Data!B22</f>
        <v xml:space="preserve">ABEDNEGO JOSEPH JANICE </v>
      </c>
      <c r="DH23" s="78"/>
      <c r="DI23" s="78"/>
      <c r="DJ23" s="78"/>
      <c r="DK23" s="78"/>
      <c r="DL23" s="85">
        <f t="shared" si="46"/>
        <v>0</v>
      </c>
      <c r="DM23" s="84"/>
      <c r="DN23" s="85">
        <f t="shared" si="47"/>
        <v>0</v>
      </c>
      <c r="DO23" s="85" t="str">
        <f t="shared" si="48"/>
        <v/>
      </c>
      <c r="DP23" s="85" t="str">
        <f t="shared" si="49"/>
        <v/>
      </c>
      <c r="DQ23" s="85" t="str">
        <f t="shared" si="50"/>
        <v/>
      </c>
      <c r="DR23">
        <v>21</v>
      </c>
      <c r="DS23" s="77" t="str">
        <f>Data!B22</f>
        <v xml:space="preserve">ABEDNEGO JOSEPH JANICE </v>
      </c>
      <c r="DT23" s="91"/>
      <c r="DU23" s="91"/>
      <c r="DV23" s="91"/>
      <c r="DW23" s="91"/>
      <c r="DX23" s="92">
        <f t="shared" si="51"/>
        <v>0</v>
      </c>
      <c r="DY23" s="93"/>
      <c r="DZ23" s="92">
        <f t="shared" si="52"/>
        <v>0</v>
      </c>
      <c r="EA23" s="92" t="str">
        <f t="shared" si="53"/>
        <v/>
      </c>
      <c r="EB23" s="92" t="str">
        <f t="shared" si="54"/>
        <v/>
      </c>
      <c r="EC23" s="92" t="str">
        <f t="shared" si="55"/>
        <v/>
      </c>
      <c r="ED23">
        <v>21</v>
      </c>
      <c r="EE23" s="77" t="str">
        <f>Data!B22</f>
        <v xml:space="preserve">ABEDNEGO JOSEPH JANICE </v>
      </c>
      <c r="EF23" s="78"/>
      <c r="EG23" s="78"/>
      <c r="EH23" s="78"/>
      <c r="EI23" s="78"/>
      <c r="EJ23" s="94">
        <f t="shared" si="56"/>
        <v>0</v>
      </c>
      <c r="EK23" s="94"/>
      <c r="EL23" s="94">
        <f t="shared" si="57"/>
        <v>0</v>
      </c>
      <c r="EM23" s="94" t="str">
        <f t="shared" si="58"/>
        <v/>
      </c>
      <c r="EN23" s="94" t="str">
        <f t="shared" si="59"/>
        <v/>
      </c>
      <c r="EO23" s="94" t="str">
        <f t="shared" si="60"/>
        <v/>
      </c>
      <c r="EP23">
        <v>21</v>
      </c>
      <c r="EQ23" s="95" t="str">
        <f>Data!B22</f>
        <v xml:space="preserve">ABEDNEGO JOSEPH JANICE </v>
      </c>
      <c r="ER23" s="78"/>
      <c r="ES23" s="78"/>
      <c r="ET23" s="78"/>
      <c r="EU23" s="78"/>
      <c r="EV23" s="90">
        <f t="shared" si="61"/>
        <v>0</v>
      </c>
      <c r="EW23" s="90"/>
      <c r="EX23" s="90">
        <f t="shared" si="62"/>
        <v>0</v>
      </c>
      <c r="EY23" s="90" t="str">
        <f t="shared" si="63"/>
        <v/>
      </c>
      <c r="EZ23" s="90" t="str">
        <f t="shared" si="64"/>
        <v/>
      </c>
      <c r="FA23" s="90" t="str">
        <f t="shared" si="65"/>
        <v/>
      </c>
      <c r="FB23">
        <v>21</v>
      </c>
      <c r="FC23" s="77" t="str">
        <f>Data!B22</f>
        <v xml:space="preserve">ABEDNEGO JOSEPH JANICE </v>
      </c>
      <c r="FD23" s="78"/>
      <c r="FE23" s="78"/>
      <c r="FF23" s="78"/>
      <c r="FG23" s="78"/>
      <c r="FH23" s="96">
        <f t="shared" si="66"/>
        <v>0</v>
      </c>
      <c r="FI23" s="96"/>
      <c r="FJ23" s="96">
        <f t="shared" si="67"/>
        <v>0</v>
      </c>
      <c r="FK23" s="96" t="str">
        <f t="shared" si="68"/>
        <v/>
      </c>
      <c r="FL23" s="96" t="str">
        <f t="shared" si="69"/>
        <v/>
      </c>
      <c r="FM23" s="96" t="str">
        <f t="shared" si="70"/>
        <v/>
      </c>
      <c r="FN23">
        <v>21</v>
      </c>
      <c r="FO23" s="77" t="str">
        <f>Data!B22</f>
        <v xml:space="preserve">ABEDNEGO JOSEPH JANICE </v>
      </c>
      <c r="FP23" s="78"/>
      <c r="FQ23" s="78"/>
      <c r="FR23" s="78"/>
      <c r="FS23" s="78"/>
      <c r="FT23" s="97">
        <f t="shared" si="71"/>
        <v>0</v>
      </c>
      <c r="FU23" s="97"/>
      <c r="FV23" s="97">
        <f t="shared" si="72"/>
        <v>0</v>
      </c>
      <c r="FW23" s="97" t="str">
        <f t="shared" si="73"/>
        <v/>
      </c>
      <c r="FX23" s="97" t="str">
        <f t="shared" si="74"/>
        <v/>
      </c>
      <c r="FY23" s="97" t="str">
        <f t="shared" si="75"/>
        <v/>
      </c>
      <c r="FZ23">
        <v>21</v>
      </c>
      <c r="GA23" s="77" t="str">
        <f>Data!B22</f>
        <v xml:space="preserve">ABEDNEGO JOSEPH JANICE </v>
      </c>
      <c r="GB23" s="78"/>
      <c r="GC23" s="78"/>
      <c r="GD23" s="78"/>
      <c r="GE23" s="78"/>
      <c r="GF23" s="98">
        <f t="shared" si="76"/>
        <v>0</v>
      </c>
      <c r="GG23" s="98"/>
      <c r="GH23" s="98">
        <f t="shared" si="77"/>
        <v>0</v>
      </c>
      <c r="GI23" s="98" t="str">
        <f t="shared" si="78"/>
        <v/>
      </c>
      <c r="GJ23" s="98" t="str">
        <f t="shared" si="79"/>
        <v/>
      </c>
      <c r="GK23" s="98" t="str">
        <f t="shared" si="80"/>
        <v/>
      </c>
      <c r="GL23">
        <v>21</v>
      </c>
      <c r="GM23" s="77" t="str">
        <f>Data!B22</f>
        <v xml:space="preserve">ABEDNEGO JOSEPH JANICE </v>
      </c>
      <c r="GN23" s="99"/>
      <c r="GO23" s="99"/>
      <c r="GP23" s="99"/>
      <c r="GQ23" s="99"/>
      <c r="GR23" s="100">
        <f t="shared" si="81"/>
        <v>0</v>
      </c>
      <c r="GS23" s="99"/>
      <c r="GT23" s="100">
        <f t="shared" si="82"/>
        <v>0</v>
      </c>
      <c r="GU23" s="100" t="str">
        <f t="shared" si="83"/>
        <v/>
      </c>
      <c r="GV23" s="100" t="str">
        <f t="shared" si="84"/>
        <v/>
      </c>
      <c r="GW23" s="100" t="str">
        <f t="shared" si="85"/>
        <v/>
      </c>
      <c r="GX23">
        <v>21</v>
      </c>
      <c r="GY23" s="77" t="str">
        <f>Data!B22</f>
        <v xml:space="preserve">ABEDNEGO JOSEPH JANICE </v>
      </c>
      <c r="GZ23" s="78"/>
      <c r="HA23" s="78"/>
      <c r="HB23" s="78"/>
      <c r="HC23" s="78"/>
      <c r="HD23" s="86">
        <f t="shared" si="86"/>
        <v>0</v>
      </c>
      <c r="HE23" s="86"/>
      <c r="HF23" s="86">
        <f t="shared" si="87"/>
        <v>0</v>
      </c>
      <c r="HG23" s="86" t="str">
        <f t="shared" si="88"/>
        <v/>
      </c>
      <c r="HH23" s="86" t="str">
        <f t="shared" si="89"/>
        <v/>
      </c>
      <c r="HI23" s="86" t="str">
        <f t="shared" si="90"/>
        <v/>
      </c>
      <c r="HJ23">
        <v>21</v>
      </c>
      <c r="HK23" s="77" t="str">
        <f>Data!B22</f>
        <v xml:space="preserve">ABEDNEGO JOSEPH JANICE </v>
      </c>
      <c r="HL23" s="111"/>
      <c r="HM23" s="112"/>
      <c r="HN23" s="112"/>
      <c r="HO23" s="112"/>
      <c r="HP23" s="103">
        <f t="shared" si="91"/>
        <v>0</v>
      </c>
      <c r="HQ23" s="111"/>
      <c r="HR23" s="103">
        <f t="shared" si="92"/>
        <v>0</v>
      </c>
      <c r="HS23" s="103" t="str">
        <f t="shared" si="93"/>
        <v/>
      </c>
      <c r="HT23" s="103" t="str">
        <f t="shared" si="94"/>
        <v/>
      </c>
      <c r="HU23" s="103" t="str">
        <f t="shared" si="95"/>
        <v/>
      </c>
      <c r="HV23">
        <v>21</v>
      </c>
      <c r="HW23" s="77" t="str">
        <f>Data!B22</f>
        <v xml:space="preserve">ABEDNEGO JOSEPH JANICE </v>
      </c>
      <c r="HX23" s="78"/>
      <c r="HY23" s="78"/>
      <c r="HZ23" s="78"/>
      <c r="IA23" s="78"/>
      <c r="IB23" s="85">
        <f t="shared" si="96"/>
        <v>0</v>
      </c>
      <c r="IC23" s="85"/>
      <c r="ID23" s="85">
        <f t="shared" si="97"/>
        <v>0</v>
      </c>
      <c r="IE23" s="85" t="str">
        <f t="shared" si="98"/>
        <v/>
      </c>
      <c r="IF23" s="85" t="str">
        <f t="shared" si="99"/>
        <v/>
      </c>
      <c r="IG23" s="85" t="str">
        <f t="shared" si="100"/>
        <v/>
      </c>
      <c r="IH23">
        <v>21</v>
      </c>
      <c r="II23" s="77" t="str">
        <f>Data!B22</f>
        <v xml:space="preserve">ABEDNEGO JOSEPH JANICE </v>
      </c>
      <c r="IJ23" s="78"/>
      <c r="IK23" s="78"/>
      <c r="IL23" s="78"/>
      <c r="IM23" s="78"/>
      <c r="IN23" s="104">
        <f t="shared" si="101"/>
        <v>0</v>
      </c>
      <c r="IO23" s="104"/>
      <c r="IP23" s="104">
        <f t="shared" si="102"/>
        <v>0</v>
      </c>
      <c r="IQ23" s="104" t="str">
        <f t="shared" si="103"/>
        <v/>
      </c>
      <c r="IR23" s="104" t="str">
        <f t="shared" si="104"/>
        <v/>
      </c>
      <c r="IS23" s="104" t="str">
        <f t="shared" si="105"/>
        <v/>
      </c>
      <c r="IT23">
        <v>21</v>
      </c>
      <c r="IU23" s="77" t="str">
        <f t="shared" si="106"/>
        <v xml:space="preserve">ABEDNEGO JOSEPH JANICE </v>
      </c>
      <c r="IV23" s="105"/>
      <c r="IW23" s="105"/>
      <c r="IX23" s="105"/>
      <c r="IY23" s="105"/>
      <c r="IZ23" s="98">
        <f t="shared" si="107"/>
        <v>0</v>
      </c>
      <c r="JA23" s="105"/>
      <c r="JB23" s="98">
        <f t="shared" si="108"/>
        <v>0</v>
      </c>
      <c r="JC23" s="98" t="str">
        <f t="shared" si="109"/>
        <v/>
      </c>
      <c r="JD23" s="98" t="str">
        <f t="shared" si="110"/>
        <v/>
      </c>
      <c r="JE23" s="98" t="str">
        <f t="shared" si="111"/>
        <v/>
      </c>
      <c r="JF23">
        <v>21</v>
      </c>
      <c r="JG23" s="77" t="str">
        <f t="shared" si="112"/>
        <v xml:space="preserve">ABEDNEGO JOSEPH JANICE </v>
      </c>
      <c r="JH23" s="114"/>
      <c r="JI23" s="114"/>
      <c r="JJ23" s="114"/>
      <c r="JK23" s="114"/>
      <c r="JL23" s="82">
        <f t="shared" si="113"/>
        <v>0</v>
      </c>
      <c r="JM23" s="114"/>
      <c r="JN23" s="82">
        <f t="shared" si="114"/>
        <v>0</v>
      </c>
      <c r="JO23" s="82" t="str">
        <f t="shared" si="115"/>
        <v/>
      </c>
      <c r="JP23" s="82" t="str">
        <f t="shared" si="116"/>
        <v/>
      </c>
      <c r="JQ23" s="82" t="str">
        <f t="shared" si="117"/>
        <v/>
      </c>
      <c r="JR23">
        <v>21</v>
      </c>
      <c r="JS23" s="77" t="str">
        <f t="shared" si="118"/>
        <v xml:space="preserve">ABEDNEGO JOSEPH JANICE </v>
      </c>
      <c r="JT23" s="107"/>
      <c r="JU23" s="107"/>
      <c r="JV23" s="107"/>
      <c r="JW23" s="107"/>
      <c r="JX23" s="80">
        <f t="shared" si="119"/>
        <v>0</v>
      </c>
      <c r="JY23" s="108"/>
      <c r="JZ23" s="80">
        <f t="shared" si="0"/>
        <v>0</v>
      </c>
      <c r="KA23" s="80" t="str">
        <f t="shared" si="120"/>
        <v/>
      </c>
      <c r="KB23" s="80" t="str">
        <f t="shared" si="121"/>
        <v/>
      </c>
      <c r="KC23" s="80" t="str">
        <f t="shared" si="122"/>
        <v/>
      </c>
      <c r="KE23" s="16"/>
      <c r="KF23" s="16"/>
      <c r="KG23" s="16"/>
      <c r="KH23" s="16"/>
      <c r="KI23" s="16"/>
      <c r="KJ23" s="16"/>
      <c r="KK23" s="16"/>
      <c r="KL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</row>
    <row r="24" spans="1:309" ht="23.25">
      <c r="A24" s="17">
        <v>22</v>
      </c>
      <c r="B24" s="186">
        <v>22</v>
      </c>
      <c r="C24" s="77" t="str">
        <f>Data!B23</f>
        <v xml:space="preserve">ABUBAKAR FATIMA </v>
      </c>
      <c r="D24" s="87">
        <v>7</v>
      </c>
      <c r="E24" s="87"/>
      <c r="F24" s="87">
        <v>6</v>
      </c>
      <c r="G24" s="87">
        <v>8</v>
      </c>
      <c r="H24" s="88">
        <f t="shared" si="1"/>
        <v>21</v>
      </c>
      <c r="I24" s="87">
        <v>26</v>
      </c>
      <c r="J24" s="88">
        <f t="shared" si="2"/>
        <v>47</v>
      </c>
      <c r="K24" s="79">
        <f t="shared" si="3"/>
        <v>39</v>
      </c>
      <c r="L24" s="79" t="str">
        <f t="shared" si="4"/>
        <v>D7</v>
      </c>
      <c r="M24" s="79" t="str">
        <f t="shared" si="5"/>
        <v>Pass</v>
      </c>
      <c r="N24" s="17">
        <v>22</v>
      </c>
      <c r="O24" s="77" t="str">
        <f>Data!B23</f>
        <v xml:space="preserve">ABUBAKAR FATIMA </v>
      </c>
      <c r="P24" s="78"/>
      <c r="Q24" s="78"/>
      <c r="R24" s="78"/>
      <c r="S24" s="78"/>
      <c r="T24" s="80">
        <f t="shared" si="6"/>
        <v>0</v>
      </c>
      <c r="U24" s="80"/>
      <c r="V24" s="80">
        <f t="shared" si="7"/>
        <v>0</v>
      </c>
      <c r="W24" s="80" t="str">
        <f t="shared" si="8"/>
        <v/>
      </c>
      <c r="X24" s="80" t="str">
        <f t="shared" si="9"/>
        <v/>
      </c>
      <c r="Y24" s="80" t="str">
        <f t="shared" si="10"/>
        <v/>
      </c>
      <c r="Z24" s="11">
        <v>22</v>
      </c>
      <c r="AA24" s="77" t="str">
        <f>Data!B23</f>
        <v xml:space="preserve">ABUBAKAR FATIMA </v>
      </c>
      <c r="AB24" s="87">
        <v>7</v>
      </c>
      <c r="AC24" s="87"/>
      <c r="AD24" s="87">
        <v>6</v>
      </c>
      <c r="AE24" s="87">
        <v>8</v>
      </c>
      <c r="AF24" s="88">
        <f t="shared" si="11"/>
        <v>21</v>
      </c>
      <c r="AG24" s="87">
        <v>26</v>
      </c>
      <c r="AH24" s="88">
        <f t="shared" si="12"/>
        <v>47</v>
      </c>
      <c r="AI24" s="82">
        <f t="shared" si="13"/>
        <v>39</v>
      </c>
      <c r="AJ24" s="82" t="str">
        <f t="shared" si="14"/>
        <v>D7</v>
      </c>
      <c r="AK24" s="82" t="str">
        <f t="shared" si="15"/>
        <v>Pass</v>
      </c>
      <c r="AL24" s="11">
        <v>22</v>
      </c>
      <c r="AM24" s="77" t="str">
        <f>Data!B23</f>
        <v xml:space="preserve">ABUBAKAR FATIMA </v>
      </c>
      <c r="AN24" s="87">
        <v>7</v>
      </c>
      <c r="AO24" s="87"/>
      <c r="AP24" s="87">
        <v>6</v>
      </c>
      <c r="AQ24" s="87">
        <v>8</v>
      </c>
      <c r="AR24" s="88">
        <f t="shared" si="16"/>
        <v>21</v>
      </c>
      <c r="AS24" s="87">
        <v>26</v>
      </c>
      <c r="AT24" s="88">
        <f t="shared" si="17"/>
        <v>47</v>
      </c>
      <c r="AU24" s="83">
        <f t="shared" si="18"/>
        <v>39</v>
      </c>
      <c r="AV24" s="83" t="str">
        <f t="shared" si="19"/>
        <v>D7</v>
      </c>
      <c r="AW24" s="83" t="str">
        <f t="shared" si="20"/>
        <v>Pass</v>
      </c>
      <c r="AX24" s="11">
        <v>22</v>
      </c>
      <c r="AY24" s="77" t="str">
        <f>Data!B23</f>
        <v xml:space="preserve">ABUBAKAR FATIMA </v>
      </c>
      <c r="AZ24" s="87">
        <v>7</v>
      </c>
      <c r="BA24" s="87"/>
      <c r="BB24" s="87">
        <v>6</v>
      </c>
      <c r="BC24" s="87">
        <v>8</v>
      </c>
      <c r="BD24" s="88">
        <f t="shared" si="21"/>
        <v>21</v>
      </c>
      <c r="BE24" s="87">
        <v>26</v>
      </c>
      <c r="BF24" s="88">
        <f t="shared" si="22"/>
        <v>47</v>
      </c>
      <c r="BG24" s="85">
        <f t="shared" si="23"/>
        <v>39</v>
      </c>
      <c r="BH24" s="85" t="str">
        <f t="shared" si="24"/>
        <v>D7</v>
      </c>
      <c r="BI24" s="85" t="str">
        <f t="shared" si="25"/>
        <v>Pass</v>
      </c>
      <c r="BJ24" s="36">
        <v>22</v>
      </c>
      <c r="BK24" s="77" t="str">
        <f>Data!B23</f>
        <v xml:space="preserve">ABUBAKAR FATIMA </v>
      </c>
      <c r="BL24" s="87">
        <v>7</v>
      </c>
      <c r="BM24" s="87"/>
      <c r="BN24" s="87">
        <v>6</v>
      </c>
      <c r="BO24" s="87">
        <v>8</v>
      </c>
      <c r="BP24" s="88">
        <f t="shared" si="26"/>
        <v>21</v>
      </c>
      <c r="BQ24" s="87">
        <v>26</v>
      </c>
      <c r="BR24" s="88">
        <f t="shared" si="27"/>
        <v>47</v>
      </c>
      <c r="BS24" s="86">
        <f t="shared" si="28"/>
        <v>39</v>
      </c>
      <c r="BT24" s="86" t="str">
        <f t="shared" si="29"/>
        <v>D7</v>
      </c>
      <c r="BU24" s="86" t="str">
        <f t="shared" si="30"/>
        <v>Pass</v>
      </c>
      <c r="BV24">
        <v>22</v>
      </c>
      <c r="BW24" s="77" t="str">
        <f>Data!B23</f>
        <v xml:space="preserve">ABUBAKAR FATIMA </v>
      </c>
      <c r="BX24" s="87">
        <v>7</v>
      </c>
      <c r="BY24" s="87"/>
      <c r="BZ24" s="87">
        <v>6</v>
      </c>
      <c r="CA24" s="87">
        <v>8</v>
      </c>
      <c r="CB24" s="88">
        <f t="shared" si="31"/>
        <v>21</v>
      </c>
      <c r="CC24" s="87">
        <v>26</v>
      </c>
      <c r="CD24" s="88">
        <f t="shared" si="32"/>
        <v>47</v>
      </c>
      <c r="CE24" s="88">
        <f t="shared" si="33"/>
        <v>39</v>
      </c>
      <c r="CF24" s="88" t="str">
        <f t="shared" si="34"/>
        <v>D7</v>
      </c>
      <c r="CG24" s="88" t="str">
        <f t="shared" si="35"/>
        <v>Pass</v>
      </c>
      <c r="CH24">
        <v>22</v>
      </c>
      <c r="CI24" s="77" t="str">
        <f>Data!B23</f>
        <v xml:space="preserve">ABUBAKAR FATIMA </v>
      </c>
      <c r="CJ24" s="78"/>
      <c r="CK24" s="78"/>
      <c r="CL24" s="78"/>
      <c r="CM24" s="78"/>
      <c r="CN24" s="89">
        <f t="shared" si="36"/>
        <v>0</v>
      </c>
      <c r="CO24" s="89"/>
      <c r="CP24" s="89">
        <f t="shared" si="37"/>
        <v>0</v>
      </c>
      <c r="CQ24" s="89" t="str">
        <f t="shared" si="38"/>
        <v/>
      </c>
      <c r="CR24" s="89" t="str">
        <f t="shared" si="39"/>
        <v/>
      </c>
      <c r="CS24" s="89" t="str">
        <f t="shared" si="40"/>
        <v/>
      </c>
      <c r="CT24">
        <v>22</v>
      </c>
      <c r="CU24" s="77" t="str">
        <f>Data!B23</f>
        <v xml:space="preserve">ABUBAKAR FATIMA </v>
      </c>
      <c r="CV24" s="12"/>
      <c r="CW24" s="12"/>
      <c r="CX24" s="12"/>
      <c r="CY24" s="12"/>
      <c r="CZ24" s="90">
        <f t="shared" si="41"/>
        <v>0</v>
      </c>
      <c r="DA24" s="12"/>
      <c r="DB24" s="90">
        <f t="shared" si="42"/>
        <v>0</v>
      </c>
      <c r="DC24" s="90" t="str">
        <f t="shared" si="43"/>
        <v/>
      </c>
      <c r="DD24" s="90" t="str">
        <f t="shared" si="44"/>
        <v/>
      </c>
      <c r="DE24" s="90" t="str">
        <f t="shared" si="45"/>
        <v/>
      </c>
      <c r="DF24">
        <v>22</v>
      </c>
      <c r="DG24" s="77" t="str">
        <f>Data!B23</f>
        <v xml:space="preserve">ABUBAKAR FATIMA </v>
      </c>
      <c r="DH24" s="78"/>
      <c r="DI24" s="78"/>
      <c r="DJ24" s="78"/>
      <c r="DK24" s="78"/>
      <c r="DL24" s="85">
        <f t="shared" si="46"/>
        <v>0</v>
      </c>
      <c r="DM24" s="84"/>
      <c r="DN24" s="85">
        <f t="shared" si="47"/>
        <v>0</v>
      </c>
      <c r="DO24" s="85" t="str">
        <f t="shared" si="48"/>
        <v/>
      </c>
      <c r="DP24" s="85" t="str">
        <f t="shared" si="49"/>
        <v/>
      </c>
      <c r="DQ24" s="85" t="str">
        <f t="shared" si="50"/>
        <v/>
      </c>
      <c r="DR24">
        <v>22</v>
      </c>
      <c r="DS24" s="77" t="str">
        <f>Data!B23</f>
        <v xml:space="preserve">ABUBAKAR FATIMA </v>
      </c>
      <c r="DT24" s="91"/>
      <c r="DU24" s="91"/>
      <c r="DV24" s="91"/>
      <c r="DW24" s="91"/>
      <c r="DX24" s="92">
        <f t="shared" si="51"/>
        <v>0</v>
      </c>
      <c r="DY24" s="93"/>
      <c r="DZ24" s="92">
        <f t="shared" si="52"/>
        <v>0</v>
      </c>
      <c r="EA24" s="92" t="str">
        <f t="shared" si="53"/>
        <v/>
      </c>
      <c r="EB24" s="92" t="str">
        <f t="shared" si="54"/>
        <v/>
      </c>
      <c r="EC24" s="92" t="str">
        <f t="shared" si="55"/>
        <v/>
      </c>
      <c r="ED24">
        <v>22</v>
      </c>
      <c r="EE24" s="77" t="str">
        <f>Data!B23</f>
        <v xml:space="preserve">ABUBAKAR FATIMA </v>
      </c>
      <c r="EF24" s="78"/>
      <c r="EG24" s="78"/>
      <c r="EH24" s="78"/>
      <c r="EI24" s="78"/>
      <c r="EJ24" s="94">
        <f t="shared" si="56"/>
        <v>0</v>
      </c>
      <c r="EK24" s="94"/>
      <c r="EL24" s="94">
        <f t="shared" si="57"/>
        <v>0</v>
      </c>
      <c r="EM24" s="94" t="str">
        <f t="shared" si="58"/>
        <v/>
      </c>
      <c r="EN24" s="94" t="str">
        <f t="shared" si="59"/>
        <v/>
      </c>
      <c r="EO24" s="94" t="str">
        <f t="shared" si="60"/>
        <v/>
      </c>
      <c r="EP24">
        <v>22</v>
      </c>
      <c r="EQ24" s="95" t="str">
        <f>Data!B23</f>
        <v xml:space="preserve">ABUBAKAR FATIMA </v>
      </c>
      <c r="ER24" s="78"/>
      <c r="ES24" s="78"/>
      <c r="ET24" s="78"/>
      <c r="EU24" s="78"/>
      <c r="EV24" s="90">
        <f t="shared" si="61"/>
        <v>0</v>
      </c>
      <c r="EW24" s="90"/>
      <c r="EX24" s="90">
        <f t="shared" si="62"/>
        <v>0</v>
      </c>
      <c r="EY24" s="90" t="str">
        <f t="shared" si="63"/>
        <v/>
      </c>
      <c r="EZ24" s="90" t="str">
        <f t="shared" si="64"/>
        <v/>
      </c>
      <c r="FA24" s="90" t="str">
        <f t="shared" si="65"/>
        <v/>
      </c>
      <c r="FB24">
        <v>22</v>
      </c>
      <c r="FC24" s="77" t="str">
        <f>Data!B23</f>
        <v xml:space="preserve">ABUBAKAR FATIMA </v>
      </c>
      <c r="FD24" s="78"/>
      <c r="FE24" s="78"/>
      <c r="FF24" s="78"/>
      <c r="FG24" s="78"/>
      <c r="FH24" s="96">
        <f t="shared" si="66"/>
        <v>0</v>
      </c>
      <c r="FI24" s="96"/>
      <c r="FJ24" s="96">
        <f t="shared" si="67"/>
        <v>0</v>
      </c>
      <c r="FK24" s="96" t="str">
        <f t="shared" si="68"/>
        <v/>
      </c>
      <c r="FL24" s="96" t="str">
        <f t="shared" si="69"/>
        <v/>
      </c>
      <c r="FM24" s="96" t="str">
        <f t="shared" si="70"/>
        <v/>
      </c>
      <c r="FN24">
        <v>22</v>
      </c>
      <c r="FO24" s="77" t="str">
        <f>Data!B23</f>
        <v xml:space="preserve">ABUBAKAR FATIMA </v>
      </c>
      <c r="FP24" s="78"/>
      <c r="FQ24" s="78"/>
      <c r="FR24" s="78"/>
      <c r="FS24" s="78"/>
      <c r="FT24" s="97">
        <f t="shared" si="71"/>
        <v>0</v>
      </c>
      <c r="FU24" s="97"/>
      <c r="FV24" s="97">
        <f t="shared" si="72"/>
        <v>0</v>
      </c>
      <c r="FW24" s="97" t="str">
        <f t="shared" si="73"/>
        <v/>
      </c>
      <c r="FX24" s="97" t="str">
        <f t="shared" si="74"/>
        <v/>
      </c>
      <c r="FY24" s="97" t="str">
        <f t="shared" si="75"/>
        <v/>
      </c>
      <c r="FZ24">
        <v>22</v>
      </c>
      <c r="GA24" s="77" t="str">
        <f>Data!B23</f>
        <v xml:space="preserve">ABUBAKAR FATIMA </v>
      </c>
      <c r="GB24" s="78"/>
      <c r="GC24" s="78"/>
      <c r="GD24" s="78"/>
      <c r="GE24" s="78"/>
      <c r="GF24" s="98">
        <f t="shared" si="76"/>
        <v>0</v>
      </c>
      <c r="GG24" s="98"/>
      <c r="GH24" s="98">
        <f t="shared" si="77"/>
        <v>0</v>
      </c>
      <c r="GI24" s="98" t="str">
        <f t="shared" si="78"/>
        <v/>
      </c>
      <c r="GJ24" s="98" t="str">
        <f t="shared" si="79"/>
        <v/>
      </c>
      <c r="GK24" s="98" t="str">
        <f t="shared" si="80"/>
        <v/>
      </c>
      <c r="GL24">
        <v>22</v>
      </c>
      <c r="GM24" s="77" t="str">
        <f>Data!B23</f>
        <v xml:space="preserve">ABUBAKAR FATIMA </v>
      </c>
      <c r="GN24" s="99"/>
      <c r="GO24" s="99"/>
      <c r="GP24" s="99"/>
      <c r="GQ24" s="99"/>
      <c r="GR24" s="100">
        <f t="shared" si="81"/>
        <v>0</v>
      </c>
      <c r="GS24" s="99"/>
      <c r="GT24" s="100">
        <f t="shared" si="82"/>
        <v>0</v>
      </c>
      <c r="GU24" s="100" t="str">
        <f t="shared" si="83"/>
        <v/>
      </c>
      <c r="GV24" s="100" t="str">
        <f t="shared" si="84"/>
        <v/>
      </c>
      <c r="GW24" s="100" t="str">
        <f t="shared" si="85"/>
        <v/>
      </c>
      <c r="GX24">
        <v>22</v>
      </c>
      <c r="GY24" s="77" t="str">
        <f>Data!B23</f>
        <v xml:space="preserve">ABUBAKAR FATIMA </v>
      </c>
      <c r="GZ24" s="78"/>
      <c r="HA24" s="78"/>
      <c r="HB24" s="78"/>
      <c r="HC24" s="78"/>
      <c r="HD24" s="86">
        <f t="shared" si="86"/>
        <v>0</v>
      </c>
      <c r="HE24" s="86"/>
      <c r="HF24" s="86">
        <f t="shared" si="87"/>
        <v>0</v>
      </c>
      <c r="HG24" s="86" t="str">
        <f t="shared" si="88"/>
        <v/>
      </c>
      <c r="HH24" s="86" t="str">
        <f t="shared" si="89"/>
        <v/>
      </c>
      <c r="HI24" s="86" t="str">
        <f t="shared" si="90"/>
        <v/>
      </c>
      <c r="HJ24">
        <v>22</v>
      </c>
      <c r="HK24" s="77" t="str">
        <f>Data!B23</f>
        <v xml:space="preserve">ABUBAKAR FATIMA </v>
      </c>
      <c r="HL24" s="111"/>
      <c r="HM24" s="112"/>
      <c r="HN24" s="112"/>
      <c r="HO24" s="112"/>
      <c r="HP24" s="103">
        <f t="shared" si="91"/>
        <v>0</v>
      </c>
      <c r="HQ24" s="111"/>
      <c r="HR24" s="103">
        <f t="shared" si="92"/>
        <v>0</v>
      </c>
      <c r="HS24" s="103" t="str">
        <f t="shared" si="93"/>
        <v/>
      </c>
      <c r="HT24" s="103" t="str">
        <f t="shared" si="94"/>
        <v/>
      </c>
      <c r="HU24" s="103" t="str">
        <f t="shared" si="95"/>
        <v/>
      </c>
      <c r="HV24">
        <v>22</v>
      </c>
      <c r="HW24" s="77" t="str">
        <f>Data!B23</f>
        <v xml:space="preserve">ABUBAKAR FATIMA </v>
      </c>
      <c r="HX24" s="78"/>
      <c r="HY24" s="78"/>
      <c r="HZ24" s="78"/>
      <c r="IA24" s="78"/>
      <c r="IB24" s="85">
        <f t="shared" si="96"/>
        <v>0</v>
      </c>
      <c r="IC24" s="85"/>
      <c r="ID24" s="85">
        <f t="shared" si="97"/>
        <v>0</v>
      </c>
      <c r="IE24" s="85" t="str">
        <f t="shared" si="98"/>
        <v/>
      </c>
      <c r="IF24" s="85" t="str">
        <f t="shared" si="99"/>
        <v/>
      </c>
      <c r="IG24" s="85" t="str">
        <f t="shared" si="100"/>
        <v/>
      </c>
      <c r="IH24">
        <v>22</v>
      </c>
      <c r="II24" s="77" t="str">
        <f>Data!B23</f>
        <v xml:space="preserve">ABUBAKAR FATIMA </v>
      </c>
      <c r="IJ24" s="78"/>
      <c r="IK24" s="78"/>
      <c r="IL24" s="78"/>
      <c r="IM24" s="78"/>
      <c r="IN24" s="104">
        <f t="shared" si="101"/>
        <v>0</v>
      </c>
      <c r="IO24" s="104"/>
      <c r="IP24" s="104">
        <f t="shared" si="102"/>
        <v>0</v>
      </c>
      <c r="IQ24" s="104" t="str">
        <f t="shared" si="103"/>
        <v/>
      </c>
      <c r="IR24" s="104" t="str">
        <f t="shared" si="104"/>
        <v/>
      </c>
      <c r="IS24" s="104" t="str">
        <f t="shared" si="105"/>
        <v/>
      </c>
      <c r="IT24">
        <v>22</v>
      </c>
      <c r="IU24" s="77" t="str">
        <f t="shared" si="106"/>
        <v xml:space="preserve">ABUBAKAR FATIMA </v>
      </c>
      <c r="IV24" s="105"/>
      <c r="IW24" s="105"/>
      <c r="IX24" s="105"/>
      <c r="IY24" s="105"/>
      <c r="IZ24" s="98">
        <f t="shared" si="107"/>
        <v>0</v>
      </c>
      <c r="JA24" s="105"/>
      <c r="JB24" s="98">
        <f t="shared" si="108"/>
        <v>0</v>
      </c>
      <c r="JC24" s="98" t="str">
        <f t="shared" si="109"/>
        <v/>
      </c>
      <c r="JD24" s="98" t="str">
        <f t="shared" si="110"/>
        <v/>
      </c>
      <c r="JE24" s="98" t="str">
        <f t="shared" si="111"/>
        <v/>
      </c>
      <c r="JF24">
        <v>22</v>
      </c>
      <c r="JG24" s="77" t="str">
        <f t="shared" si="112"/>
        <v xml:space="preserve">ABUBAKAR FATIMA </v>
      </c>
      <c r="JH24" s="114"/>
      <c r="JI24" s="114"/>
      <c r="JJ24" s="114"/>
      <c r="JK24" s="114"/>
      <c r="JL24" s="82">
        <f t="shared" si="113"/>
        <v>0</v>
      </c>
      <c r="JM24" s="114"/>
      <c r="JN24" s="82">
        <f t="shared" si="114"/>
        <v>0</v>
      </c>
      <c r="JO24" s="82" t="str">
        <f t="shared" si="115"/>
        <v/>
      </c>
      <c r="JP24" s="82" t="str">
        <f t="shared" si="116"/>
        <v/>
      </c>
      <c r="JQ24" s="82" t="str">
        <f t="shared" si="117"/>
        <v/>
      </c>
      <c r="JR24">
        <v>22</v>
      </c>
      <c r="JS24" s="77" t="str">
        <f t="shared" si="118"/>
        <v xml:space="preserve">ABUBAKAR FATIMA </v>
      </c>
      <c r="JT24" s="107"/>
      <c r="JU24" s="107"/>
      <c r="JV24" s="107"/>
      <c r="JW24" s="107"/>
      <c r="JX24" s="80">
        <f t="shared" si="119"/>
        <v>0</v>
      </c>
      <c r="JY24" s="108"/>
      <c r="JZ24" s="80">
        <f t="shared" si="0"/>
        <v>0</v>
      </c>
      <c r="KA24" s="80" t="str">
        <f t="shared" si="120"/>
        <v/>
      </c>
      <c r="KB24" s="80" t="str">
        <f t="shared" si="121"/>
        <v/>
      </c>
      <c r="KC24" s="80" t="str">
        <f t="shared" si="122"/>
        <v/>
      </c>
      <c r="KE24" s="16"/>
      <c r="KF24" s="16"/>
      <c r="KG24" s="16"/>
      <c r="KH24" s="16"/>
      <c r="KI24" s="16"/>
      <c r="KJ24" s="16"/>
      <c r="KK24" s="16"/>
      <c r="KL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</row>
    <row r="25" spans="1:309" ht="23.25">
      <c r="A25" s="17">
        <v>23</v>
      </c>
      <c r="B25" s="186">
        <v>23</v>
      </c>
      <c r="C25" s="77" t="str">
        <f>Data!B24</f>
        <v xml:space="preserve">ADAMU KAHDIJA ALIYU </v>
      </c>
      <c r="D25" s="87">
        <v>4</v>
      </c>
      <c r="E25" s="87">
        <v>2</v>
      </c>
      <c r="F25" s="87">
        <v>6</v>
      </c>
      <c r="G25" s="87">
        <v>7</v>
      </c>
      <c r="H25" s="88">
        <f t="shared" si="1"/>
        <v>19</v>
      </c>
      <c r="I25" s="87">
        <v>22</v>
      </c>
      <c r="J25" s="88">
        <f t="shared" si="2"/>
        <v>41</v>
      </c>
      <c r="K25" s="79">
        <f t="shared" si="3"/>
        <v>44</v>
      </c>
      <c r="L25" s="79" t="str">
        <f t="shared" si="4"/>
        <v>E8</v>
      </c>
      <c r="M25" s="79" t="str">
        <f t="shared" si="5"/>
        <v>Pass</v>
      </c>
      <c r="N25" s="17">
        <v>23</v>
      </c>
      <c r="O25" s="77" t="str">
        <f>Data!B24</f>
        <v xml:space="preserve">ADAMU KAHDIJA ALIYU </v>
      </c>
      <c r="P25" s="78"/>
      <c r="Q25" s="78"/>
      <c r="R25" s="78"/>
      <c r="S25" s="78"/>
      <c r="T25" s="80">
        <f t="shared" si="6"/>
        <v>0</v>
      </c>
      <c r="U25" s="80"/>
      <c r="V25" s="80">
        <f t="shared" si="7"/>
        <v>0</v>
      </c>
      <c r="W25" s="80" t="str">
        <f t="shared" si="8"/>
        <v/>
      </c>
      <c r="X25" s="80" t="str">
        <f t="shared" si="9"/>
        <v/>
      </c>
      <c r="Y25" s="80" t="str">
        <f t="shared" si="10"/>
        <v/>
      </c>
      <c r="Z25" s="11">
        <v>23</v>
      </c>
      <c r="AA25" s="77" t="str">
        <f>Data!B24</f>
        <v xml:space="preserve">ADAMU KAHDIJA ALIYU </v>
      </c>
      <c r="AB25" s="87">
        <v>4</v>
      </c>
      <c r="AC25" s="87">
        <v>2</v>
      </c>
      <c r="AD25" s="87">
        <v>6</v>
      </c>
      <c r="AE25" s="87">
        <v>7</v>
      </c>
      <c r="AF25" s="88">
        <f t="shared" si="11"/>
        <v>19</v>
      </c>
      <c r="AG25" s="87">
        <v>22</v>
      </c>
      <c r="AH25" s="88">
        <f t="shared" si="12"/>
        <v>41</v>
      </c>
      <c r="AI25" s="82">
        <f t="shared" si="13"/>
        <v>44</v>
      </c>
      <c r="AJ25" s="82" t="str">
        <f t="shared" si="14"/>
        <v>E8</v>
      </c>
      <c r="AK25" s="82" t="str">
        <f t="shared" si="15"/>
        <v>Pass</v>
      </c>
      <c r="AL25" s="11">
        <v>23</v>
      </c>
      <c r="AM25" s="77" t="str">
        <f>Data!B24</f>
        <v xml:space="preserve">ADAMU KAHDIJA ALIYU </v>
      </c>
      <c r="AN25" s="87">
        <v>4</v>
      </c>
      <c r="AO25" s="87">
        <v>2</v>
      </c>
      <c r="AP25" s="87">
        <v>6</v>
      </c>
      <c r="AQ25" s="87">
        <v>7</v>
      </c>
      <c r="AR25" s="88">
        <f t="shared" si="16"/>
        <v>19</v>
      </c>
      <c r="AS25" s="87">
        <v>22</v>
      </c>
      <c r="AT25" s="88">
        <f t="shared" si="17"/>
        <v>41</v>
      </c>
      <c r="AU25" s="83">
        <f t="shared" si="18"/>
        <v>44</v>
      </c>
      <c r="AV25" s="83" t="str">
        <f t="shared" si="19"/>
        <v>E8</v>
      </c>
      <c r="AW25" s="83" t="str">
        <f t="shared" si="20"/>
        <v>Pass</v>
      </c>
      <c r="AX25" s="11">
        <v>23</v>
      </c>
      <c r="AY25" s="77" t="str">
        <f>Data!B24</f>
        <v xml:space="preserve">ADAMU KAHDIJA ALIYU </v>
      </c>
      <c r="AZ25" s="87">
        <v>4</v>
      </c>
      <c r="BA25" s="87">
        <v>2</v>
      </c>
      <c r="BB25" s="87">
        <v>6</v>
      </c>
      <c r="BC25" s="87">
        <v>7</v>
      </c>
      <c r="BD25" s="88">
        <f t="shared" si="21"/>
        <v>19</v>
      </c>
      <c r="BE25" s="87">
        <v>22</v>
      </c>
      <c r="BF25" s="88">
        <f t="shared" si="22"/>
        <v>41</v>
      </c>
      <c r="BG25" s="85">
        <f t="shared" si="23"/>
        <v>44</v>
      </c>
      <c r="BH25" s="85" t="str">
        <f t="shared" si="24"/>
        <v>E8</v>
      </c>
      <c r="BI25" s="85" t="str">
        <f t="shared" si="25"/>
        <v>Pass</v>
      </c>
      <c r="BJ25" s="36">
        <v>23</v>
      </c>
      <c r="BK25" s="77" t="str">
        <f>Data!B24</f>
        <v xml:space="preserve">ADAMU KAHDIJA ALIYU </v>
      </c>
      <c r="BL25" s="87">
        <v>4</v>
      </c>
      <c r="BM25" s="87">
        <v>2</v>
      </c>
      <c r="BN25" s="87">
        <v>6</v>
      </c>
      <c r="BO25" s="87">
        <v>7</v>
      </c>
      <c r="BP25" s="88">
        <f t="shared" si="26"/>
        <v>19</v>
      </c>
      <c r="BQ25" s="87">
        <v>22</v>
      </c>
      <c r="BR25" s="88">
        <f t="shared" si="27"/>
        <v>41</v>
      </c>
      <c r="BS25" s="86">
        <f t="shared" si="28"/>
        <v>44</v>
      </c>
      <c r="BT25" s="86" t="str">
        <f t="shared" si="29"/>
        <v>E8</v>
      </c>
      <c r="BU25" s="86" t="str">
        <f t="shared" si="30"/>
        <v>Pass</v>
      </c>
      <c r="BV25">
        <v>23</v>
      </c>
      <c r="BW25" s="77" t="str">
        <f>Data!B24</f>
        <v xml:space="preserve">ADAMU KAHDIJA ALIYU </v>
      </c>
      <c r="BX25" s="87">
        <v>4</v>
      </c>
      <c r="BY25" s="87">
        <v>2</v>
      </c>
      <c r="BZ25" s="87">
        <v>6</v>
      </c>
      <c r="CA25" s="87">
        <v>7</v>
      </c>
      <c r="CB25" s="88">
        <f t="shared" si="31"/>
        <v>19</v>
      </c>
      <c r="CC25" s="87">
        <v>22</v>
      </c>
      <c r="CD25" s="88">
        <f t="shared" si="32"/>
        <v>41</v>
      </c>
      <c r="CE25" s="88">
        <f t="shared" si="33"/>
        <v>44</v>
      </c>
      <c r="CF25" s="88" t="str">
        <f t="shared" si="34"/>
        <v>E8</v>
      </c>
      <c r="CG25" s="88" t="str">
        <f t="shared" si="35"/>
        <v>Pass</v>
      </c>
      <c r="CH25">
        <v>23</v>
      </c>
      <c r="CI25" s="77" t="str">
        <f>Data!B24</f>
        <v xml:space="preserve">ADAMU KAHDIJA ALIYU </v>
      </c>
      <c r="CJ25" s="78"/>
      <c r="CK25" s="78"/>
      <c r="CL25" s="78"/>
      <c r="CM25" s="78"/>
      <c r="CN25" s="89">
        <f t="shared" si="36"/>
        <v>0</v>
      </c>
      <c r="CO25" s="89"/>
      <c r="CP25" s="89">
        <f t="shared" si="37"/>
        <v>0</v>
      </c>
      <c r="CQ25" s="89" t="str">
        <f t="shared" si="38"/>
        <v/>
      </c>
      <c r="CR25" s="89" t="str">
        <f t="shared" si="39"/>
        <v/>
      </c>
      <c r="CS25" s="89" t="str">
        <f t="shared" si="40"/>
        <v/>
      </c>
      <c r="CT25">
        <v>23</v>
      </c>
      <c r="CU25" s="77" t="str">
        <f>Data!B24</f>
        <v xml:space="preserve">ADAMU KAHDIJA ALIYU </v>
      </c>
      <c r="CV25" s="12"/>
      <c r="CW25" s="12"/>
      <c r="CX25" s="12"/>
      <c r="CY25" s="12"/>
      <c r="CZ25" s="90">
        <f t="shared" si="41"/>
        <v>0</v>
      </c>
      <c r="DA25" s="12"/>
      <c r="DB25" s="90">
        <f t="shared" si="42"/>
        <v>0</v>
      </c>
      <c r="DC25" s="90" t="str">
        <f t="shared" si="43"/>
        <v/>
      </c>
      <c r="DD25" s="90" t="str">
        <f t="shared" si="44"/>
        <v/>
      </c>
      <c r="DE25" s="90" t="str">
        <f t="shared" si="45"/>
        <v/>
      </c>
      <c r="DF25">
        <v>23</v>
      </c>
      <c r="DG25" s="77" t="str">
        <f>Data!B24</f>
        <v xml:space="preserve">ADAMU KAHDIJA ALIYU </v>
      </c>
      <c r="DH25" s="78"/>
      <c r="DI25" s="78"/>
      <c r="DJ25" s="78"/>
      <c r="DK25" s="78"/>
      <c r="DL25" s="85">
        <f t="shared" si="46"/>
        <v>0</v>
      </c>
      <c r="DM25" s="84"/>
      <c r="DN25" s="85">
        <f t="shared" si="47"/>
        <v>0</v>
      </c>
      <c r="DO25" s="85" t="str">
        <f t="shared" si="48"/>
        <v/>
      </c>
      <c r="DP25" s="85" t="str">
        <f t="shared" si="49"/>
        <v/>
      </c>
      <c r="DQ25" s="85" t="str">
        <f t="shared" si="50"/>
        <v/>
      </c>
      <c r="DR25">
        <v>23</v>
      </c>
      <c r="DS25" s="77" t="str">
        <f>Data!B24</f>
        <v xml:space="preserve">ADAMU KAHDIJA ALIYU </v>
      </c>
      <c r="DT25" s="91"/>
      <c r="DU25" s="91"/>
      <c r="DV25" s="91"/>
      <c r="DW25" s="91"/>
      <c r="DX25" s="92">
        <f t="shared" si="51"/>
        <v>0</v>
      </c>
      <c r="DY25" s="93"/>
      <c r="DZ25" s="92">
        <f t="shared" si="52"/>
        <v>0</v>
      </c>
      <c r="EA25" s="92" t="str">
        <f t="shared" si="53"/>
        <v/>
      </c>
      <c r="EB25" s="92" t="str">
        <f t="shared" si="54"/>
        <v/>
      </c>
      <c r="EC25" s="92" t="str">
        <f t="shared" si="55"/>
        <v/>
      </c>
      <c r="ED25">
        <v>23</v>
      </c>
      <c r="EE25" s="77" t="str">
        <f>Data!B24</f>
        <v xml:space="preserve">ADAMU KAHDIJA ALIYU </v>
      </c>
      <c r="EF25" s="78"/>
      <c r="EG25" s="78"/>
      <c r="EH25" s="78"/>
      <c r="EI25" s="78"/>
      <c r="EJ25" s="94">
        <f t="shared" si="56"/>
        <v>0</v>
      </c>
      <c r="EK25" s="94"/>
      <c r="EL25" s="94">
        <f t="shared" si="57"/>
        <v>0</v>
      </c>
      <c r="EM25" s="94" t="str">
        <f t="shared" si="58"/>
        <v/>
      </c>
      <c r="EN25" s="94" t="str">
        <f t="shared" si="59"/>
        <v/>
      </c>
      <c r="EO25" s="94" t="str">
        <f t="shared" si="60"/>
        <v/>
      </c>
      <c r="EP25">
        <v>23</v>
      </c>
      <c r="EQ25" s="95" t="str">
        <f>Data!B24</f>
        <v xml:space="preserve">ADAMU KAHDIJA ALIYU </v>
      </c>
      <c r="ER25" s="78"/>
      <c r="ES25" s="78"/>
      <c r="ET25" s="78"/>
      <c r="EU25" s="78"/>
      <c r="EV25" s="90">
        <f t="shared" si="61"/>
        <v>0</v>
      </c>
      <c r="EW25" s="90"/>
      <c r="EX25" s="90">
        <f t="shared" si="62"/>
        <v>0</v>
      </c>
      <c r="EY25" s="90" t="str">
        <f t="shared" si="63"/>
        <v/>
      </c>
      <c r="EZ25" s="90" t="str">
        <f t="shared" si="64"/>
        <v/>
      </c>
      <c r="FA25" s="90" t="str">
        <f t="shared" si="65"/>
        <v/>
      </c>
      <c r="FB25">
        <v>23</v>
      </c>
      <c r="FC25" s="77" t="str">
        <f>Data!B24</f>
        <v xml:space="preserve">ADAMU KAHDIJA ALIYU </v>
      </c>
      <c r="FD25" s="78"/>
      <c r="FE25" s="78"/>
      <c r="FF25" s="78"/>
      <c r="FG25" s="78"/>
      <c r="FH25" s="96">
        <f t="shared" si="66"/>
        <v>0</v>
      </c>
      <c r="FI25" s="96"/>
      <c r="FJ25" s="96">
        <f t="shared" si="67"/>
        <v>0</v>
      </c>
      <c r="FK25" s="96" t="str">
        <f t="shared" si="68"/>
        <v/>
      </c>
      <c r="FL25" s="96" t="str">
        <f t="shared" si="69"/>
        <v/>
      </c>
      <c r="FM25" s="96" t="str">
        <f t="shared" si="70"/>
        <v/>
      </c>
      <c r="FN25">
        <v>23</v>
      </c>
      <c r="FO25" s="77" t="str">
        <f>Data!B24</f>
        <v xml:space="preserve">ADAMU KAHDIJA ALIYU </v>
      </c>
      <c r="FP25" s="78"/>
      <c r="FQ25" s="78"/>
      <c r="FR25" s="78"/>
      <c r="FS25" s="78"/>
      <c r="FT25" s="97">
        <f t="shared" si="71"/>
        <v>0</v>
      </c>
      <c r="FU25" s="97"/>
      <c r="FV25" s="97">
        <f t="shared" si="72"/>
        <v>0</v>
      </c>
      <c r="FW25" s="97" t="str">
        <f t="shared" si="73"/>
        <v/>
      </c>
      <c r="FX25" s="97" t="str">
        <f t="shared" si="74"/>
        <v/>
      </c>
      <c r="FY25" s="97" t="str">
        <f t="shared" si="75"/>
        <v/>
      </c>
      <c r="FZ25">
        <v>23</v>
      </c>
      <c r="GA25" s="77" t="str">
        <f>Data!B24</f>
        <v xml:space="preserve">ADAMU KAHDIJA ALIYU </v>
      </c>
      <c r="GB25" s="78"/>
      <c r="GC25" s="78"/>
      <c r="GD25" s="78"/>
      <c r="GE25" s="78"/>
      <c r="GF25" s="98">
        <f t="shared" si="76"/>
        <v>0</v>
      </c>
      <c r="GG25" s="98"/>
      <c r="GH25" s="98">
        <f t="shared" si="77"/>
        <v>0</v>
      </c>
      <c r="GI25" s="98" t="str">
        <f t="shared" si="78"/>
        <v/>
      </c>
      <c r="GJ25" s="98" t="str">
        <f t="shared" si="79"/>
        <v/>
      </c>
      <c r="GK25" s="98" t="str">
        <f t="shared" si="80"/>
        <v/>
      </c>
      <c r="GL25">
        <v>23</v>
      </c>
      <c r="GM25" s="77" t="str">
        <f>Data!B24</f>
        <v xml:space="preserve">ADAMU KAHDIJA ALIYU </v>
      </c>
      <c r="GN25" s="99"/>
      <c r="GO25" s="99"/>
      <c r="GP25" s="99"/>
      <c r="GQ25" s="99"/>
      <c r="GR25" s="100">
        <f t="shared" si="81"/>
        <v>0</v>
      </c>
      <c r="GS25" s="99"/>
      <c r="GT25" s="100">
        <f t="shared" si="82"/>
        <v>0</v>
      </c>
      <c r="GU25" s="100" t="str">
        <f t="shared" si="83"/>
        <v/>
      </c>
      <c r="GV25" s="100" t="str">
        <f t="shared" si="84"/>
        <v/>
      </c>
      <c r="GW25" s="100" t="str">
        <f t="shared" si="85"/>
        <v/>
      </c>
      <c r="GX25">
        <v>23</v>
      </c>
      <c r="GY25" s="77" t="str">
        <f>Data!B24</f>
        <v xml:space="preserve">ADAMU KAHDIJA ALIYU </v>
      </c>
      <c r="GZ25" s="78"/>
      <c r="HA25" s="78"/>
      <c r="HB25" s="78"/>
      <c r="HC25" s="78"/>
      <c r="HD25" s="86">
        <f t="shared" si="86"/>
        <v>0</v>
      </c>
      <c r="HE25" s="86"/>
      <c r="HF25" s="86">
        <f t="shared" si="87"/>
        <v>0</v>
      </c>
      <c r="HG25" s="86" t="str">
        <f t="shared" si="88"/>
        <v/>
      </c>
      <c r="HH25" s="86" t="str">
        <f t="shared" si="89"/>
        <v/>
      </c>
      <c r="HI25" s="86" t="str">
        <f t="shared" si="90"/>
        <v/>
      </c>
      <c r="HJ25">
        <v>23</v>
      </c>
      <c r="HK25" s="77" t="str">
        <f>Data!B24</f>
        <v xml:space="preserve">ADAMU KAHDIJA ALIYU </v>
      </c>
      <c r="HL25" s="111"/>
      <c r="HM25" s="112"/>
      <c r="HN25" s="112"/>
      <c r="HO25" s="112"/>
      <c r="HP25" s="103">
        <f t="shared" si="91"/>
        <v>0</v>
      </c>
      <c r="HQ25" s="111"/>
      <c r="HR25" s="103">
        <f t="shared" si="92"/>
        <v>0</v>
      </c>
      <c r="HS25" s="103" t="str">
        <f t="shared" si="93"/>
        <v/>
      </c>
      <c r="HT25" s="103" t="str">
        <f t="shared" si="94"/>
        <v/>
      </c>
      <c r="HU25" s="103" t="str">
        <f t="shared" si="95"/>
        <v/>
      </c>
      <c r="HV25">
        <v>23</v>
      </c>
      <c r="HW25" s="77" t="str">
        <f>Data!B24</f>
        <v xml:space="preserve">ADAMU KAHDIJA ALIYU </v>
      </c>
      <c r="HX25" s="78"/>
      <c r="HY25" s="78"/>
      <c r="HZ25" s="78"/>
      <c r="IA25" s="78"/>
      <c r="IB25" s="85">
        <f t="shared" si="96"/>
        <v>0</v>
      </c>
      <c r="IC25" s="85"/>
      <c r="ID25" s="85">
        <f t="shared" si="97"/>
        <v>0</v>
      </c>
      <c r="IE25" s="85" t="str">
        <f t="shared" si="98"/>
        <v/>
      </c>
      <c r="IF25" s="85" t="str">
        <f t="shared" si="99"/>
        <v/>
      </c>
      <c r="IG25" s="85" t="str">
        <f t="shared" si="100"/>
        <v/>
      </c>
      <c r="IH25">
        <v>23</v>
      </c>
      <c r="II25" s="77" t="str">
        <f>Data!B24</f>
        <v xml:space="preserve">ADAMU KAHDIJA ALIYU </v>
      </c>
      <c r="IJ25" s="78"/>
      <c r="IK25" s="78"/>
      <c r="IL25" s="78"/>
      <c r="IM25" s="78"/>
      <c r="IN25" s="104">
        <f t="shared" si="101"/>
        <v>0</v>
      </c>
      <c r="IO25" s="104"/>
      <c r="IP25" s="104">
        <f t="shared" si="102"/>
        <v>0</v>
      </c>
      <c r="IQ25" s="104" t="str">
        <f t="shared" si="103"/>
        <v/>
      </c>
      <c r="IR25" s="104" t="str">
        <f t="shared" si="104"/>
        <v/>
      </c>
      <c r="IS25" s="104" t="str">
        <f t="shared" si="105"/>
        <v/>
      </c>
      <c r="IT25">
        <v>23</v>
      </c>
      <c r="IU25" s="77" t="str">
        <f t="shared" si="106"/>
        <v xml:space="preserve">ADAMU KAHDIJA ALIYU </v>
      </c>
      <c r="IV25" s="105"/>
      <c r="IW25" s="105"/>
      <c r="IX25" s="105"/>
      <c r="IY25" s="105"/>
      <c r="IZ25" s="98">
        <f t="shared" si="107"/>
        <v>0</v>
      </c>
      <c r="JA25" s="105"/>
      <c r="JB25" s="98">
        <f t="shared" si="108"/>
        <v>0</v>
      </c>
      <c r="JC25" s="98" t="str">
        <f t="shared" si="109"/>
        <v/>
      </c>
      <c r="JD25" s="98" t="str">
        <f t="shared" si="110"/>
        <v/>
      </c>
      <c r="JE25" s="98" t="str">
        <f t="shared" si="111"/>
        <v/>
      </c>
      <c r="JF25">
        <v>23</v>
      </c>
      <c r="JG25" s="77" t="str">
        <f t="shared" si="112"/>
        <v xml:space="preserve">ADAMU KAHDIJA ALIYU </v>
      </c>
      <c r="JH25" s="114"/>
      <c r="JI25" s="114"/>
      <c r="JJ25" s="114"/>
      <c r="JK25" s="114"/>
      <c r="JL25" s="82">
        <f t="shared" si="113"/>
        <v>0</v>
      </c>
      <c r="JM25" s="114"/>
      <c r="JN25" s="82">
        <f t="shared" si="114"/>
        <v>0</v>
      </c>
      <c r="JO25" s="82" t="str">
        <f t="shared" si="115"/>
        <v/>
      </c>
      <c r="JP25" s="82" t="str">
        <f t="shared" si="116"/>
        <v/>
      </c>
      <c r="JQ25" s="82" t="str">
        <f t="shared" si="117"/>
        <v/>
      </c>
      <c r="JR25">
        <v>23</v>
      </c>
      <c r="JS25" s="77" t="str">
        <f t="shared" si="118"/>
        <v xml:space="preserve">ADAMU KAHDIJA ALIYU </v>
      </c>
      <c r="JT25" s="107"/>
      <c r="JU25" s="107"/>
      <c r="JV25" s="107"/>
      <c r="JW25" s="107"/>
      <c r="JX25" s="80">
        <f t="shared" si="119"/>
        <v>0</v>
      </c>
      <c r="JY25" s="108"/>
      <c r="JZ25" s="80">
        <f t="shared" si="0"/>
        <v>0</v>
      </c>
      <c r="KA25" s="80" t="str">
        <f t="shared" si="120"/>
        <v/>
      </c>
      <c r="KB25" s="80" t="str">
        <f t="shared" si="121"/>
        <v/>
      </c>
      <c r="KC25" s="80" t="str">
        <f t="shared" si="122"/>
        <v/>
      </c>
      <c r="KE25" s="16"/>
      <c r="KF25" s="16"/>
      <c r="KG25" s="16"/>
      <c r="KH25" s="16"/>
      <c r="KI25" s="16"/>
      <c r="KJ25" s="16"/>
      <c r="KK25" s="16"/>
      <c r="KL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</row>
    <row r="26" spans="1:309" ht="23.25">
      <c r="A26" s="17">
        <v>24</v>
      </c>
      <c r="B26" s="186">
        <v>24</v>
      </c>
      <c r="C26" s="77" t="str">
        <f>Data!B25</f>
        <v xml:space="preserve">AHMED KHADIJA SHETTIMA </v>
      </c>
      <c r="D26" s="87">
        <v>6</v>
      </c>
      <c r="E26" s="87">
        <v>9</v>
      </c>
      <c r="F26" s="87">
        <v>8</v>
      </c>
      <c r="G26" s="87">
        <v>10</v>
      </c>
      <c r="H26" s="88">
        <f t="shared" si="1"/>
        <v>33</v>
      </c>
      <c r="I26" s="87">
        <v>37</v>
      </c>
      <c r="J26" s="88">
        <f t="shared" si="2"/>
        <v>70</v>
      </c>
      <c r="K26" s="79">
        <f t="shared" si="3"/>
        <v>9</v>
      </c>
      <c r="L26" s="79" t="str">
        <f t="shared" si="4"/>
        <v>B2</v>
      </c>
      <c r="M26" s="79" t="str">
        <f t="shared" si="5"/>
        <v>V.Good</v>
      </c>
      <c r="N26" s="17">
        <v>24</v>
      </c>
      <c r="O26" s="77" t="str">
        <f>Data!B25</f>
        <v xml:space="preserve">AHMED KHADIJA SHETTIMA </v>
      </c>
      <c r="P26" s="78"/>
      <c r="Q26" s="78"/>
      <c r="R26" s="78"/>
      <c r="S26" s="78"/>
      <c r="T26" s="80">
        <f t="shared" si="6"/>
        <v>0</v>
      </c>
      <c r="U26" s="80"/>
      <c r="V26" s="80">
        <f t="shared" si="7"/>
        <v>0</v>
      </c>
      <c r="W26" s="80" t="str">
        <f t="shared" si="8"/>
        <v/>
      </c>
      <c r="X26" s="80" t="str">
        <f t="shared" si="9"/>
        <v/>
      </c>
      <c r="Y26" s="80" t="str">
        <f t="shared" si="10"/>
        <v/>
      </c>
      <c r="Z26" s="11">
        <v>24</v>
      </c>
      <c r="AA26" s="77" t="str">
        <f>Data!B25</f>
        <v xml:space="preserve">AHMED KHADIJA SHETTIMA </v>
      </c>
      <c r="AB26" s="87">
        <v>6</v>
      </c>
      <c r="AC26" s="87">
        <v>9</v>
      </c>
      <c r="AD26" s="87">
        <v>8</v>
      </c>
      <c r="AE26" s="87">
        <v>10</v>
      </c>
      <c r="AF26" s="88">
        <f t="shared" si="11"/>
        <v>33</v>
      </c>
      <c r="AG26" s="87">
        <v>37</v>
      </c>
      <c r="AH26" s="88">
        <f t="shared" si="12"/>
        <v>70</v>
      </c>
      <c r="AI26" s="82">
        <f t="shared" si="13"/>
        <v>9</v>
      </c>
      <c r="AJ26" s="82" t="str">
        <f t="shared" si="14"/>
        <v>B2</v>
      </c>
      <c r="AK26" s="82" t="str">
        <f t="shared" si="15"/>
        <v>V.Good</v>
      </c>
      <c r="AL26" s="11">
        <v>24</v>
      </c>
      <c r="AM26" s="77" t="str">
        <f>Data!B25</f>
        <v xml:space="preserve">AHMED KHADIJA SHETTIMA </v>
      </c>
      <c r="AN26" s="87">
        <v>6</v>
      </c>
      <c r="AO26" s="87">
        <v>9</v>
      </c>
      <c r="AP26" s="87">
        <v>8</v>
      </c>
      <c r="AQ26" s="87">
        <v>10</v>
      </c>
      <c r="AR26" s="88">
        <f t="shared" si="16"/>
        <v>33</v>
      </c>
      <c r="AS26" s="87">
        <v>37</v>
      </c>
      <c r="AT26" s="88">
        <f t="shared" si="17"/>
        <v>70</v>
      </c>
      <c r="AU26" s="83">
        <f t="shared" si="18"/>
        <v>9</v>
      </c>
      <c r="AV26" s="83" t="str">
        <f t="shared" si="19"/>
        <v>B2</v>
      </c>
      <c r="AW26" s="83" t="str">
        <f t="shared" si="20"/>
        <v>V.Good</v>
      </c>
      <c r="AX26" s="11">
        <v>24</v>
      </c>
      <c r="AY26" s="77" t="str">
        <f>Data!B25</f>
        <v xml:space="preserve">AHMED KHADIJA SHETTIMA </v>
      </c>
      <c r="AZ26" s="87">
        <v>6</v>
      </c>
      <c r="BA26" s="87">
        <v>9</v>
      </c>
      <c r="BB26" s="87">
        <v>8</v>
      </c>
      <c r="BC26" s="87">
        <v>10</v>
      </c>
      <c r="BD26" s="88">
        <f t="shared" si="21"/>
        <v>33</v>
      </c>
      <c r="BE26" s="87">
        <v>37</v>
      </c>
      <c r="BF26" s="88">
        <f t="shared" si="22"/>
        <v>70</v>
      </c>
      <c r="BG26" s="85">
        <f t="shared" si="23"/>
        <v>9</v>
      </c>
      <c r="BH26" s="85" t="str">
        <f t="shared" si="24"/>
        <v>B2</v>
      </c>
      <c r="BI26" s="85" t="str">
        <f t="shared" si="25"/>
        <v>V.Good</v>
      </c>
      <c r="BJ26" s="36">
        <v>24</v>
      </c>
      <c r="BK26" s="77" t="str">
        <f>Data!B25</f>
        <v xml:space="preserve">AHMED KHADIJA SHETTIMA </v>
      </c>
      <c r="BL26" s="87">
        <v>6</v>
      </c>
      <c r="BM26" s="87">
        <v>9</v>
      </c>
      <c r="BN26" s="87">
        <v>8</v>
      </c>
      <c r="BO26" s="87">
        <v>10</v>
      </c>
      <c r="BP26" s="88">
        <f t="shared" si="26"/>
        <v>33</v>
      </c>
      <c r="BQ26" s="87">
        <v>37</v>
      </c>
      <c r="BR26" s="88">
        <f t="shared" si="27"/>
        <v>70</v>
      </c>
      <c r="BS26" s="86">
        <f t="shared" si="28"/>
        <v>9</v>
      </c>
      <c r="BT26" s="86" t="str">
        <f t="shared" si="29"/>
        <v>B2</v>
      </c>
      <c r="BU26" s="86" t="str">
        <f t="shared" si="30"/>
        <v>V.Good</v>
      </c>
      <c r="BV26">
        <v>24</v>
      </c>
      <c r="BW26" s="77" t="str">
        <f>Data!B25</f>
        <v xml:space="preserve">AHMED KHADIJA SHETTIMA </v>
      </c>
      <c r="BX26" s="87">
        <v>6</v>
      </c>
      <c r="BY26" s="87">
        <v>9</v>
      </c>
      <c r="BZ26" s="87">
        <v>8</v>
      </c>
      <c r="CA26" s="87">
        <v>10</v>
      </c>
      <c r="CB26" s="88">
        <f t="shared" si="31"/>
        <v>33</v>
      </c>
      <c r="CC26" s="87">
        <v>37</v>
      </c>
      <c r="CD26" s="88">
        <f t="shared" si="32"/>
        <v>70</v>
      </c>
      <c r="CE26" s="88">
        <f t="shared" si="33"/>
        <v>9</v>
      </c>
      <c r="CF26" s="88" t="str">
        <f t="shared" si="34"/>
        <v>B2</v>
      </c>
      <c r="CG26" s="88" t="str">
        <f t="shared" si="35"/>
        <v>V.Good</v>
      </c>
      <c r="CH26">
        <v>24</v>
      </c>
      <c r="CI26" s="77" t="str">
        <f>Data!B25</f>
        <v xml:space="preserve">AHMED KHADIJA SHETTIMA </v>
      </c>
      <c r="CJ26" s="78"/>
      <c r="CK26" s="78"/>
      <c r="CL26" s="78"/>
      <c r="CM26" s="78"/>
      <c r="CN26" s="89">
        <f t="shared" si="36"/>
        <v>0</v>
      </c>
      <c r="CO26" s="89"/>
      <c r="CP26" s="89">
        <f t="shared" si="37"/>
        <v>0</v>
      </c>
      <c r="CQ26" s="89" t="str">
        <f t="shared" si="38"/>
        <v/>
      </c>
      <c r="CR26" s="89" t="str">
        <f t="shared" si="39"/>
        <v/>
      </c>
      <c r="CS26" s="89" t="str">
        <f t="shared" si="40"/>
        <v/>
      </c>
      <c r="CT26">
        <v>24</v>
      </c>
      <c r="CU26" s="77" t="str">
        <f>Data!B25</f>
        <v xml:space="preserve">AHMED KHADIJA SHETTIMA </v>
      </c>
      <c r="CV26" s="12"/>
      <c r="CW26" s="12"/>
      <c r="CX26" s="12"/>
      <c r="CY26" s="12"/>
      <c r="CZ26" s="90">
        <f t="shared" si="41"/>
        <v>0</v>
      </c>
      <c r="DA26" s="12"/>
      <c r="DB26" s="90">
        <f t="shared" si="42"/>
        <v>0</v>
      </c>
      <c r="DC26" s="90" t="str">
        <f t="shared" si="43"/>
        <v/>
      </c>
      <c r="DD26" s="90" t="str">
        <f t="shared" si="44"/>
        <v/>
      </c>
      <c r="DE26" s="90" t="str">
        <f t="shared" si="45"/>
        <v/>
      </c>
      <c r="DF26">
        <v>24</v>
      </c>
      <c r="DG26" s="77" t="str">
        <f>Data!B25</f>
        <v xml:space="preserve">AHMED KHADIJA SHETTIMA </v>
      </c>
      <c r="DH26" s="78"/>
      <c r="DI26" s="78"/>
      <c r="DJ26" s="78"/>
      <c r="DK26" s="78"/>
      <c r="DL26" s="85">
        <f t="shared" si="46"/>
        <v>0</v>
      </c>
      <c r="DM26" s="84"/>
      <c r="DN26" s="85">
        <f t="shared" si="47"/>
        <v>0</v>
      </c>
      <c r="DO26" s="85" t="str">
        <f t="shared" si="48"/>
        <v/>
      </c>
      <c r="DP26" s="85" t="str">
        <f t="shared" si="49"/>
        <v/>
      </c>
      <c r="DQ26" s="85" t="str">
        <f t="shared" si="50"/>
        <v/>
      </c>
      <c r="DR26">
        <v>24</v>
      </c>
      <c r="DS26" s="77" t="str">
        <f>Data!B25</f>
        <v xml:space="preserve">AHMED KHADIJA SHETTIMA </v>
      </c>
      <c r="DT26" s="91"/>
      <c r="DU26" s="91"/>
      <c r="DV26" s="91"/>
      <c r="DW26" s="91"/>
      <c r="DX26" s="92">
        <f t="shared" si="51"/>
        <v>0</v>
      </c>
      <c r="DY26" s="93"/>
      <c r="DZ26" s="92">
        <f t="shared" si="52"/>
        <v>0</v>
      </c>
      <c r="EA26" s="92" t="str">
        <f t="shared" si="53"/>
        <v/>
      </c>
      <c r="EB26" s="92" t="str">
        <f t="shared" si="54"/>
        <v/>
      </c>
      <c r="EC26" s="92" t="str">
        <f t="shared" si="55"/>
        <v/>
      </c>
      <c r="ED26">
        <v>24</v>
      </c>
      <c r="EE26" s="77" t="str">
        <f>Data!B25</f>
        <v xml:space="preserve">AHMED KHADIJA SHETTIMA </v>
      </c>
      <c r="EF26" s="78"/>
      <c r="EG26" s="78"/>
      <c r="EH26" s="78"/>
      <c r="EI26" s="78"/>
      <c r="EJ26" s="94">
        <f t="shared" si="56"/>
        <v>0</v>
      </c>
      <c r="EK26" s="94"/>
      <c r="EL26" s="94">
        <f t="shared" si="57"/>
        <v>0</v>
      </c>
      <c r="EM26" s="94" t="str">
        <f t="shared" si="58"/>
        <v/>
      </c>
      <c r="EN26" s="94" t="str">
        <f t="shared" si="59"/>
        <v/>
      </c>
      <c r="EO26" s="94" t="str">
        <f t="shared" si="60"/>
        <v/>
      </c>
      <c r="EP26">
        <v>24</v>
      </c>
      <c r="EQ26" s="95" t="str">
        <f>Data!B25</f>
        <v xml:space="preserve">AHMED KHADIJA SHETTIMA </v>
      </c>
      <c r="ER26" s="78"/>
      <c r="ES26" s="78"/>
      <c r="ET26" s="78"/>
      <c r="EU26" s="78"/>
      <c r="EV26" s="90">
        <f t="shared" si="61"/>
        <v>0</v>
      </c>
      <c r="EW26" s="90"/>
      <c r="EX26" s="90">
        <f t="shared" si="62"/>
        <v>0</v>
      </c>
      <c r="EY26" s="90" t="str">
        <f t="shared" si="63"/>
        <v/>
      </c>
      <c r="EZ26" s="90" t="str">
        <f t="shared" si="64"/>
        <v/>
      </c>
      <c r="FA26" s="90" t="str">
        <f t="shared" si="65"/>
        <v/>
      </c>
      <c r="FB26">
        <v>24</v>
      </c>
      <c r="FC26" s="77" t="str">
        <f>Data!B25</f>
        <v xml:space="preserve">AHMED KHADIJA SHETTIMA </v>
      </c>
      <c r="FD26" s="78"/>
      <c r="FE26" s="78"/>
      <c r="FF26" s="78"/>
      <c r="FG26" s="78"/>
      <c r="FH26" s="96">
        <f t="shared" si="66"/>
        <v>0</v>
      </c>
      <c r="FI26" s="96"/>
      <c r="FJ26" s="96">
        <f t="shared" si="67"/>
        <v>0</v>
      </c>
      <c r="FK26" s="96" t="str">
        <f t="shared" si="68"/>
        <v/>
      </c>
      <c r="FL26" s="96" t="str">
        <f t="shared" si="69"/>
        <v/>
      </c>
      <c r="FM26" s="96" t="str">
        <f t="shared" si="70"/>
        <v/>
      </c>
      <c r="FN26">
        <v>24</v>
      </c>
      <c r="FO26" s="77" t="str">
        <f>Data!B25</f>
        <v xml:space="preserve">AHMED KHADIJA SHETTIMA </v>
      </c>
      <c r="FP26" s="78"/>
      <c r="FQ26" s="78"/>
      <c r="FR26" s="78"/>
      <c r="FS26" s="78"/>
      <c r="FT26" s="97">
        <f t="shared" si="71"/>
        <v>0</v>
      </c>
      <c r="FU26" s="97"/>
      <c r="FV26" s="97">
        <f t="shared" si="72"/>
        <v>0</v>
      </c>
      <c r="FW26" s="97" t="str">
        <f t="shared" si="73"/>
        <v/>
      </c>
      <c r="FX26" s="97" t="str">
        <f t="shared" si="74"/>
        <v/>
      </c>
      <c r="FY26" s="97" t="str">
        <f t="shared" si="75"/>
        <v/>
      </c>
      <c r="FZ26">
        <v>24</v>
      </c>
      <c r="GA26" s="77" t="str">
        <f>Data!B25</f>
        <v xml:space="preserve">AHMED KHADIJA SHETTIMA </v>
      </c>
      <c r="GB26" s="78"/>
      <c r="GC26" s="78"/>
      <c r="GD26" s="78"/>
      <c r="GE26" s="78"/>
      <c r="GF26" s="98">
        <f t="shared" si="76"/>
        <v>0</v>
      </c>
      <c r="GG26" s="98"/>
      <c r="GH26" s="98">
        <f t="shared" si="77"/>
        <v>0</v>
      </c>
      <c r="GI26" s="98" t="str">
        <f t="shared" si="78"/>
        <v/>
      </c>
      <c r="GJ26" s="98" t="str">
        <f t="shared" si="79"/>
        <v/>
      </c>
      <c r="GK26" s="98" t="str">
        <f t="shared" si="80"/>
        <v/>
      </c>
      <c r="GL26">
        <v>24</v>
      </c>
      <c r="GM26" s="77" t="str">
        <f>Data!B25</f>
        <v xml:space="preserve">AHMED KHADIJA SHETTIMA </v>
      </c>
      <c r="GN26" s="99"/>
      <c r="GO26" s="99"/>
      <c r="GP26" s="99"/>
      <c r="GQ26" s="99"/>
      <c r="GR26" s="100">
        <f t="shared" si="81"/>
        <v>0</v>
      </c>
      <c r="GS26" s="99"/>
      <c r="GT26" s="100">
        <f t="shared" si="82"/>
        <v>0</v>
      </c>
      <c r="GU26" s="100" t="str">
        <f t="shared" si="83"/>
        <v/>
      </c>
      <c r="GV26" s="100" t="str">
        <f t="shared" si="84"/>
        <v/>
      </c>
      <c r="GW26" s="100" t="str">
        <f t="shared" si="85"/>
        <v/>
      </c>
      <c r="GX26">
        <v>24</v>
      </c>
      <c r="GY26" s="77" t="str">
        <f>Data!B25</f>
        <v xml:space="preserve">AHMED KHADIJA SHETTIMA </v>
      </c>
      <c r="GZ26" s="78"/>
      <c r="HA26" s="78"/>
      <c r="HB26" s="78"/>
      <c r="HC26" s="78"/>
      <c r="HD26" s="86">
        <f t="shared" si="86"/>
        <v>0</v>
      </c>
      <c r="HE26" s="86"/>
      <c r="HF26" s="86">
        <f t="shared" si="87"/>
        <v>0</v>
      </c>
      <c r="HG26" s="86" t="str">
        <f t="shared" si="88"/>
        <v/>
      </c>
      <c r="HH26" s="86" t="str">
        <f t="shared" si="89"/>
        <v/>
      </c>
      <c r="HI26" s="86" t="str">
        <f t="shared" si="90"/>
        <v/>
      </c>
      <c r="HJ26">
        <v>24</v>
      </c>
      <c r="HK26" s="77" t="str">
        <f>Data!B25</f>
        <v xml:space="preserve">AHMED KHADIJA SHETTIMA </v>
      </c>
      <c r="HL26" s="111"/>
      <c r="HM26" s="112"/>
      <c r="HN26" s="112"/>
      <c r="HO26" s="112"/>
      <c r="HP26" s="103">
        <f t="shared" si="91"/>
        <v>0</v>
      </c>
      <c r="HQ26" s="111"/>
      <c r="HR26" s="103">
        <f t="shared" si="92"/>
        <v>0</v>
      </c>
      <c r="HS26" s="103" t="str">
        <f t="shared" si="93"/>
        <v/>
      </c>
      <c r="HT26" s="103" t="str">
        <f t="shared" si="94"/>
        <v/>
      </c>
      <c r="HU26" s="103" t="str">
        <f t="shared" si="95"/>
        <v/>
      </c>
      <c r="HV26">
        <v>24</v>
      </c>
      <c r="HW26" s="77" t="str">
        <f>Data!B25</f>
        <v xml:space="preserve">AHMED KHADIJA SHETTIMA </v>
      </c>
      <c r="HX26" s="78"/>
      <c r="HY26" s="78"/>
      <c r="HZ26" s="78"/>
      <c r="IA26" s="78"/>
      <c r="IB26" s="85">
        <f t="shared" si="96"/>
        <v>0</v>
      </c>
      <c r="IC26" s="85"/>
      <c r="ID26" s="85">
        <f t="shared" si="97"/>
        <v>0</v>
      </c>
      <c r="IE26" s="85" t="str">
        <f t="shared" si="98"/>
        <v/>
      </c>
      <c r="IF26" s="85" t="str">
        <f t="shared" si="99"/>
        <v/>
      </c>
      <c r="IG26" s="85" t="str">
        <f t="shared" si="100"/>
        <v/>
      </c>
      <c r="IH26">
        <v>24</v>
      </c>
      <c r="II26" s="77" t="str">
        <f>Data!B25</f>
        <v xml:space="preserve">AHMED KHADIJA SHETTIMA </v>
      </c>
      <c r="IJ26" s="78"/>
      <c r="IK26" s="78"/>
      <c r="IL26" s="78"/>
      <c r="IM26" s="78"/>
      <c r="IN26" s="104">
        <f t="shared" si="101"/>
        <v>0</v>
      </c>
      <c r="IO26" s="104"/>
      <c r="IP26" s="104">
        <f t="shared" si="102"/>
        <v>0</v>
      </c>
      <c r="IQ26" s="104" t="str">
        <f t="shared" si="103"/>
        <v/>
      </c>
      <c r="IR26" s="104" t="str">
        <f t="shared" si="104"/>
        <v/>
      </c>
      <c r="IS26" s="104" t="str">
        <f t="shared" si="105"/>
        <v/>
      </c>
      <c r="IT26">
        <v>24</v>
      </c>
      <c r="IU26" s="77" t="str">
        <f t="shared" si="106"/>
        <v xml:space="preserve">AHMED KHADIJA SHETTIMA </v>
      </c>
      <c r="IV26" s="105"/>
      <c r="IW26" s="105"/>
      <c r="IX26" s="105"/>
      <c r="IY26" s="105"/>
      <c r="IZ26" s="98">
        <f t="shared" si="107"/>
        <v>0</v>
      </c>
      <c r="JA26" s="105"/>
      <c r="JB26" s="98">
        <f t="shared" si="108"/>
        <v>0</v>
      </c>
      <c r="JC26" s="98" t="str">
        <f t="shared" si="109"/>
        <v/>
      </c>
      <c r="JD26" s="98" t="str">
        <f t="shared" si="110"/>
        <v/>
      </c>
      <c r="JE26" s="98" t="str">
        <f t="shared" si="111"/>
        <v/>
      </c>
      <c r="JF26">
        <v>24</v>
      </c>
      <c r="JG26" s="77" t="str">
        <f t="shared" si="112"/>
        <v xml:space="preserve">AHMED KHADIJA SHETTIMA </v>
      </c>
      <c r="JH26" s="114"/>
      <c r="JI26" s="114"/>
      <c r="JJ26" s="114"/>
      <c r="JK26" s="114"/>
      <c r="JL26" s="82">
        <f t="shared" si="113"/>
        <v>0</v>
      </c>
      <c r="JM26" s="114"/>
      <c r="JN26" s="82">
        <f t="shared" si="114"/>
        <v>0</v>
      </c>
      <c r="JO26" s="82" t="str">
        <f t="shared" si="115"/>
        <v/>
      </c>
      <c r="JP26" s="82" t="str">
        <f t="shared" si="116"/>
        <v/>
      </c>
      <c r="JQ26" s="82" t="str">
        <f t="shared" si="117"/>
        <v/>
      </c>
      <c r="JR26">
        <v>24</v>
      </c>
      <c r="JS26" s="77" t="str">
        <f t="shared" si="118"/>
        <v xml:space="preserve">AHMED KHADIJA SHETTIMA </v>
      </c>
      <c r="JT26" s="107"/>
      <c r="JU26" s="107"/>
      <c r="JV26" s="107"/>
      <c r="JW26" s="107"/>
      <c r="JX26" s="80">
        <f t="shared" si="119"/>
        <v>0</v>
      </c>
      <c r="JY26" s="108"/>
      <c r="JZ26" s="80">
        <f t="shared" si="0"/>
        <v>0</v>
      </c>
      <c r="KA26" s="80" t="str">
        <f t="shared" si="120"/>
        <v/>
      </c>
      <c r="KB26" s="80" t="str">
        <f t="shared" si="121"/>
        <v/>
      </c>
      <c r="KC26" s="80" t="str">
        <f t="shared" si="122"/>
        <v/>
      </c>
      <c r="KE26" s="16"/>
      <c r="KF26" s="16"/>
      <c r="KG26" s="16"/>
      <c r="KH26" s="16"/>
      <c r="KI26" s="16"/>
      <c r="KJ26" s="16"/>
      <c r="KK26" s="16"/>
      <c r="KL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</row>
    <row r="27" spans="1:309" ht="23.25">
      <c r="A27" s="17">
        <v>25</v>
      </c>
      <c r="B27" s="186">
        <v>25</v>
      </c>
      <c r="C27" s="77" t="str">
        <f>Data!B26</f>
        <v xml:space="preserve">BABAGONI FATIMA SHETTIMA </v>
      </c>
      <c r="D27" s="87">
        <v>4</v>
      </c>
      <c r="E27" s="87">
        <v>9</v>
      </c>
      <c r="F27" s="87">
        <v>6</v>
      </c>
      <c r="G27" s="87">
        <v>6</v>
      </c>
      <c r="H27" s="88">
        <f t="shared" si="1"/>
        <v>25</v>
      </c>
      <c r="I27" s="87">
        <v>12</v>
      </c>
      <c r="J27" s="88">
        <f t="shared" si="2"/>
        <v>37</v>
      </c>
      <c r="K27" s="79">
        <f t="shared" si="3"/>
        <v>48</v>
      </c>
      <c r="L27" s="79" t="str">
        <f t="shared" si="4"/>
        <v>F</v>
      </c>
      <c r="M27" s="79" t="str">
        <f t="shared" si="5"/>
        <v>Fail</v>
      </c>
      <c r="N27" s="17">
        <v>25</v>
      </c>
      <c r="O27" s="77" t="str">
        <f>Data!B26</f>
        <v xml:space="preserve">BABAGONI FATIMA SHETTIMA </v>
      </c>
      <c r="P27" s="78"/>
      <c r="Q27" s="78"/>
      <c r="R27" s="78"/>
      <c r="S27" s="78"/>
      <c r="T27" s="80">
        <f t="shared" si="6"/>
        <v>0</v>
      </c>
      <c r="U27" s="80"/>
      <c r="V27" s="80">
        <f t="shared" si="7"/>
        <v>0</v>
      </c>
      <c r="W27" s="80" t="str">
        <f t="shared" si="8"/>
        <v/>
      </c>
      <c r="X27" s="80" t="str">
        <f t="shared" si="9"/>
        <v/>
      </c>
      <c r="Y27" s="80" t="str">
        <f t="shared" si="10"/>
        <v/>
      </c>
      <c r="Z27" s="11">
        <v>25</v>
      </c>
      <c r="AA27" s="77" t="str">
        <f>Data!B26</f>
        <v xml:space="preserve">BABAGONI FATIMA SHETTIMA </v>
      </c>
      <c r="AB27" s="87">
        <v>4</v>
      </c>
      <c r="AC27" s="87">
        <v>9</v>
      </c>
      <c r="AD27" s="87">
        <v>6</v>
      </c>
      <c r="AE27" s="87">
        <v>6</v>
      </c>
      <c r="AF27" s="88">
        <f t="shared" si="11"/>
        <v>25</v>
      </c>
      <c r="AG27" s="87">
        <v>12</v>
      </c>
      <c r="AH27" s="88">
        <f t="shared" si="12"/>
        <v>37</v>
      </c>
      <c r="AI27" s="82">
        <f t="shared" si="13"/>
        <v>48</v>
      </c>
      <c r="AJ27" s="82" t="str">
        <f t="shared" si="14"/>
        <v>F</v>
      </c>
      <c r="AK27" s="82" t="str">
        <f t="shared" si="15"/>
        <v>Fail</v>
      </c>
      <c r="AL27" s="11">
        <v>25</v>
      </c>
      <c r="AM27" s="77" t="str">
        <f>Data!B26</f>
        <v xml:space="preserve">BABAGONI FATIMA SHETTIMA </v>
      </c>
      <c r="AN27" s="87">
        <v>4</v>
      </c>
      <c r="AO27" s="87">
        <v>9</v>
      </c>
      <c r="AP27" s="87">
        <v>6</v>
      </c>
      <c r="AQ27" s="87">
        <v>6</v>
      </c>
      <c r="AR27" s="88">
        <f t="shared" si="16"/>
        <v>25</v>
      </c>
      <c r="AS27" s="87">
        <v>12</v>
      </c>
      <c r="AT27" s="88">
        <f t="shared" si="17"/>
        <v>37</v>
      </c>
      <c r="AU27" s="83">
        <f t="shared" si="18"/>
        <v>48</v>
      </c>
      <c r="AV27" s="83" t="str">
        <f t="shared" si="19"/>
        <v>F</v>
      </c>
      <c r="AW27" s="83" t="str">
        <f t="shared" si="20"/>
        <v>Fail</v>
      </c>
      <c r="AX27" s="11">
        <v>25</v>
      </c>
      <c r="AY27" s="77" t="str">
        <f>Data!B26</f>
        <v xml:space="preserve">BABAGONI FATIMA SHETTIMA </v>
      </c>
      <c r="AZ27" s="87">
        <v>4</v>
      </c>
      <c r="BA27" s="87">
        <v>9</v>
      </c>
      <c r="BB27" s="87">
        <v>6</v>
      </c>
      <c r="BC27" s="87">
        <v>6</v>
      </c>
      <c r="BD27" s="88">
        <f t="shared" si="21"/>
        <v>25</v>
      </c>
      <c r="BE27" s="87">
        <v>12</v>
      </c>
      <c r="BF27" s="88">
        <f t="shared" si="22"/>
        <v>37</v>
      </c>
      <c r="BG27" s="85">
        <f t="shared" si="23"/>
        <v>48</v>
      </c>
      <c r="BH27" s="85" t="str">
        <f t="shared" si="24"/>
        <v>F</v>
      </c>
      <c r="BI27" s="85" t="str">
        <f t="shared" si="25"/>
        <v>Fail</v>
      </c>
      <c r="BJ27" s="36">
        <v>25</v>
      </c>
      <c r="BK27" s="77" t="str">
        <f>Data!B26</f>
        <v xml:space="preserve">BABAGONI FATIMA SHETTIMA </v>
      </c>
      <c r="BL27" s="87">
        <v>4</v>
      </c>
      <c r="BM27" s="87">
        <v>9</v>
      </c>
      <c r="BN27" s="87">
        <v>6</v>
      </c>
      <c r="BO27" s="87">
        <v>6</v>
      </c>
      <c r="BP27" s="88">
        <f t="shared" si="26"/>
        <v>25</v>
      </c>
      <c r="BQ27" s="87">
        <v>12</v>
      </c>
      <c r="BR27" s="88">
        <f t="shared" si="27"/>
        <v>37</v>
      </c>
      <c r="BS27" s="86">
        <f t="shared" si="28"/>
        <v>48</v>
      </c>
      <c r="BT27" s="86" t="str">
        <f t="shared" si="29"/>
        <v>F</v>
      </c>
      <c r="BU27" s="86" t="str">
        <f t="shared" si="30"/>
        <v>Fail</v>
      </c>
      <c r="BV27">
        <v>25</v>
      </c>
      <c r="BW27" s="77" t="str">
        <f>Data!B26</f>
        <v xml:space="preserve">BABAGONI FATIMA SHETTIMA </v>
      </c>
      <c r="BX27" s="87">
        <v>4</v>
      </c>
      <c r="BY27" s="87">
        <v>9</v>
      </c>
      <c r="BZ27" s="87">
        <v>6</v>
      </c>
      <c r="CA27" s="87">
        <v>6</v>
      </c>
      <c r="CB27" s="88">
        <f t="shared" si="31"/>
        <v>25</v>
      </c>
      <c r="CC27" s="87">
        <v>12</v>
      </c>
      <c r="CD27" s="88">
        <f t="shared" si="32"/>
        <v>37</v>
      </c>
      <c r="CE27" s="88">
        <f t="shared" si="33"/>
        <v>48</v>
      </c>
      <c r="CF27" s="88" t="str">
        <f t="shared" si="34"/>
        <v>F</v>
      </c>
      <c r="CG27" s="88" t="str">
        <f t="shared" si="35"/>
        <v>Fail</v>
      </c>
      <c r="CH27">
        <v>25</v>
      </c>
      <c r="CI27" s="77" t="str">
        <f>Data!B26</f>
        <v xml:space="preserve">BABAGONI FATIMA SHETTIMA </v>
      </c>
      <c r="CJ27" s="78"/>
      <c r="CK27" s="78"/>
      <c r="CL27" s="78"/>
      <c r="CM27" s="78"/>
      <c r="CN27" s="89">
        <f t="shared" si="36"/>
        <v>0</v>
      </c>
      <c r="CO27" s="89"/>
      <c r="CP27" s="89">
        <f t="shared" si="37"/>
        <v>0</v>
      </c>
      <c r="CQ27" s="89" t="str">
        <f t="shared" si="38"/>
        <v/>
      </c>
      <c r="CR27" s="89" t="str">
        <f t="shared" si="39"/>
        <v/>
      </c>
      <c r="CS27" s="89" t="str">
        <f t="shared" si="40"/>
        <v/>
      </c>
      <c r="CT27">
        <v>25</v>
      </c>
      <c r="CU27" s="77" t="str">
        <f>Data!B26</f>
        <v xml:space="preserve">BABAGONI FATIMA SHETTIMA </v>
      </c>
      <c r="CV27" s="12"/>
      <c r="CW27" s="12"/>
      <c r="CX27" s="12"/>
      <c r="CY27" s="12"/>
      <c r="CZ27" s="90">
        <f t="shared" si="41"/>
        <v>0</v>
      </c>
      <c r="DA27" s="12"/>
      <c r="DB27" s="90">
        <f t="shared" si="42"/>
        <v>0</v>
      </c>
      <c r="DC27" s="90" t="str">
        <f t="shared" si="43"/>
        <v/>
      </c>
      <c r="DD27" s="90" t="str">
        <f t="shared" si="44"/>
        <v/>
      </c>
      <c r="DE27" s="90" t="str">
        <f t="shared" si="45"/>
        <v/>
      </c>
      <c r="DF27">
        <v>25</v>
      </c>
      <c r="DG27" s="77" t="str">
        <f>Data!B26</f>
        <v xml:space="preserve">BABAGONI FATIMA SHETTIMA </v>
      </c>
      <c r="DH27" s="78"/>
      <c r="DI27" s="78"/>
      <c r="DJ27" s="78"/>
      <c r="DK27" s="78"/>
      <c r="DL27" s="85">
        <f t="shared" si="46"/>
        <v>0</v>
      </c>
      <c r="DM27" s="84"/>
      <c r="DN27" s="85">
        <f t="shared" si="47"/>
        <v>0</v>
      </c>
      <c r="DO27" s="85" t="str">
        <f t="shared" si="48"/>
        <v/>
      </c>
      <c r="DP27" s="85" t="str">
        <f t="shared" si="49"/>
        <v/>
      </c>
      <c r="DQ27" s="85" t="str">
        <f t="shared" si="50"/>
        <v/>
      </c>
      <c r="DR27">
        <v>25</v>
      </c>
      <c r="DS27" s="77" t="str">
        <f>Data!B26</f>
        <v xml:space="preserve">BABAGONI FATIMA SHETTIMA </v>
      </c>
      <c r="DT27" s="91"/>
      <c r="DU27" s="91"/>
      <c r="DV27" s="91"/>
      <c r="DW27" s="91"/>
      <c r="DX27" s="92">
        <f t="shared" si="51"/>
        <v>0</v>
      </c>
      <c r="DY27" s="93"/>
      <c r="DZ27" s="92">
        <f t="shared" si="52"/>
        <v>0</v>
      </c>
      <c r="EA27" s="92" t="str">
        <f t="shared" si="53"/>
        <v/>
      </c>
      <c r="EB27" s="92" t="str">
        <f t="shared" si="54"/>
        <v/>
      </c>
      <c r="EC27" s="92" t="str">
        <f t="shared" si="55"/>
        <v/>
      </c>
      <c r="ED27">
        <v>25</v>
      </c>
      <c r="EE27" s="77" t="str">
        <f>Data!B26</f>
        <v xml:space="preserve">BABAGONI FATIMA SHETTIMA </v>
      </c>
      <c r="EF27" s="78"/>
      <c r="EG27" s="78"/>
      <c r="EH27" s="78"/>
      <c r="EI27" s="78"/>
      <c r="EJ27" s="94">
        <f t="shared" si="56"/>
        <v>0</v>
      </c>
      <c r="EK27" s="94"/>
      <c r="EL27" s="94">
        <f t="shared" si="57"/>
        <v>0</v>
      </c>
      <c r="EM27" s="94" t="str">
        <f t="shared" si="58"/>
        <v/>
      </c>
      <c r="EN27" s="94" t="str">
        <f t="shared" si="59"/>
        <v/>
      </c>
      <c r="EO27" s="94" t="str">
        <f t="shared" si="60"/>
        <v/>
      </c>
      <c r="EP27">
        <v>25</v>
      </c>
      <c r="EQ27" s="95" t="str">
        <f>Data!B26</f>
        <v xml:space="preserve">BABAGONI FATIMA SHETTIMA </v>
      </c>
      <c r="ER27" s="78"/>
      <c r="ES27" s="78"/>
      <c r="ET27" s="78"/>
      <c r="EU27" s="78"/>
      <c r="EV27" s="90">
        <f t="shared" si="61"/>
        <v>0</v>
      </c>
      <c r="EW27" s="90"/>
      <c r="EX27" s="90">
        <f t="shared" si="62"/>
        <v>0</v>
      </c>
      <c r="EY27" s="90" t="str">
        <f t="shared" si="63"/>
        <v/>
      </c>
      <c r="EZ27" s="90" t="str">
        <f t="shared" si="64"/>
        <v/>
      </c>
      <c r="FA27" s="90" t="str">
        <f t="shared" si="65"/>
        <v/>
      </c>
      <c r="FB27">
        <v>25</v>
      </c>
      <c r="FC27" s="77" t="str">
        <f>Data!B26</f>
        <v xml:space="preserve">BABAGONI FATIMA SHETTIMA </v>
      </c>
      <c r="FD27" s="78"/>
      <c r="FE27" s="78"/>
      <c r="FF27" s="78"/>
      <c r="FG27" s="78"/>
      <c r="FH27" s="96">
        <f t="shared" si="66"/>
        <v>0</v>
      </c>
      <c r="FI27" s="96"/>
      <c r="FJ27" s="96">
        <f t="shared" si="67"/>
        <v>0</v>
      </c>
      <c r="FK27" s="96" t="str">
        <f t="shared" si="68"/>
        <v/>
      </c>
      <c r="FL27" s="96" t="str">
        <f t="shared" si="69"/>
        <v/>
      </c>
      <c r="FM27" s="96" t="str">
        <f t="shared" si="70"/>
        <v/>
      </c>
      <c r="FN27">
        <v>25</v>
      </c>
      <c r="FO27" s="77" t="str">
        <f>Data!B26</f>
        <v xml:space="preserve">BABAGONI FATIMA SHETTIMA </v>
      </c>
      <c r="FP27" s="78"/>
      <c r="FQ27" s="78"/>
      <c r="FR27" s="78"/>
      <c r="FS27" s="78"/>
      <c r="FT27" s="97">
        <f t="shared" si="71"/>
        <v>0</v>
      </c>
      <c r="FU27" s="97"/>
      <c r="FV27" s="97">
        <f t="shared" si="72"/>
        <v>0</v>
      </c>
      <c r="FW27" s="97" t="str">
        <f t="shared" si="73"/>
        <v/>
      </c>
      <c r="FX27" s="97" t="str">
        <f t="shared" si="74"/>
        <v/>
      </c>
      <c r="FY27" s="97" t="str">
        <f t="shared" si="75"/>
        <v/>
      </c>
      <c r="FZ27">
        <v>25</v>
      </c>
      <c r="GA27" s="77" t="str">
        <f>Data!B26</f>
        <v xml:space="preserve">BABAGONI FATIMA SHETTIMA </v>
      </c>
      <c r="GB27" s="78"/>
      <c r="GC27" s="78"/>
      <c r="GD27" s="78"/>
      <c r="GE27" s="78"/>
      <c r="GF27" s="98">
        <f t="shared" si="76"/>
        <v>0</v>
      </c>
      <c r="GG27" s="98"/>
      <c r="GH27" s="98">
        <f t="shared" si="77"/>
        <v>0</v>
      </c>
      <c r="GI27" s="98" t="str">
        <f t="shared" si="78"/>
        <v/>
      </c>
      <c r="GJ27" s="98" t="str">
        <f t="shared" si="79"/>
        <v/>
      </c>
      <c r="GK27" s="98" t="str">
        <f t="shared" si="80"/>
        <v/>
      </c>
      <c r="GL27">
        <v>25</v>
      </c>
      <c r="GM27" s="77" t="str">
        <f>Data!B26</f>
        <v xml:space="preserve">BABAGONI FATIMA SHETTIMA </v>
      </c>
      <c r="GN27" s="99"/>
      <c r="GO27" s="99"/>
      <c r="GP27" s="99"/>
      <c r="GQ27" s="99"/>
      <c r="GR27" s="100">
        <f t="shared" si="81"/>
        <v>0</v>
      </c>
      <c r="GS27" s="99"/>
      <c r="GT27" s="100">
        <f t="shared" si="82"/>
        <v>0</v>
      </c>
      <c r="GU27" s="100" t="str">
        <f t="shared" si="83"/>
        <v/>
      </c>
      <c r="GV27" s="100" t="str">
        <f t="shared" si="84"/>
        <v/>
      </c>
      <c r="GW27" s="100" t="str">
        <f t="shared" si="85"/>
        <v/>
      </c>
      <c r="GX27">
        <v>25</v>
      </c>
      <c r="GY27" s="77" t="str">
        <f>Data!B26</f>
        <v xml:space="preserve">BABAGONI FATIMA SHETTIMA </v>
      </c>
      <c r="GZ27" s="78"/>
      <c r="HA27" s="78"/>
      <c r="HB27" s="78"/>
      <c r="HC27" s="78"/>
      <c r="HD27" s="86">
        <f t="shared" si="86"/>
        <v>0</v>
      </c>
      <c r="HE27" s="86"/>
      <c r="HF27" s="86">
        <f t="shared" si="87"/>
        <v>0</v>
      </c>
      <c r="HG27" s="86" t="str">
        <f t="shared" si="88"/>
        <v/>
      </c>
      <c r="HH27" s="86" t="str">
        <f t="shared" si="89"/>
        <v/>
      </c>
      <c r="HI27" s="86" t="str">
        <f t="shared" si="90"/>
        <v/>
      </c>
      <c r="HJ27">
        <v>25</v>
      </c>
      <c r="HK27" s="77" t="str">
        <f>Data!B26</f>
        <v xml:space="preserve">BABAGONI FATIMA SHETTIMA </v>
      </c>
      <c r="HL27" s="111"/>
      <c r="HM27" s="112"/>
      <c r="HN27" s="112"/>
      <c r="HO27" s="112"/>
      <c r="HP27" s="103">
        <f t="shared" si="91"/>
        <v>0</v>
      </c>
      <c r="HQ27" s="111"/>
      <c r="HR27" s="103">
        <f t="shared" si="92"/>
        <v>0</v>
      </c>
      <c r="HS27" s="103" t="str">
        <f t="shared" si="93"/>
        <v/>
      </c>
      <c r="HT27" s="103" t="str">
        <f t="shared" si="94"/>
        <v/>
      </c>
      <c r="HU27" s="103" t="str">
        <f t="shared" si="95"/>
        <v/>
      </c>
      <c r="HV27">
        <v>25</v>
      </c>
      <c r="HW27" s="77" t="str">
        <f>Data!B26</f>
        <v xml:space="preserve">BABAGONI FATIMA SHETTIMA </v>
      </c>
      <c r="HX27" s="78"/>
      <c r="HY27" s="78"/>
      <c r="HZ27" s="78"/>
      <c r="IA27" s="78"/>
      <c r="IB27" s="85">
        <f t="shared" si="96"/>
        <v>0</v>
      </c>
      <c r="IC27" s="85"/>
      <c r="ID27" s="85">
        <f t="shared" si="97"/>
        <v>0</v>
      </c>
      <c r="IE27" s="85" t="str">
        <f t="shared" si="98"/>
        <v/>
      </c>
      <c r="IF27" s="85" t="str">
        <f t="shared" si="99"/>
        <v/>
      </c>
      <c r="IG27" s="85" t="str">
        <f t="shared" si="100"/>
        <v/>
      </c>
      <c r="IH27">
        <v>25</v>
      </c>
      <c r="II27" s="77" t="str">
        <f>Data!B26</f>
        <v xml:space="preserve">BABAGONI FATIMA SHETTIMA </v>
      </c>
      <c r="IJ27" s="78"/>
      <c r="IK27" s="78"/>
      <c r="IL27" s="78"/>
      <c r="IM27" s="78"/>
      <c r="IN27" s="104">
        <f t="shared" si="101"/>
        <v>0</v>
      </c>
      <c r="IO27" s="104"/>
      <c r="IP27" s="104">
        <f t="shared" si="102"/>
        <v>0</v>
      </c>
      <c r="IQ27" s="104" t="str">
        <f t="shared" si="103"/>
        <v/>
      </c>
      <c r="IR27" s="104" t="str">
        <f t="shared" si="104"/>
        <v/>
      </c>
      <c r="IS27" s="104" t="str">
        <f t="shared" si="105"/>
        <v/>
      </c>
      <c r="IT27">
        <v>25</v>
      </c>
      <c r="IU27" s="77" t="str">
        <f t="shared" si="106"/>
        <v xml:space="preserve">BABAGONI FATIMA SHETTIMA </v>
      </c>
      <c r="IV27" s="105"/>
      <c r="IW27" s="105"/>
      <c r="IX27" s="105"/>
      <c r="IY27" s="105"/>
      <c r="IZ27" s="98">
        <f t="shared" si="107"/>
        <v>0</v>
      </c>
      <c r="JA27" s="105"/>
      <c r="JB27" s="98">
        <f t="shared" si="108"/>
        <v>0</v>
      </c>
      <c r="JC27" s="98" t="str">
        <f t="shared" si="109"/>
        <v/>
      </c>
      <c r="JD27" s="98" t="str">
        <f t="shared" si="110"/>
        <v/>
      </c>
      <c r="JE27" s="98" t="str">
        <f t="shared" si="111"/>
        <v/>
      </c>
      <c r="JF27">
        <v>25</v>
      </c>
      <c r="JG27" s="77" t="str">
        <f t="shared" si="112"/>
        <v xml:space="preserve">BABAGONI FATIMA SHETTIMA </v>
      </c>
      <c r="JH27" s="114"/>
      <c r="JI27" s="114"/>
      <c r="JJ27" s="114"/>
      <c r="JK27" s="114"/>
      <c r="JL27" s="82">
        <f t="shared" si="113"/>
        <v>0</v>
      </c>
      <c r="JM27" s="114"/>
      <c r="JN27" s="82">
        <f t="shared" si="114"/>
        <v>0</v>
      </c>
      <c r="JO27" s="82" t="str">
        <f t="shared" si="115"/>
        <v/>
      </c>
      <c r="JP27" s="82" t="str">
        <f t="shared" si="116"/>
        <v/>
      </c>
      <c r="JQ27" s="82" t="str">
        <f t="shared" si="117"/>
        <v/>
      </c>
      <c r="JR27">
        <v>25</v>
      </c>
      <c r="JS27" s="77" t="str">
        <f t="shared" si="118"/>
        <v xml:space="preserve">BABAGONI FATIMA SHETTIMA </v>
      </c>
      <c r="JT27" s="107"/>
      <c r="JU27" s="107"/>
      <c r="JV27" s="107"/>
      <c r="JW27" s="107"/>
      <c r="JX27" s="80">
        <f t="shared" si="119"/>
        <v>0</v>
      </c>
      <c r="JY27" s="108"/>
      <c r="JZ27" s="80">
        <f t="shared" si="0"/>
        <v>0</v>
      </c>
      <c r="KA27" s="80" t="str">
        <f t="shared" si="120"/>
        <v/>
      </c>
      <c r="KB27" s="80" t="str">
        <f t="shared" si="121"/>
        <v/>
      </c>
      <c r="KC27" s="80" t="str">
        <f t="shared" si="122"/>
        <v/>
      </c>
      <c r="KE27" s="16"/>
      <c r="KF27" s="16"/>
      <c r="KG27" s="16"/>
      <c r="KH27" s="16"/>
      <c r="KI27" s="16"/>
      <c r="KJ27" s="16"/>
      <c r="KK27" s="16"/>
      <c r="KL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</row>
    <row r="28" spans="1:309" ht="23.25">
      <c r="A28" s="17">
        <v>26</v>
      </c>
      <c r="B28" s="186">
        <v>26</v>
      </c>
      <c r="C28" s="77" t="str">
        <f>Data!B27</f>
        <v xml:space="preserve">BASHIR FATIMA </v>
      </c>
      <c r="D28" s="87">
        <v>6</v>
      </c>
      <c r="E28" s="87">
        <v>6</v>
      </c>
      <c r="F28" s="87">
        <v>6</v>
      </c>
      <c r="G28" s="87">
        <v>6</v>
      </c>
      <c r="H28" s="88">
        <f t="shared" si="1"/>
        <v>24</v>
      </c>
      <c r="I28" s="87">
        <v>13</v>
      </c>
      <c r="J28" s="88">
        <f t="shared" si="2"/>
        <v>37</v>
      </c>
      <c r="K28" s="79">
        <f t="shared" si="3"/>
        <v>48</v>
      </c>
      <c r="L28" s="79" t="str">
        <f t="shared" si="4"/>
        <v>F</v>
      </c>
      <c r="M28" s="79" t="str">
        <f t="shared" si="5"/>
        <v>Fail</v>
      </c>
      <c r="N28" s="17">
        <v>26</v>
      </c>
      <c r="O28" s="77" t="str">
        <f>Data!B27</f>
        <v xml:space="preserve">BASHIR FATIMA </v>
      </c>
      <c r="P28" s="78"/>
      <c r="Q28" s="78"/>
      <c r="R28" s="78"/>
      <c r="S28" s="78"/>
      <c r="T28" s="80">
        <f t="shared" si="6"/>
        <v>0</v>
      </c>
      <c r="U28" s="80"/>
      <c r="V28" s="80">
        <f t="shared" si="7"/>
        <v>0</v>
      </c>
      <c r="W28" s="80" t="str">
        <f t="shared" si="8"/>
        <v/>
      </c>
      <c r="X28" s="80" t="str">
        <f t="shared" si="9"/>
        <v/>
      </c>
      <c r="Y28" s="80" t="str">
        <f t="shared" si="10"/>
        <v/>
      </c>
      <c r="Z28" s="11">
        <v>26</v>
      </c>
      <c r="AA28" s="77" t="str">
        <f>Data!B27</f>
        <v xml:space="preserve">BASHIR FATIMA </v>
      </c>
      <c r="AB28" s="87">
        <v>6</v>
      </c>
      <c r="AC28" s="87">
        <v>6</v>
      </c>
      <c r="AD28" s="87">
        <v>6</v>
      </c>
      <c r="AE28" s="87">
        <v>6</v>
      </c>
      <c r="AF28" s="88">
        <f t="shared" si="11"/>
        <v>24</v>
      </c>
      <c r="AG28" s="87">
        <v>13</v>
      </c>
      <c r="AH28" s="88">
        <f t="shared" si="12"/>
        <v>37</v>
      </c>
      <c r="AI28" s="82">
        <f t="shared" si="13"/>
        <v>48</v>
      </c>
      <c r="AJ28" s="82" t="str">
        <f t="shared" si="14"/>
        <v>F</v>
      </c>
      <c r="AK28" s="82" t="str">
        <f t="shared" si="15"/>
        <v>Fail</v>
      </c>
      <c r="AL28" s="11">
        <v>26</v>
      </c>
      <c r="AM28" s="77" t="str">
        <f>Data!B27</f>
        <v xml:space="preserve">BASHIR FATIMA </v>
      </c>
      <c r="AN28" s="87">
        <v>6</v>
      </c>
      <c r="AO28" s="87">
        <v>6</v>
      </c>
      <c r="AP28" s="87">
        <v>6</v>
      </c>
      <c r="AQ28" s="87">
        <v>6</v>
      </c>
      <c r="AR28" s="88">
        <f t="shared" si="16"/>
        <v>24</v>
      </c>
      <c r="AS28" s="87">
        <v>13</v>
      </c>
      <c r="AT28" s="88">
        <f t="shared" si="17"/>
        <v>37</v>
      </c>
      <c r="AU28" s="83">
        <f t="shared" si="18"/>
        <v>48</v>
      </c>
      <c r="AV28" s="83" t="str">
        <f t="shared" si="19"/>
        <v>F</v>
      </c>
      <c r="AW28" s="83" t="str">
        <f t="shared" si="20"/>
        <v>Fail</v>
      </c>
      <c r="AX28" s="11">
        <v>26</v>
      </c>
      <c r="AY28" s="77" t="str">
        <f>Data!B27</f>
        <v xml:space="preserve">BASHIR FATIMA </v>
      </c>
      <c r="AZ28" s="87">
        <v>6</v>
      </c>
      <c r="BA28" s="87">
        <v>6</v>
      </c>
      <c r="BB28" s="87">
        <v>6</v>
      </c>
      <c r="BC28" s="87">
        <v>6</v>
      </c>
      <c r="BD28" s="88">
        <f t="shared" si="21"/>
        <v>24</v>
      </c>
      <c r="BE28" s="87">
        <v>13</v>
      </c>
      <c r="BF28" s="88">
        <f t="shared" si="22"/>
        <v>37</v>
      </c>
      <c r="BG28" s="85">
        <f t="shared" si="23"/>
        <v>48</v>
      </c>
      <c r="BH28" s="85" t="str">
        <f t="shared" si="24"/>
        <v>F</v>
      </c>
      <c r="BI28" s="85" t="str">
        <f t="shared" si="25"/>
        <v>Fail</v>
      </c>
      <c r="BJ28" s="36">
        <v>26</v>
      </c>
      <c r="BK28" s="77" t="str">
        <f>Data!B27</f>
        <v xml:space="preserve">BASHIR FATIMA </v>
      </c>
      <c r="BL28" s="87">
        <v>6</v>
      </c>
      <c r="BM28" s="87">
        <v>6</v>
      </c>
      <c r="BN28" s="87">
        <v>6</v>
      </c>
      <c r="BO28" s="87">
        <v>6</v>
      </c>
      <c r="BP28" s="88">
        <f t="shared" si="26"/>
        <v>24</v>
      </c>
      <c r="BQ28" s="87">
        <v>13</v>
      </c>
      <c r="BR28" s="88">
        <f t="shared" si="27"/>
        <v>37</v>
      </c>
      <c r="BS28" s="86">
        <f t="shared" si="28"/>
        <v>48</v>
      </c>
      <c r="BT28" s="86" t="str">
        <f t="shared" si="29"/>
        <v>F</v>
      </c>
      <c r="BU28" s="86" t="str">
        <f t="shared" si="30"/>
        <v>Fail</v>
      </c>
      <c r="BV28">
        <v>26</v>
      </c>
      <c r="BW28" s="77" t="str">
        <f>Data!B27</f>
        <v xml:space="preserve">BASHIR FATIMA </v>
      </c>
      <c r="BX28" s="87">
        <v>6</v>
      </c>
      <c r="BY28" s="87">
        <v>6</v>
      </c>
      <c r="BZ28" s="87">
        <v>6</v>
      </c>
      <c r="CA28" s="87">
        <v>6</v>
      </c>
      <c r="CB28" s="88">
        <f t="shared" si="31"/>
        <v>24</v>
      </c>
      <c r="CC28" s="87">
        <v>13</v>
      </c>
      <c r="CD28" s="88">
        <f t="shared" si="32"/>
        <v>37</v>
      </c>
      <c r="CE28" s="88">
        <f t="shared" si="33"/>
        <v>48</v>
      </c>
      <c r="CF28" s="88" t="str">
        <f t="shared" si="34"/>
        <v>F</v>
      </c>
      <c r="CG28" s="88" t="str">
        <f t="shared" si="35"/>
        <v>Fail</v>
      </c>
      <c r="CH28">
        <v>26</v>
      </c>
      <c r="CI28" s="77" t="str">
        <f>Data!B27</f>
        <v xml:space="preserve">BASHIR FATIMA </v>
      </c>
      <c r="CJ28" s="78"/>
      <c r="CK28" s="78"/>
      <c r="CL28" s="78"/>
      <c r="CM28" s="78"/>
      <c r="CN28" s="89">
        <f t="shared" si="36"/>
        <v>0</v>
      </c>
      <c r="CO28" s="89"/>
      <c r="CP28" s="89">
        <f t="shared" si="37"/>
        <v>0</v>
      </c>
      <c r="CQ28" s="89" t="str">
        <f t="shared" si="38"/>
        <v/>
      </c>
      <c r="CR28" s="89" t="str">
        <f t="shared" si="39"/>
        <v/>
      </c>
      <c r="CS28" s="89" t="str">
        <f t="shared" si="40"/>
        <v/>
      </c>
      <c r="CT28">
        <v>26</v>
      </c>
      <c r="CU28" s="77" t="str">
        <f>Data!B27</f>
        <v xml:space="preserve">BASHIR FATIMA </v>
      </c>
      <c r="CV28" s="12"/>
      <c r="CW28" s="12"/>
      <c r="CX28" s="12"/>
      <c r="CY28" s="12"/>
      <c r="CZ28" s="90">
        <f t="shared" si="41"/>
        <v>0</v>
      </c>
      <c r="DA28" s="12"/>
      <c r="DB28" s="90">
        <f t="shared" si="42"/>
        <v>0</v>
      </c>
      <c r="DC28" s="90" t="str">
        <f t="shared" si="43"/>
        <v/>
      </c>
      <c r="DD28" s="90" t="str">
        <f t="shared" si="44"/>
        <v/>
      </c>
      <c r="DE28" s="90" t="str">
        <f t="shared" si="45"/>
        <v/>
      </c>
      <c r="DF28">
        <v>26</v>
      </c>
      <c r="DG28" s="77" t="str">
        <f>Data!B27</f>
        <v xml:space="preserve">BASHIR FATIMA </v>
      </c>
      <c r="DH28" s="78"/>
      <c r="DI28" s="78"/>
      <c r="DJ28" s="78"/>
      <c r="DK28" s="78"/>
      <c r="DL28" s="85">
        <f t="shared" si="46"/>
        <v>0</v>
      </c>
      <c r="DM28" s="84"/>
      <c r="DN28" s="85">
        <f t="shared" si="47"/>
        <v>0</v>
      </c>
      <c r="DO28" s="85" t="str">
        <f t="shared" si="48"/>
        <v/>
      </c>
      <c r="DP28" s="85" t="str">
        <f t="shared" si="49"/>
        <v/>
      </c>
      <c r="DQ28" s="85" t="str">
        <f t="shared" si="50"/>
        <v/>
      </c>
      <c r="DR28">
        <v>26</v>
      </c>
      <c r="DS28" s="77" t="str">
        <f>Data!B27</f>
        <v xml:space="preserve">BASHIR FATIMA </v>
      </c>
      <c r="DT28" s="91"/>
      <c r="DU28" s="91"/>
      <c r="DV28" s="91"/>
      <c r="DW28" s="91"/>
      <c r="DX28" s="92">
        <f t="shared" si="51"/>
        <v>0</v>
      </c>
      <c r="DY28" s="93"/>
      <c r="DZ28" s="92">
        <f t="shared" si="52"/>
        <v>0</v>
      </c>
      <c r="EA28" s="92" t="str">
        <f t="shared" si="53"/>
        <v/>
      </c>
      <c r="EB28" s="92" t="str">
        <f t="shared" si="54"/>
        <v/>
      </c>
      <c r="EC28" s="92" t="str">
        <f t="shared" si="55"/>
        <v/>
      </c>
      <c r="ED28">
        <v>26</v>
      </c>
      <c r="EE28" s="77" t="str">
        <f>Data!B27</f>
        <v xml:space="preserve">BASHIR FATIMA </v>
      </c>
      <c r="EF28" s="78"/>
      <c r="EG28" s="78"/>
      <c r="EH28" s="78"/>
      <c r="EI28" s="78"/>
      <c r="EJ28" s="94">
        <f t="shared" si="56"/>
        <v>0</v>
      </c>
      <c r="EK28" s="94"/>
      <c r="EL28" s="94">
        <f t="shared" si="57"/>
        <v>0</v>
      </c>
      <c r="EM28" s="94" t="str">
        <f t="shared" si="58"/>
        <v/>
      </c>
      <c r="EN28" s="94" t="str">
        <f t="shared" si="59"/>
        <v/>
      </c>
      <c r="EO28" s="94" t="str">
        <f t="shared" si="60"/>
        <v/>
      </c>
      <c r="EP28">
        <v>26</v>
      </c>
      <c r="EQ28" s="95" t="str">
        <f>Data!B27</f>
        <v xml:space="preserve">BASHIR FATIMA </v>
      </c>
      <c r="ER28" s="78"/>
      <c r="ES28" s="78"/>
      <c r="ET28" s="78"/>
      <c r="EU28" s="78"/>
      <c r="EV28" s="90">
        <f t="shared" si="61"/>
        <v>0</v>
      </c>
      <c r="EW28" s="90"/>
      <c r="EX28" s="90">
        <f t="shared" si="62"/>
        <v>0</v>
      </c>
      <c r="EY28" s="90" t="str">
        <f t="shared" si="63"/>
        <v/>
      </c>
      <c r="EZ28" s="90" t="str">
        <f t="shared" si="64"/>
        <v/>
      </c>
      <c r="FA28" s="90" t="str">
        <f t="shared" si="65"/>
        <v/>
      </c>
      <c r="FB28">
        <v>26</v>
      </c>
      <c r="FC28" s="77" t="str">
        <f>Data!B27</f>
        <v xml:space="preserve">BASHIR FATIMA </v>
      </c>
      <c r="FD28" s="78"/>
      <c r="FE28" s="78"/>
      <c r="FF28" s="78"/>
      <c r="FG28" s="78"/>
      <c r="FH28" s="96">
        <f t="shared" si="66"/>
        <v>0</v>
      </c>
      <c r="FI28" s="96"/>
      <c r="FJ28" s="96">
        <f t="shared" si="67"/>
        <v>0</v>
      </c>
      <c r="FK28" s="96" t="str">
        <f t="shared" si="68"/>
        <v/>
      </c>
      <c r="FL28" s="96" t="str">
        <f t="shared" si="69"/>
        <v/>
      </c>
      <c r="FM28" s="96" t="str">
        <f t="shared" si="70"/>
        <v/>
      </c>
      <c r="FN28">
        <v>26</v>
      </c>
      <c r="FO28" s="77" t="str">
        <f>Data!B27</f>
        <v xml:space="preserve">BASHIR FATIMA </v>
      </c>
      <c r="FP28" s="78"/>
      <c r="FQ28" s="78"/>
      <c r="FR28" s="78"/>
      <c r="FS28" s="78"/>
      <c r="FT28" s="97">
        <f t="shared" si="71"/>
        <v>0</v>
      </c>
      <c r="FU28" s="97"/>
      <c r="FV28" s="97">
        <f t="shared" si="72"/>
        <v>0</v>
      </c>
      <c r="FW28" s="97" t="str">
        <f t="shared" si="73"/>
        <v/>
      </c>
      <c r="FX28" s="97" t="str">
        <f t="shared" si="74"/>
        <v/>
      </c>
      <c r="FY28" s="97" t="str">
        <f t="shared" si="75"/>
        <v/>
      </c>
      <c r="FZ28">
        <v>26</v>
      </c>
      <c r="GA28" s="77" t="str">
        <f>Data!B27</f>
        <v xml:space="preserve">BASHIR FATIMA </v>
      </c>
      <c r="GB28" s="78"/>
      <c r="GC28" s="78"/>
      <c r="GD28" s="78"/>
      <c r="GE28" s="78"/>
      <c r="GF28" s="98">
        <f t="shared" si="76"/>
        <v>0</v>
      </c>
      <c r="GG28" s="98"/>
      <c r="GH28" s="98">
        <f t="shared" si="77"/>
        <v>0</v>
      </c>
      <c r="GI28" s="98" t="str">
        <f t="shared" si="78"/>
        <v/>
      </c>
      <c r="GJ28" s="98" t="str">
        <f t="shared" si="79"/>
        <v/>
      </c>
      <c r="GK28" s="98" t="str">
        <f t="shared" si="80"/>
        <v/>
      </c>
      <c r="GL28">
        <v>26</v>
      </c>
      <c r="GM28" s="77" t="str">
        <f>Data!B27</f>
        <v xml:space="preserve">BASHIR FATIMA </v>
      </c>
      <c r="GN28" s="99"/>
      <c r="GO28" s="99"/>
      <c r="GP28" s="99"/>
      <c r="GQ28" s="99"/>
      <c r="GR28" s="100">
        <f t="shared" si="81"/>
        <v>0</v>
      </c>
      <c r="GS28" s="99"/>
      <c r="GT28" s="100">
        <f t="shared" si="82"/>
        <v>0</v>
      </c>
      <c r="GU28" s="100" t="str">
        <f t="shared" si="83"/>
        <v/>
      </c>
      <c r="GV28" s="100" t="str">
        <f t="shared" si="84"/>
        <v/>
      </c>
      <c r="GW28" s="100" t="str">
        <f t="shared" si="85"/>
        <v/>
      </c>
      <c r="GX28">
        <v>26</v>
      </c>
      <c r="GY28" s="77" t="str">
        <f>Data!B27</f>
        <v xml:space="preserve">BASHIR FATIMA </v>
      </c>
      <c r="GZ28" s="78"/>
      <c r="HA28" s="78"/>
      <c r="HB28" s="78"/>
      <c r="HC28" s="78"/>
      <c r="HD28" s="86">
        <f t="shared" si="86"/>
        <v>0</v>
      </c>
      <c r="HE28" s="86"/>
      <c r="HF28" s="86">
        <f t="shared" si="87"/>
        <v>0</v>
      </c>
      <c r="HG28" s="86" t="str">
        <f t="shared" si="88"/>
        <v/>
      </c>
      <c r="HH28" s="86" t="str">
        <f t="shared" si="89"/>
        <v/>
      </c>
      <c r="HI28" s="86" t="str">
        <f t="shared" si="90"/>
        <v/>
      </c>
      <c r="HJ28">
        <v>26</v>
      </c>
      <c r="HK28" s="77" t="str">
        <f>Data!B27</f>
        <v xml:space="preserve">BASHIR FATIMA </v>
      </c>
      <c r="HL28" s="111"/>
      <c r="HM28" s="112"/>
      <c r="HN28" s="112"/>
      <c r="HO28" s="112"/>
      <c r="HP28" s="103">
        <f t="shared" si="91"/>
        <v>0</v>
      </c>
      <c r="HQ28" s="111"/>
      <c r="HR28" s="103">
        <f t="shared" si="92"/>
        <v>0</v>
      </c>
      <c r="HS28" s="103" t="str">
        <f t="shared" si="93"/>
        <v/>
      </c>
      <c r="HT28" s="103" t="str">
        <f t="shared" si="94"/>
        <v/>
      </c>
      <c r="HU28" s="103" t="str">
        <f t="shared" si="95"/>
        <v/>
      </c>
      <c r="HV28">
        <v>26</v>
      </c>
      <c r="HW28" s="77" t="str">
        <f>Data!B27</f>
        <v xml:space="preserve">BASHIR FATIMA </v>
      </c>
      <c r="HX28" s="78"/>
      <c r="HY28" s="78"/>
      <c r="HZ28" s="78"/>
      <c r="IA28" s="78"/>
      <c r="IB28" s="85">
        <f t="shared" si="96"/>
        <v>0</v>
      </c>
      <c r="IC28" s="85"/>
      <c r="ID28" s="85">
        <f t="shared" si="97"/>
        <v>0</v>
      </c>
      <c r="IE28" s="85" t="str">
        <f t="shared" si="98"/>
        <v/>
      </c>
      <c r="IF28" s="85" t="str">
        <f t="shared" si="99"/>
        <v/>
      </c>
      <c r="IG28" s="85" t="str">
        <f t="shared" si="100"/>
        <v/>
      </c>
      <c r="IH28">
        <v>26</v>
      </c>
      <c r="II28" s="77" t="str">
        <f>Data!B27</f>
        <v xml:space="preserve">BASHIR FATIMA </v>
      </c>
      <c r="IJ28" s="78"/>
      <c r="IK28" s="78"/>
      <c r="IL28" s="78"/>
      <c r="IM28" s="78"/>
      <c r="IN28" s="104">
        <f t="shared" si="101"/>
        <v>0</v>
      </c>
      <c r="IO28" s="104"/>
      <c r="IP28" s="104">
        <f t="shared" si="102"/>
        <v>0</v>
      </c>
      <c r="IQ28" s="104" t="str">
        <f t="shared" si="103"/>
        <v/>
      </c>
      <c r="IR28" s="104" t="str">
        <f t="shared" si="104"/>
        <v/>
      </c>
      <c r="IS28" s="104" t="str">
        <f t="shared" si="105"/>
        <v/>
      </c>
      <c r="IT28">
        <v>26</v>
      </c>
      <c r="IU28" s="77" t="str">
        <f t="shared" si="106"/>
        <v xml:space="preserve">BASHIR FATIMA </v>
      </c>
      <c r="IV28" s="105"/>
      <c r="IW28" s="105"/>
      <c r="IX28" s="105"/>
      <c r="IY28" s="105"/>
      <c r="IZ28" s="98">
        <f t="shared" si="107"/>
        <v>0</v>
      </c>
      <c r="JA28" s="105"/>
      <c r="JB28" s="98">
        <f t="shared" si="108"/>
        <v>0</v>
      </c>
      <c r="JC28" s="98" t="str">
        <f t="shared" si="109"/>
        <v/>
      </c>
      <c r="JD28" s="98" t="str">
        <f t="shared" si="110"/>
        <v/>
      </c>
      <c r="JE28" s="98" t="str">
        <f t="shared" si="111"/>
        <v/>
      </c>
      <c r="JF28">
        <v>26</v>
      </c>
      <c r="JG28" s="77" t="str">
        <f t="shared" si="112"/>
        <v xml:space="preserve">BASHIR FATIMA </v>
      </c>
      <c r="JH28" s="114"/>
      <c r="JI28" s="114"/>
      <c r="JJ28" s="114"/>
      <c r="JK28" s="114"/>
      <c r="JL28" s="82">
        <f t="shared" si="113"/>
        <v>0</v>
      </c>
      <c r="JM28" s="114"/>
      <c r="JN28" s="82">
        <f t="shared" si="114"/>
        <v>0</v>
      </c>
      <c r="JO28" s="82" t="str">
        <f t="shared" si="115"/>
        <v/>
      </c>
      <c r="JP28" s="82" t="str">
        <f t="shared" si="116"/>
        <v/>
      </c>
      <c r="JQ28" s="82" t="str">
        <f t="shared" si="117"/>
        <v/>
      </c>
      <c r="JR28">
        <v>26</v>
      </c>
      <c r="JS28" s="77" t="str">
        <f t="shared" si="118"/>
        <v xml:space="preserve">BASHIR FATIMA </v>
      </c>
      <c r="JT28" s="107"/>
      <c r="JU28" s="107"/>
      <c r="JV28" s="107"/>
      <c r="JW28" s="107"/>
      <c r="JX28" s="80">
        <f t="shared" si="119"/>
        <v>0</v>
      </c>
      <c r="JY28" s="108"/>
      <c r="JZ28" s="80">
        <f t="shared" si="0"/>
        <v>0</v>
      </c>
      <c r="KA28" s="80" t="str">
        <f t="shared" si="120"/>
        <v/>
      </c>
      <c r="KB28" s="80" t="str">
        <f t="shared" si="121"/>
        <v/>
      </c>
      <c r="KC28" s="80" t="str">
        <f t="shared" si="122"/>
        <v/>
      </c>
      <c r="KE28" s="16"/>
      <c r="KF28" s="16"/>
      <c r="KG28" s="16"/>
      <c r="KH28" s="16"/>
      <c r="KI28" s="16"/>
      <c r="KJ28" s="16"/>
      <c r="KK28" s="16"/>
      <c r="KL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</row>
    <row r="29" spans="1:309" ht="23.25">
      <c r="A29" s="17">
        <v>27</v>
      </c>
      <c r="B29" s="186">
        <v>27</v>
      </c>
      <c r="C29" s="77" t="str">
        <f>Data!B28</f>
        <v>BELLO AMINA ABDULLAHI</v>
      </c>
      <c r="D29" s="87">
        <v>8</v>
      </c>
      <c r="E29" s="87">
        <v>6</v>
      </c>
      <c r="F29" s="87">
        <v>7</v>
      </c>
      <c r="G29" s="87">
        <v>8</v>
      </c>
      <c r="H29" s="88">
        <f t="shared" si="1"/>
        <v>29</v>
      </c>
      <c r="I29" s="87">
        <v>30</v>
      </c>
      <c r="J29" s="88">
        <f t="shared" si="2"/>
        <v>59</v>
      </c>
      <c r="K29" s="79">
        <f t="shared" si="3"/>
        <v>19</v>
      </c>
      <c r="L29" s="79" t="str">
        <f t="shared" si="4"/>
        <v>C5</v>
      </c>
      <c r="M29" s="79" t="str">
        <f t="shared" si="5"/>
        <v>Credit</v>
      </c>
      <c r="N29" s="17">
        <v>27</v>
      </c>
      <c r="O29" s="77" t="str">
        <f>Data!B28</f>
        <v>BELLO AMINA ABDULLAHI</v>
      </c>
      <c r="P29" s="78"/>
      <c r="Q29" s="78"/>
      <c r="R29" s="78"/>
      <c r="S29" s="78"/>
      <c r="T29" s="80">
        <f t="shared" si="6"/>
        <v>0</v>
      </c>
      <c r="U29" s="80"/>
      <c r="V29" s="80">
        <f t="shared" si="7"/>
        <v>0</v>
      </c>
      <c r="W29" s="80" t="str">
        <f t="shared" si="8"/>
        <v/>
      </c>
      <c r="X29" s="80" t="str">
        <f t="shared" si="9"/>
        <v/>
      </c>
      <c r="Y29" s="80" t="str">
        <f t="shared" si="10"/>
        <v/>
      </c>
      <c r="Z29" s="11">
        <v>27</v>
      </c>
      <c r="AA29" s="77" t="str">
        <f>Data!B28</f>
        <v>BELLO AMINA ABDULLAHI</v>
      </c>
      <c r="AB29" s="87">
        <v>8</v>
      </c>
      <c r="AC29" s="87">
        <v>6</v>
      </c>
      <c r="AD29" s="87">
        <v>7</v>
      </c>
      <c r="AE29" s="87">
        <v>8</v>
      </c>
      <c r="AF29" s="88">
        <f t="shared" si="11"/>
        <v>29</v>
      </c>
      <c r="AG29" s="87">
        <v>30</v>
      </c>
      <c r="AH29" s="88">
        <f t="shared" si="12"/>
        <v>59</v>
      </c>
      <c r="AI29" s="82">
        <f t="shared" si="13"/>
        <v>19</v>
      </c>
      <c r="AJ29" s="82" t="str">
        <f t="shared" si="14"/>
        <v>C5</v>
      </c>
      <c r="AK29" s="82" t="str">
        <f t="shared" si="15"/>
        <v>Credit</v>
      </c>
      <c r="AL29" s="11">
        <v>27</v>
      </c>
      <c r="AM29" s="77" t="str">
        <f>Data!B28</f>
        <v>BELLO AMINA ABDULLAHI</v>
      </c>
      <c r="AN29" s="87">
        <v>8</v>
      </c>
      <c r="AO29" s="87">
        <v>6</v>
      </c>
      <c r="AP29" s="87">
        <v>7</v>
      </c>
      <c r="AQ29" s="87">
        <v>8</v>
      </c>
      <c r="AR29" s="88">
        <f t="shared" si="16"/>
        <v>29</v>
      </c>
      <c r="AS29" s="87">
        <v>30</v>
      </c>
      <c r="AT29" s="88">
        <f t="shared" si="17"/>
        <v>59</v>
      </c>
      <c r="AU29" s="83">
        <f t="shared" si="18"/>
        <v>19</v>
      </c>
      <c r="AV29" s="83" t="str">
        <f t="shared" si="19"/>
        <v>C5</v>
      </c>
      <c r="AW29" s="83" t="str">
        <f t="shared" si="20"/>
        <v>Credit</v>
      </c>
      <c r="AX29" s="11">
        <v>27</v>
      </c>
      <c r="AY29" s="77" t="str">
        <f>Data!B28</f>
        <v>BELLO AMINA ABDULLAHI</v>
      </c>
      <c r="AZ29" s="87">
        <v>8</v>
      </c>
      <c r="BA29" s="87">
        <v>6</v>
      </c>
      <c r="BB29" s="87">
        <v>7</v>
      </c>
      <c r="BC29" s="87">
        <v>8</v>
      </c>
      <c r="BD29" s="88">
        <f t="shared" si="21"/>
        <v>29</v>
      </c>
      <c r="BE29" s="87">
        <v>30</v>
      </c>
      <c r="BF29" s="88">
        <f t="shared" si="22"/>
        <v>59</v>
      </c>
      <c r="BG29" s="85">
        <f t="shared" si="23"/>
        <v>19</v>
      </c>
      <c r="BH29" s="85" t="str">
        <f t="shared" si="24"/>
        <v>C5</v>
      </c>
      <c r="BI29" s="85" t="str">
        <f t="shared" si="25"/>
        <v>Credit</v>
      </c>
      <c r="BJ29" s="36">
        <v>27</v>
      </c>
      <c r="BK29" s="77" t="str">
        <f>Data!B28</f>
        <v>BELLO AMINA ABDULLAHI</v>
      </c>
      <c r="BL29" s="87">
        <v>8</v>
      </c>
      <c r="BM29" s="87">
        <v>6</v>
      </c>
      <c r="BN29" s="87">
        <v>7</v>
      </c>
      <c r="BO29" s="87">
        <v>8</v>
      </c>
      <c r="BP29" s="88">
        <f t="shared" si="26"/>
        <v>29</v>
      </c>
      <c r="BQ29" s="87">
        <v>30</v>
      </c>
      <c r="BR29" s="88">
        <f t="shared" si="27"/>
        <v>59</v>
      </c>
      <c r="BS29" s="86">
        <f t="shared" si="28"/>
        <v>19</v>
      </c>
      <c r="BT29" s="86" t="str">
        <f t="shared" si="29"/>
        <v>C5</v>
      </c>
      <c r="BU29" s="86" t="str">
        <f t="shared" si="30"/>
        <v>Credit</v>
      </c>
      <c r="BV29">
        <v>27</v>
      </c>
      <c r="BW29" s="77" t="str">
        <f>Data!B28</f>
        <v>BELLO AMINA ABDULLAHI</v>
      </c>
      <c r="BX29" s="87">
        <v>8</v>
      </c>
      <c r="BY29" s="87">
        <v>6</v>
      </c>
      <c r="BZ29" s="87">
        <v>7</v>
      </c>
      <c r="CA29" s="87">
        <v>8</v>
      </c>
      <c r="CB29" s="88">
        <f t="shared" si="31"/>
        <v>29</v>
      </c>
      <c r="CC29" s="87">
        <v>30</v>
      </c>
      <c r="CD29" s="88">
        <f t="shared" si="32"/>
        <v>59</v>
      </c>
      <c r="CE29" s="88">
        <f t="shared" si="33"/>
        <v>19</v>
      </c>
      <c r="CF29" s="88" t="str">
        <f t="shared" si="34"/>
        <v>C5</v>
      </c>
      <c r="CG29" s="88" t="str">
        <f t="shared" si="35"/>
        <v>Credit</v>
      </c>
      <c r="CH29">
        <v>27</v>
      </c>
      <c r="CI29" s="77" t="str">
        <f>Data!B28</f>
        <v>BELLO AMINA ABDULLAHI</v>
      </c>
      <c r="CJ29" s="78"/>
      <c r="CK29" s="78"/>
      <c r="CL29" s="78"/>
      <c r="CM29" s="78"/>
      <c r="CN29" s="89">
        <f t="shared" si="36"/>
        <v>0</v>
      </c>
      <c r="CO29" s="89"/>
      <c r="CP29" s="89">
        <f t="shared" si="37"/>
        <v>0</v>
      </c>
      <c r="CQ29" s="89" t="str">
        <f t="shared" si="38"/>
        <v/>
      </c>
      <c r="CR29" s="89" t="str">
        <f t="shared" si="39"/>
        <v/>
      </c>
      <c r="CS29" s="89" t="str">
        <f t="shared" si="40"/>
        <v/>
      </c>
      <c r="CT29">
        <v>27</v>
      </c>
      <c r="CU29" s="77" t="str">
        <f>Data!B28</f>
        <v>BELLO AMINA ABDULLAHI</v>
      </c>
      <c r="CV29" s="12"/>
      <c r="CW29" s="12"/>
      <c r="CX29" s="12"/>
      <c r="CY29" s="12"/>
      <c r="CZ29" s="90">
        <f t="shared" si="41"/>
        <v>0</v>
      </c>
      <c r="DA29" s="12"/>
      <c r="DB29" s="90">
        <f t="shared" si="42"/>
        <v>0</v>
      </c>
      <c r="DC29" s="90" t="str">
        <f t="shared" si="43"/>
        <v/>
      </c>
      <c r="DD29" s="90" t="str">
        <f t="shared" si="44"/>
        <v/>
      </c>
      <c r="DE29" s="90" t="str">
        <f t="shared" si="45"/>
        <v/>
      </c>
      <c r="DF29">
        <v>27</v>
      </c>
      <c r="DG29" s="77" t="str">
        <f>Data!B28</f>
        <v>BELLO AMINA ABDULLAHI</v>
      </c>
      <c r="DH29" s="78"/>
      <c r="DI29" s="78"/>
      <c r="DJ29" s="78"/>
      <c r="DK29" s="78"/>
      <c r="DL29" s="85">
        <f t="shared" si="46"/>
        <v>0</v>
      </c>
      <c r="DM29" s="84"/>
      <c r="DN29" s="85">
        <f t="shared" si="47"/>
        <v>0</v>
      </c>
      <c r="DO29" s="85" t="str">
        <f t="shared" si="48"/>
        <v/>
      </c>
      <c r="DP29" s="85" t="str">
        <f t="shared" si="49"/>
        <v/>
      </c>
      <c r="DQ29" s="85" t="str">
        <f t="shared" si="50"/>
        <v/>
      </c>
      <c r="DR29">
        <v>27</v>
      </c>
      <c r="DS29" s="77" t="str">
        <f>Data!B28</f>
        <v>BELLO AMINA ABDULLAHI</v>
      </c>
      <c r="DT29" s="91"/>
      <c r="DU29" s="91"/>
      <c r="DV29" s="91"/>
      <c r="DW29" s="91"/>
      <c r="DX29" s="92">
        <f t="shared" si="51"/>
        <v>0</v>
      </c>
      <c r="DY29" s="93"/>
      <c r="DZ29" s="92">
        <f t="shared" si="52"/>
        <v>0</v>
      </c>
      <c r="EA29" s="92" t="str">
        <f t="shared" si="53"/>
        <v/>
      </c>
      <c r="EB29" s="92" t="str">
        <f t="shared" si="54"/>
        <v/>
      </c>
      <c r="EC29" s="92" t="str">
        <f t="shared" si="55"/>
        <v/>
      </c>
      <c r="ED29">
        <v>27</v>
      </c>
      <c r="EE29" s="77" t="str">
        <f>Data!B28</f>
        <v>BELLO AMINA ABDULLAHI</v>
      </c>
      <c r="EF29" s="78"/>
      <c r="EG29" s="78"/>
      <c r="EH29" s="78"/>
      <c r="EI29" s="78"/>
      <c r="EJ29" s="94">
        <f t="shared" si="56"/>
        <v>0</v>
      </c>
      <c r="EK29" s="94"/>
      <c r="EL29" s="94">
        <f t="shared" si="57"/>
        <v>0</v>
      </c>
      <c r="EM29" s="94" t="str">
        <f t="shared" si="58"/>
        <v/>
      </c>
      <c r="EN29" s="94" t="str">
        <f t="shared" si="59"/>
        <v/>
      </c>
      <c r="EO29" s="94" t="str">
        <f t="shared" si="60"/>
        <v/>
      </c>
      <c r="EP29">
        <v>27</v>
      </c>
      <c r="EQ29" s="95" t="str">
        <f>Data!B28</f>
        <v>BELLO AMINA ABDULLAHI</v>
      </c>
      <c r="ER29" s="78"/>
      <c r="ES29" s="78"/>
      <c r="ET29" s="78"/>
      <c r="EU29" s="78"/>
      <c r="EV29" s="90">
        <f t="shared" si="61"/>
        <v>0</v>
      </c>
      <c r="EW29" s="90"/>
      <c r="EX29" s="90">
        <f t="shared" si="62"/>
        <v>0</v>
      </c>
      <c r="EY29" s="90" t="str">
        <f t="shared" si="63"/>
        <v/>
      </c>
      <c r="EZ29" s="90" t="str">
        <f t="shared" si="64"/>
        <v/>
      </c>
      <c r="FA29" s="90" t="str">
        <f t="shared" si="65"/>
        <v/>
      </c>
      <c r="FB29">
        <v>27</v>
      </c>
      <c r="FC29" s="77" t="str">
        <f>Data!B28</f>
        <v>BELLO AMINA ABDULLAHI</v>
      </c>
      <c r="FD29" s="78"/>
      <c r="FE29" s="78"/>
      <c r="FF29" s="78"/>
      <c r="FG29" s="78"/>
      <c r="FH29" s="96">
        <f t="shared" si="66"/>
        <v>0</v>
      </c>
      <c r="FI29" s="96"/>
      <c r="FJ29" s="96">
        <f t="shared" si="67"/>
        <v>0</v>
      </c>
      <c r="FK29" s="96" t="str">
        <f t="shared" si="68"/>
        <v/>
      </c>
      <c r="FL29" s="96" t="str">
        <f t="shared" si="69"/>
        <v/>
      </c>
      <c r="FM29" s="96" t="str">
        <f t="shared" si="70"/>
        <v/>
      </c>
      <c r="FN29">
        <v>27</v>
      </c>
      <c r="FO29" s="77" t="str">
        <f>Data!B28</f>
        <v>BELLO AMINA ABDULLAHI</v>
      </c>
      <c r="FP29" s="78"/>
      <c r="FQ29" s="78"/>
      <c r="FR29" s="78"/>
      <c r="FS29" s="78"/>
      <c r="FT29" s="97">
        <f t="shared" si="71"/>
        <v>0</v>
      </c>
      <c r="FU29" s="97"/>
      <c r="FV29" s="97">
        <f t="shared" si="72"/>
        <v>0</v>
      </c>
      <c r="FW29" s="97" t="str">
        <f t="shared" si="73"/>
        <v/>
      </c>
      <c r="FX29" s="97" t="str">
        <f t="shared" si="74"/>
        <v/>
      </c>
      <c r="FY29" s="97" t="str">
        <f t="shared" si="75"/>
        <v/>
      </c>
      <c r="FZ29">
        <v>27</v>
      </c>
      <c r="GA29" s="77" t="str">
        <f>Data!B28</f>
        <v>BELLO AMINA ABDULLAHI</v>
      </c>
      <c r="GB29" s="78"/>
      <c r="GC29" s="78"/>
      <c r="GD29" s="78"/>
      <c r="GE29" s="78"/>
      <c r="GF29" s="98">
        <f t="shared" si="76"/>
        <v>0</v>
      </c>
      <c r="GG29" s="98"/>
      <c r="GH29" s="98">
        <f t="shared" si="77"/>
        <v>0</v>
      </c>
      <c r="GI29" s="98" t="str">
        <f t="shared" si="78"/>
        <v/>
      </c>
      <c r="GJ29" s="98" t="str">
        <f t="shared" si="79"/>
        <v/>
      </c>
      <c r="GK29" s="98" t="str">
        <f t="shared" si="80"/>
        <v/>
      </c>
      <c r="GL29">
        <v>27</v>
      </c>
      <c r="GM29" s="77" t="str">
        <f>Data!B28</f>
        <v>BELLO AMINA ABDULLAHI</v>
      </c>
      <c r="GN29" s="99"/>
      <c r="GO29" s="99"/>
      <c r="GP29" s="99"/>
      <c r="GQ29" s="99"/>
      <c r="GR29" s="100">
        <f t="shared" si="81"/>
        <v>0</v>
      </c>
      <c r="GS29" s="99"/>
      <c r="GT29" s="100">
        <f t="shared" si="82"/>
        <v>0</v>
      </c>
      <c r="GU29" s="100" t="str">
        <f t="shared" si="83"/>
        <v/>
      </c>
      <c r="GV29" s="100" t="str">
        <f t="shared" si="84"/>
        <v/>
      </c>
      <c r="GW29" s="100" t="str">
        <f t="shared" si="85"/>
        <v/>
      </c>
      <c r="GX29">
        <v>27</v>
      </c>
      <c r="GY29" s="77" t="str">
        <f>Data!B28</f>
        <v>BELLO AMINA ABDULLAHI</v>
      </c>
      <c r="GZ29" s="78"/>
      <c r="HA29" s="78"/>
      <c r="HB29" s="78"/>
      <c r="HC29" s="78"/>
      <c r="HD29" s="86">
        <f t="shared" si="86"/>
        <v>0</v>
      </c>
      <c r="HE29" s="86"/>
      <c r="HF29" s="86">
        <f t="shared" si="87"/>
        <v>0</v>
      </c>
      <c r="HG29" s="86" t="str">
        <f t="shared" si="88"/>
        <v/>
      </c>
      <c r="HH29" s="86" t="str">
        <f t="shared" si="89"/>
        <v/>
      </c>
      <c r="HI29" s="86" t="str">
        <f t="shared" si="90"/>
        <v/>
      </c>
      <c r="HJ29">
        <v>27</v>
      </c>
      <c r="HK29" s="77" t="str">
        <f>Data!B28</f>
        <v>BELLO AMINA ABDULLAHI</v>
      </c>
      <c r="HL29" s="111"/>
      <c r="HM29" s="112"/>
      <c r="HN29" s="112"/>
      <c r="HO29" s="112"/>
      <c r="HP29" s="103">
        <f t="shared" si="91"/>
        <v>0</v>
      </c>
      <c r="HQ29" s="111"/>
      <c r="HR29" s="103">
        <f t="shared" si="92"/>
        <v>0</v>
      </c>
      <c r="HS29" s="103" t="str">
        <f t="shared" si="93"/>
        <v/>
      </c>
      <c r="HT29" s="103" t="str">
        <f t="shared" si="94"/>
        <v/>
      </c>
      <c r="HU29" s="103" t="str">
        <f t="shared" si="95"/>
        <v/>
      </c>
      <c r="HV29">
        <v>27</v>
      </c>
      <c r="HW29" s="77" t="str">
        <f>Data!B28</f>
        <v>BELLO AMINA ABDULLAHI</v>
      </c>
      <c r="HX29" s="78"/>
      <c r="HY29" s="78"/>
      <c r="HZ29" s="78"/>
      <c r="IA29" s="78"/>
      <c r="IB29" s="85">
        <f t="shared" si="96"/>
        <v>0</v>
      </c>
      <c r="IC29" s="85"/>
      <c r="ID29" s="85">
        <f t="shared" si="97"/>
        <v>0</v>
      </c>
      <c r="IE29" s="85" t="str">
        <f t="shared" si="98"/>
        <v/>
      </c>
      <c r="IF29" s="85" t="str">
        <f t="shared" si="99"/>
        <v/>
      </c>
      <c r="IG29" s="85" t="str">
        <f t="shared" si="100"/>
        <v/>
      </c>
      <c r="IH29">
        <v>27</v>
      </c>
      <c r="II29" s="77" t="str">
        <f>Data!B28</f>
        <v>BELLO AMINA ABDULLAHI</v>
      </c>
      <c r="IJ29" s="78"/>
      <c r="IK29" s="78"/>
      <c r="IL29" s="78"/>
      <c r="IM29" s="78"/>
      <c r="IN29" s="104">
        <f t="shared" si="101"/>
        <v>0</v>
      </c>
      <c r="IO29" s="104"/>
      <c r="IP29" s="104">
        <f t="shared" si="102"/>
        <v>0</v>
      </c>
      <c r="IQ29" s="104" t="str">
        <f t="shared" si="103"/>
        <v/>
      </c>
      <c r="IR29" s="104" t="str">
        <f t="shared" si="104"/>
        <v/>
      </c>
      <c r="IS29" s="104" t="str">
        <f t="shared" si="105"/>
        <v/>
      </c>
      <c r="IT29">
        <v>27</v>
      </c>
      <c r="IU29" s="77" t="str">
        <f t="shared" si="106"/>
        <v>BELLO AMINA ABDULLAHI</v>
      </c>
      <c r="IV29" s="105"/>
      <c r="IW29" s="105"/>
      <c r="IX29" s="105"/>
      <c r="IY29" s="105"/>
      <c r="IZ29" s="98">
        <f t="shared" si="107"/>
        <v>0</v>
      </c>
      <c r="JA29" s="105"/>
      <c r="JB29" s="98">
        <f t="shared" si="108"/>
        <v>0</v>
      </c>
      <c r="JC29" s="98" t="str">
        <f t="shared" si="109"/>
        <v/>
      </c>
      <c r="JD29" s="98" t="str">
        <f t="shared" si="110"/>
        <v/>
      </c>
      <c r="JE29" s="98" t="str">
        <f t="shared" si="111"/>
        <v/>
      </c>
      <c r="JF29">
        <v>27</v>
      </c>
      <c r="JG29" s="77" t="str">
        <f t="shared" si="112"/>
        <v>BELLO AMINA ABDULLAHI</v>
      </c>
      <c r="JH29" s="114"/>
      <c r="JI29" s="114"/>
      <c r="JJ29" s="114"/>
      <c r="JK29" s="114"/>
      <c r="JL29" s="82">
        <f t="shared" si="113"/>
        <v>0</v>
      </c>
      <c r="JM29" s="114"/>
      <c r="JN29" s="82">
        <f t="shared" si="114"/>
        <v>0</v>
      </c>
      <c r="JO29" s="82" t="str">
        <f t="shared" si="115"/>
        <v/>
      </c>
      <c r="JP29" s="82" t="str">
        <f t="shared" si="116"/>
        <v/>
      </c>
      <c r="JQ29" s="82" t="str">
        <f t="shared" si="117"/>
        <v/>
      </c>
      <c r="JR29">
        <v>27</v>
      </c>
      <c r="JS29" s="77" t="str">
        <f t="shared" si="118"/>
        <v>BELLO AMINA ABDULLAHI</v>
      </c>
      <c r="JT29" s="107"/>
      <c r="JU29" s="107"/>
      <c r="JV29" s="107"/>
      <c r="JW29" s="107"/>
      <c r="JX29" s="80">
        <f t="shared" si="119"/>
        <v>0</v>
      </c>
      <c r="JY29" s="108"/>
      <c r="JZ29" s="80">
        <f t="shared" si="0"/>
        <v>0</v>
      </c>
      <c r="KA29" s="80" t="str">
        <f t="shared" si="120"/>
        <v/>
      </c>
      <c r="KB29" s="80" t="str">
        <f t="shared" si="121"/>
        <v/>
      </c>
      <c r="KC29" s="80" t="str">
        <f t="shared" si="122"/>
        <v/>
      </c>
      <c r="KE29" s="16"/>
      <c r="KF29" s="16"/>
      <c r="KG29" s="16"/>
      <c r="KH29" s="16"/>
      <c r="KI29" s="16"/>
      <c r="KJ29" s="16"/>
      <c r="KK29" s="16"/>
      <c r="KL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</row>
    <row r="30" spans="1:309" ht="23.25">
      <c r="A30" s="17">
        <v>28</v>
      </c>
      <c r="B30" s="186">
        <v>28</v>
      </c>
      <c r="C30" s="77" t="str">
        <f>Data!B29</f>
        <v xml:space="preserve">BUKAR MARYARM UMAR </v>
      </c>
      <c r="D30" s="87">
        <v>6</v>
      </c>
      <c r="E30" s="87">
        <v>6</v>
      </c>
      <c r="F30" s="87">
        <v>7</v>
      </c>
      <c r="G30" s="87">
        <v>9</v>
      </c>
      <c r="H30" s="88">
        <f t="shared" si="1"/>
        <v>28</v>
      </c>
      <c r="I30" s="87">
        <v>33</v>
      </c>
      <c r="J30" s="88">
        <f t="shared" si="2"/>
        <v>61</v>
      </c>
      <c r="K30" s="79">
        <f t="shared" si="3"/>
        <v>16</v>
      </c>
      <c r="L30" s="79" t="str">
        <f t="shared" si="4"/>
        <v>C4</v>
      </c>
      <c r="M30" s="79" t="str">
        <f t="shared" si="5"/>
        <v>Credit</v>
      </c>
      <c r="N30" s="17">
        <v>28</v>
      </c>
      <c r="O30" s="77" t="str">
        <f>Data!B29</f>
        <v xml:space="preserve">BUKAR MARYARM UMAR </v>
      </c>
      <c r="P30" s="78"/>
      <c r="Q30" s="78"/>
      <c r="R30" s="78"/>
      <c r="S30" s="78"/>
      <c r="T30" s="80">
        <f t="shared" si="6"/>
        <v>0</v>
      </c>
      <c r="U30" s="80"/>
      <c r="V30" s="80">
        <f t="shared" si="7"/>
        <v>0</v>
      </c>
      <c r="W30" s="80" t="str">
        <f t="shared" si="8"/>
        <v/>
      </c>
      <c r="X30" s="80" t="str">
        <f t="shared" si="9"/>
        <v/>
      </c>
      <c r="Y30" s="80" t="str">
        <f t="shared" si="10"/>
        <v/>
      </c>
      <c r="Z30" s="11">
        <v>28</v>
      </c>
      <c r="AA30" s="77" t="str">
        <f>Data!B29</f>
        <v xml:space="preserve">BUKAR MARYARM UMAR </v>
      </c>
      <c r="AB30" s="87">
        <v>6</v>
      </c>
      <c r="AC30" s="87">
        <v>6</v>
      </c>
      <c r="AD30" s="87">
        <v>7</v>
      </c>
      <c r="AE30" s="87">
        <v>9</v>
      </c>
      <c r="AF30" s="88">
        <f t="shared" si="11"/>
        <v>28</v>
      </c>
      <c r="AG30" s="87">
        <v>33</v>
      </c>
      <c r="AH30" s="88">
        <f t="shared" si="12"/>
        <v>61</v>
      </c>
      <c r="AI30" s="82">
        <f t="shared" si="13"/>
        <v>16</v>
      </c>
      <c r="AJ30" s="82" t="str">
        <f t="shared" si="14"/>
        <v>C4</v>
      </c>
      <c r="AK30" s="82" t="str">
        <f t="shared" si="15"/>
        <v>Credit</v>
      </c>
      <c r="AL30" s="11">
        <v>28</v>
      </c>
      <c r="AM30" s="77" t="str">
        <f>Data!B29</f>
        <v xml:space="preserve">BUKAR MARYARM UMAR </v>
      </c>
      <c r="AN30" s="87">
        <v>6</v>
      </c>
      <c r="AO30" s="87">
        <v>6</v>
      </c>
      <c r="AP30" s="87">
        <v>7</v>
      </c>
      <c r="AQ30" s="87">
        <v>9</v>
      </c>
      <c r="AR30" s="88">
        <f t="shared" si="16"/>
        <v>28</v>
      </c>
      <c r="AS30" s="87">
        <v>33</v>
      </c>
      <c r="AT30" s="88">
        <f t="shared" si="17"/>
        <v>61</v>
      </c>
      <c r="AU30" s="83">
        <f t="shared" si="18"/>
        <v>16</v>
      </c>
      <c r="AV30" s="83" t="str">
        <f t="shared" si="19"/>
        <v>C4</v>
      </c>
      <c r="AW30" s="83" t="str">
        <f t="shared" si="20"/>
        <v>Credit</v>
      </c>
      <c r="AX30" s="11">
        <v>28</v>
      </c>
      <c r="AY30" s="77" t="str">
        <f>Data!B29</f>
        <v xml:space="preserve">BUKAR MARYARM UMAR </v>
      </c>
      <c r="AZ30" s="87">
        <v>6</v>
      </c>
      <c r="BA30" s="87">
        <v>6</v>
      </c>
      <c r="BB30" s="87">
        <v>7</v>
      </c>
      <c r="BC30" s="87">
        <v>9</v>
      </c>
      <c r="BD30" s="88">
        <f t="shared" si="21"/>
        <v>28</v>
      </c>
      <c r="BE30" s="87">
        <v>33</v>
      </c>
      <c r="BF30" s="88">
        <f t="shared" si="22"/>
        <v>61</v>
      </c>
      <c r="BG30" s="85">
        <f t="shared" si="23"/>
        <v>16</v>
      </c>
      <c r="BH30" s="85" t="str">
        <f t="shared" si="24"/>
        <v>C4</v>
      </c>
      <c r="BI30" s="85" t="str">
        <f t="shared" si="25"/>
        <v>Credit</v>
      </c>
      <c r="BJ30" s="36">
        <v>28</v>
      </c>
      <c r="BK30" s="77" t="str">
        <f>Data!B29</f>
        <v xml:space="preserve">BUKAR MARYARM UMAR </v>
      </c>
      <c r="BL30" s="87">
        <v>6</v>
      </c>
      <c r="BM30" s="87">
        <v>6</v>
      </c>
      <c r="BN30" s="87">
        <v>7</v>
      </c>
      <c r="BO30" s="87">
        <v>9</v>
      </c>
      <c r="BP30" s="88">
        <f t="shared" si="26"/>
        <v>28</v>
      </c>
      <c r="BQ30" s="87">
        <v>33</v>
      </c>
      <c r="BR30" s="88">
        <f t="shared" si="27"/>
        <v>61</v>
      </c>
      <c r="BS30" s="86">
        <f t="shared" si="28"/>
        <v>16</v>
      </c>
      <c r="BT30" s="86" t="str">
        <f t="shared" si="29"/>
        <v>C4</v>
      </c>
      <c r="BU30" s="86" t="str">
        <f t="shared" si="30"/>
        <v>Credit</v>
      </c>
      <c r="BV30">
        <v>28</v>
      </c>
      <c r="BW30" s="77" t="str">
        <f>Data!B29</f>
        <v xml:space="preserve">BUKAR MARYARM UMAR </v>
      </c>
      <c r="BX30" s="87">
        <v>6</v>
      </c>
      <c r="BY30" s="87">
        <v>6</v>
      </c>
      <c r="BZ30" s="87">
        <v>7</v>
      </c>
      <c r="CA30" s="87">
        <v>9</v>
      </c>
      <c r="CB30" s="88">
        <f t="shared" si="31"/>
        <v>28</v>
      </c>
      <c r="CC30" s="87">
        <v>33</v>
      </c>
      <c r="CD30" s="88">
        <f t="shared" si="32"/>
        <v>61</v>
      </c>
      <c r="CE30" s="88">
        <f t="shared" si="33"/>
        <v>16</v>
      </c>
      <c r="CF30" s="88" t="str">
        <f t="shared" si="34"/>
        <v>C4</v>
      </c>
      <c r="CG30" s="88" t="str">
        <f t="shared" si="35"/>
        <v>Credit</v>
      </c>
      <c r="CH30">
        <v>28</v>
      </c>
      <c r="CI30" s="77" t="str">
        <f>Data!B29</f>
        <v xml:space="preserve">BUKAR MARYARM UMAR </v>
      </c>
      <c r="CJ30" s="78"/>
      <c r="CK30" s="78"/>
      <c r="CL30" s="78"/>
      <c r="CM30" s="78"/>
      <c r="CN30" s="89">
        <f t="shared" si="36"/>
        <v>0</v>
      </c>
      <c r="CO30" s="89"/>
      <c r="CP30" s="89">
        <f t="shared" si="37"/>
        <v>0</v>
      </c>
      <c r="CQ30" s="89" t="str">
        <f t="shared" si="38"/>
        <v/>
      </c>
      <c r="CR30" s="89" t="str">
        <f t="shared" si="39"/>
        <v/>
      </c>
      <c r="CS30" s="89" t="str">
        <f t="shared" si="40"/>
        <v/>
      </c>
      <c r="CT30">
        <v>28</v>
      </c>
      <c r="CU30" s="77" t="str">
        <f>Data!B29</f>
        <v xml:space="preserve">BUKAR MARYARM UMAR </v>
      </c>
      <c r="CV30" s="12"/>
      <c r="CW30" s="12"/>
      <c r="CX30" s="12"/>
      <c r="CY30" s="12"/>
      <c r="CZ30" s="90">
        <f t="shared" si="41"/>
        <v>0</v>
      </c>
      <c r="DA30" s="12"/>
      <c r="DB30" s="90">
        <f t="shared" si="42"/>
        <v>0</v>
      </c>
      <c r="DC30" s="90" t="str">
        <f t="shared" si="43"/>
        <v/>
      </c>
      <c r="DD30" s="90" t="str">
        <f t="shared" si="44"/>
        <v/>
      </c>
      <c r="DE30" s="90" t="str">
        <f t="shared" si="45"/>
        <v/>
      </c>
      <c r="DF30">
        <v>28</v>
      </c>
      <c r="DG30" s="77" t="str">
        <f>Data!B29</f>
        <v xml:space="preserve">BUKAR MARYARM UMAR </v>
      </c>
      <c r="DH30" s="78"/>
      <c r="DI30" s="78"/>
      <c r="DJ30" s="78"/>
      <c r="DK30" s="78"/>
      <c r="DL30" s="85">
        <f t="shared" si="46"/>
        <v>0</v>
      </c>
      <c r="DM30" s="84"/>
      <c r="DN30" s="85">
        <f t="shared" si="47"/>
        <v>0</v>
      </c>
      <c r="DO30" s="85" t="str">
        <f t="shared" si="48"/>
        <v/>
      </c>
      <c r="DP30" s="85" t="str">
        <f t="shared" si="49"/>
        <v/>
      </c>
      <c r="DQ30" s="85" t="str">
        <f t="shared" si="50"/>
        <v/>
      </c>
      <c r="DR30">
        <v>28</v>
      </c>
      <c r="DS30" s="77" t="str">
        <f>Data!B29</f>
        <v xml:space="preserve">BUKAR MARYARM UMAR </v>
      </c>
      <c r="DT30" s="91"/>
      <c r="DU30" s="91"/>
      <c r="DV30" s="91"/>
      <c r="DW30" s="91"/>
      <c r="DX30" s="92">
        <f t="shared" si="51"/>
        <v>0</v>
      </c>
      <c r="DY30" s="93"/>
      <c r="DZ30" s="92">
        <f t="shared" si="52"/>
        <v>0</v>
      </c>
      <c r="EA30" s="92" t="str">
        <f t="shared" si="53"/>
        <v/>
      </c>
      <c r="EB30" s="92" t="str">
        <f t="shared" si="54"/>
        <v/>
      </c>
      <c r="EC30" s="92" t="str">
        <f t="shared" si="55"/>
        <v/>
      </c>
      <c r="ED30">
        <v>28</v>
      </c>
      <c r="EE30" s="77" t="str">
        <f>Data!B29</f>
        <v xml:space="preserve">BUKAR MARYARM UMAR </v>
      </c>
      <c r="EF30" s="78"/>
      <c r="EG30" s="78"/>
      <c r="EH30" s="78"/>
      <c r="EI30" s="78"/>
      <c r="EJ30" s="94">
        <f t="shared" si="56"/>
        <v>0</v>
      </c>
      <c r="EK30" s="94"/>
      <c r="EL30" s="94">
        <f t="shared" si="57"/>
        <v>0</v>
      </c>
      <c r="EM30" s="94" t="str">
        <f t="shared" si="58"/>
        <v/>
      </c>
      <c r="EN30" s="94" t="str">
        <f t="shared" si="59"/>
        <v/>
      </c>
      <c r="EO30" s="94" t="str">
        <f t="shared" si="60"/>
        <v/>
      </c>
      <c r="EP30">
        <v>28</v>
      </c>
      <c r="EQ30" s="95" t="str">
        <f>Data!B29</f>
        <v xml:space="preserve">BUKAR MARYARM UMAR </v>
      </c>
      <c r="ER30" s="78"/>
      <c r="ES30" s="78"/>
      <c r="ET30" s="78"/>
      <c r="EU30" s="78"/>
      <c r="EV30" s="90">
        <f t="shared" si="61"/>
        <v>0</v>
      </c>
      <c r="EW30" s="90"/>
      <c r="EX30" s="90">
        <f t="shared" si="62"/>
        <v>0</v>
      </c>
      <c r="EY30" s="90" t="str">
        <f t="shared" si="63"/>
        <v/>
      </c>
      <c r="EZ30" s="90" t="str">
        <f t="shared" si="64"/>
        <v/>
      </c>
      <c r="FA30" s="90" t="str">
        <f t="shared" si="65"/>
        <v/>
      </c>
      <c r="FB30">
        <v>28</v>
      </c>
      <c r="FC30" s="77" t="str">
        <f>Data!B29</f>
        <v xml:space="preserve">BUKAR MARYARM UMAR </v>
      </c>
      <c r="FD30" s="78"/>
      <c r="FE30" s="78"/>
      <c r="FF30" s="78"/>
      <c r="FG30" s="78"/>
      <c r="FH30" s="96">
        <f t="shared" si="66"/>
        <v>0</v>
      </c>
      <c r="FI30" s="96"/>
      <c r="FJ30" s="96">
        <f t="shared" si="67"/>
        <v>0</v>
      </c>
      <c r="FK30" s="96" t="str">
        <f t="shared" si="68"/>
        <v/>
      </c>
      <c r="FL30" s="96" t="str">
        <f t="shared" si="69"/>
        <v/>
      </c>
      <c r="FM30" s="96" t="str">
        <f t="shared" si="70"/>
        <v/>
      </c>
      <c r="FN30">
        <v>28</v>
      </c>
      <c r="FO30" s="77" t="str">
        <f>Data!B29</f>
        <v xml:space="preserve">BUKAR MARYARM UMAR </v>
      </c>
      <c r="FP30" s="78"/>
      <c r="FQ30" s="78"/>
      <c r="FR30" s="78"/>
      <c r="FS30" s="78"/>
      <c r="FT30" s="97">
        <f t="shared" si="71"/>
        <v>0</v>
      </c>
      <c r="FU30" s="97"/>
      <c r="FV30" s="97">
        <f t="shared" si="72"/>
        <v>0</v>
      </c>
      <c r="FW30" s="97" t="str">
        <f t="shared" si="73"/>
        <v/>
      </c>
      <c r="FX30" s="97" t="str">
        <f t="shared" si="74"/>
        <v/>
      </c>
      <c r="FY30" s="97" t="str">
        <f t="shared" si="75"/>
        <v/>
      </c>
      <c r="FZ30">
        <v>28</v>
      </c>
      <c r="GA30" s="77" t="str">
        <f>Data!B29</f>
        <v xml:space="preserve">BUKAR MARYARM UMAR </v>
      </c>
      <c r="GB30" s="78"/>
      <c r="GC30" s="78"/>
      <c r="GD30" s="78"/>
      <c r="GE30" s="78"/>
      <c r="GF30" s="98">
        <f t="shared" si="76"/>
        <v>0</v>
      </c>
      <c r="GG30" s="98"/>
      <c r="GH30" s="98">
        <f t="shared" si="77"/>
        <v>0</v>
      </c>
      <c r="GI30" s="98" t="str">
        <f t="shared" si="78"/>
        <v/>
      </c>
      <c r="GJ30" s="98" t="str">
        <f t="shared" si="79"/>
        <v/>
      </c>
      <c r="GK30" s="98" t="str">
        <f t="shared" si="80"/>
        <v/>
      </c>
      <c r="GL30">
        <v>28</v>
      </c>
      <c r="GM30" s="77" t="str">
        <f>Data!B29</f>
        <v xml:space="preserve">BUKAR MARYARM UMAR </v>
      </c>
      <c r="GN30" s="99"/>
      <c r="GO30" s="99"/>
      <c r="GP30" s="99"/>
      <c r="GQ30" s="99"/>
      <c r="GR30" s="100">
        <f t="shared" si="81"/>
        <v>0</v>
      </c>
      <c r="GS30" s="99"/>
      <c r="GT30" s="100">
        <f t="shared" si="82"/>
        <v>0</v>
      </c>
      <c r="GU30" s="100" t="str">
        <f t="shared" si="83"/>
        <v/>
      </c>
      <c r="GV30" s="100" t="str">
        <f t="shared" si="84"/>
        <v/>
      </c>
      <c r="GW30" s="100" t="str">
        <f t="shared" si="85"/>
        <v/>
      </c>
      <c r="GX30">
        <v>28</v>
      </c>
      <c r="GY30" s="77" t="str">
        <f>Data!B29</f>
        <v xml:space="preserve">BUKAR MARYARM UMAR </v>
      </c>
      <c r="GZ30" s="78"/>
      <c r="HA30" s="78"/>
      <c r="HB30" s="78"/>
      <c r="HC30" s="78"/>
      <c r="HD30" s="86">
        <f t="shared" si="86"/>
        <v>0</v>
      </c>
      <c r="HE30" s="86"/>
      <c r="HF30" s="86">
        <f t="shared" si="87"/>
        <v>0</v>
      </c>
      <c r="HG30" s="86" t="str">
        <f t="shared" si="88"/>
        <v/>
      </c>
      <c r="HH30" s="86" t="str">
        <f t="shared" si="89"/>
        <v/>
      </c>
      <c r="HI30" s="86" t="str">
        <f t="shared" si="90"/>
        <v/>
      </c>
      <c r="HJ30">
        <v>28</v>
      </c>
      <c r="HK30" s="77" t="str">
        <f>Data!B29</f>
        <v xml:space="preserve">BUKAR MARYARM UMAR </v>
      </c>
      <c r="HL30" s="111">
        <v>9</v>
      </c>
      <c r="HM30" s="112">
        <v>6</v>
      </c>
      <c r="HN30" s="112">
        <v>10</v>
      </c>
      <c r="HO30" s="112">
        <v>10</v>
      </c>
      <c r="HP30" s="103">
        <f t="shared" si="91"/>
        <v>35</v>
      </c>
      <c r="HQ30" s="111"/>
      <c r="HR30" s="103">
        <f t="shared" si="92"/>
        <v>35</v>
      </c>
      <c r="HS30" s="103">
        <f t="shared" si="93"/>
        <v>5</v>
      </c>
      <c r="HT30" s="103" t="str">
        <f t="shared" si="94"/>
        <v>F</v>
      </c>
      <c r="HU30" s="103" t="str">
        <f t="shared" si="95"/>
        <v>Fail</v>
      </c>
      <c r="HV30">
        <v>28</v>
      </c>
      <c r="HW30" s="77" t="str">
        <f>Data!B29</f>
        <v xml:space="preserve">BUKAR MARYARM UMAR </v>
      </c>
      <c r="HX30" s="78"/>
      <c r="HY30" s="78"/>
      <c r="HZ30" s="78"/>
      <c r="IA30" s="78"/>
      <c r="IB30" s="85">
        <f t="shared" si="96"/>
        <v>0</v>
      </c>
      <c r="IC30" s="85"/>
      <c r="ID30" s="85">
        <f t="shared" si="97"/>
        <v>0</v>
      </c>
      <c r="IE30" s="85" t="str">
        <f t="shared" si="98"/>
        <v/>
      </c>
      <c r="IF30" s="85" t="str">
        <f t="shared" si="99"/>
        <v/>
      </c>
      <c r="IG30" s="85" t="str">
        <f t="shared" si="100"/>
        <v/>
      </c>
      <c r="IH30">
        <v>28</v>
      </c>
      <c r="II30" s="77" t="str">
        <f>Data!B29</f>
        <v xml:space="preserve">BUKAR MARYARM UMAR </v>
      </c>
      <c r="IJ30" s="78"/>
      <c r="IK30" s="78"/>
      <c r="IL30" s="78"/>
      <c r="IM30" s="78"/>
      <c r="IN30" s="104">
        <f t="shared" si="101"/>
        <v>0</v>
      </c>
      <c r="IO30" s="104"/>
      <c r="IP30" s="104">
        <f t="shared" si="102"/>
        <v>0</v>
      </c>
      <c r="IQ30" s="104" t="str">
        <f t="shared" si="103"/>
        <v/>
      </c>
      <c r="IR30" s="104" t="str">
        <f t="shared" si="104"/>
        <v/>
      </c>
      <c r="IS30" s="104" t="str">
        <f t="shared" si="105"/>
        <v/>
      </c>
      <c r="IT30">
        <v>28</v>
      </c>
      <c r="IU30" s="77" t="str">
        <f t="shared" si="106"/>
        <v xml:space="preserve">BUKAR MARYARM UMAR </v>
      </c>
      <c r="IV30" s="116"/>
      <c r="IW30" s="116"/>
      <c r="IX30" s="116"/>
      <c r="IY30" s="116"/>
      <c r="IZ30" s="98">
        <f t="shared" si="107"/>
        <v>0</v>
      </c>
      <c r="JA30" s="105"/>
      <c r="JB30" s="98">
        <f t="shared" si="108"/>
        <v>0</v>
      </c>
      <c r="JC30" s="98" t="str">
        <f t="shared" si="109"/>
        <v/>
      </c>
      <c r="JD30" s="98" t="str">
        <f t="shared" si="110"/>
        <v/>
      </c>
      <c r="JE30" s="98" t="str">
        <f t="shared" si="111"/>
        <v/>
      </c>
      <c r="JF30">
        <v>28</v>
      </c>
      <c r="JG30" s="77" t="str">
        <f t="shared" si="112"/>
        <v xml:space="preserve">BUKAR MARYARM UMAR </v>
      </c>
      <c r="JH30" s="114"/>
      <c r="JI30" s="114"/>
      <c r="JJ30" s="114"/>
      <c r="JK30" s="114"/>
      <c r="JL30" s="82">
        <f t="shared" si="113"/>
        <v>0</v>
      </c>
      <c r="JM30" s="114"/>
      <c r="JN30" s="82">
        <f t="shared" si="114"/>
        <v>0</v>
      </c>
      <c r="JO30" s="82" t="str">
        <f t="shared" si="115"/>
        <v/>
      </c>
      <c r="JP30" s="82" t="str">
        <f t="shared" si="116"/>
        <v/>
      </c>
      <c r="JQ30" s="82" t="str">
        <f t="shared" si="117"/>
        <v/>
      </c>
      <c r="JR30">
        <v>28</v>
      </c>
      <c r="JS30" s="77" t="str">
        <f t="shared" si="118"/>
        <v xml:space="preserve">BUKAR MARYARM UMAR </v>
      </c>
      <c r="JT30" s="107"/>
      <c r="JU30" s="107"/>
      <c r="JV30" s="107"/>
      <c r="JW30" s="107"/>
      <c r="JX30" s="80">
        <f t="shared" si="119"/>
        <v>0</v>
      </c>
      <c r="JY30" s="108"/>
      <c r="JZ30" s="80">
        <f t="shared" si="0"/>
        <v>0</v>
      </c>
      <c r="KA30" s="80" t="str">
        <f t="shared" si="120"/>
        <v/>
      </c>
      <c r="KB30" s="80" t="str">
        <f t="shared" si="121"/>
        <v/>
      </c>
      <c r="KC30" s="80" t="str">
        <f t="shared" si="122"/>
        <v/>
      </c>
      <c r="KE30" s="16"/>
      <c r="KF30" s="16"/>
      <c r="KG30" s="16"/>
      <c r="KH30" s="16"/>
      <c r="KI30" s="16"/>
      <c r="KJ30" s="16"/>
      <c r="KK30" s="16"/>
      <c r="KL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</row>
    <row r="31" spans="1:309" ht="23.25">
      <c r="A31" s="17">
        <v>29</v>
      </c>
      <c r="B31" s="186">
        <v>29</v>
      </c>
      <c r="C31" s="77" t="str">
        <f>Data!B30</f>
        <v xml:space="preserve">DALA FATIMA AHMED </v>
      </c>
      <c r="D31" s="87">
        <v>9</v>
      </c>
      <c r="E31" s="87">
        <v>6</v>
      </c>
      <c r="F31" s="87">
        <v>9</v>
      </c>
      <c r="G31" s="87">
        <v>10</v>
      </c>
      <c r="H31" s="88">
        <f t="shared" si="1"/>
        <v>34</v>
      </c>
      <c r="I31" s="87">
        <v>24</v>
      </c>
      <c r="J31" s="88">
        <f t="shared" si="2"/>
        <v>58</v>
      </c>
      <c r="K31" s="79">
        <f t="shared" si="3"/>
        <v>21</v>
      </c>
      <c r="L31" s="79" t="str">
        <f t="shared" si="4"/>
        <v>C5</v>
      </c>
      <c r="M31" s="79" t="str">
        <f t="shared" si="5"/>
        <v>Credit</v>
      </c>
      <c r="N31" s="17">
        <v>29</v>
      </c>
      <c r="O31" s="77" t="str">
        <f>Data!B30</f>
        <v xml:space="preserve">DALA FATIMA AHMED </v>
      </c>
      <c r="P31" s="78"/>
      <c r="Q31" s="78"/>
      <c r="R31" s="78"/>
      <c r="S31" s="78"/>
      <c r="T31" s="80">
        <f t="shared" si="6"/>
        <v>0</v>
      </c>
      <c r="U31" s="80"/>
      <c r="V31" s="80">
        <f t="shared" si="7"/>
        <v>0</v>
      </c>
      <c r="W31" s="80" t="str">
        <f t="shared" si="8"/>
        <v/>
      </c>
      <c r="X31" s="80" t="str">
        <f t="shared" si="9"/>
        <v/>
      </c>
      <c r="Y31" s="80" t="str">
        <f t="shared" si="10"/>
        <v/>
      </c>
      <c r="Z31" s="11">
        <v>29</v>
      </c>
      <c r="AA31" s="77" t="str">
        <f>Data!B30</f>
        <v xml:space="preserve">DALA FATIMA AHMED </v>
      </c>
      <c r="AB31" s="87">
        <v>9</v>
      </c>
      <c r="AC31" s="87">
        <v>6</v>
      </c>
      <c r="AD31" s="87">
        <v>9</v>
      </c>
      <c r="AE31" s="87">
        <v>10</v>
      </c>
      <c r="AF31" s="88">
        <f t="shared" si="11"/>
        <v>34</v>
      </c>
      <c r="AG31" s="87">
        <v>24</v>
      </c>
      <c r="AH31" s="88">
        <f t="shared" si="12"/>
        <v>58</v>
      </c>
      <c r="AI31" s="82">
        <f t="shared" si="13"/>
        <v>21</v>
      </c>
      <c r="AJ31" s="82" t="str">
        <f t="shared" si="14"/>
        <v>C5</v>
      </c>
      <c r="AK31" s="82" t="str">
        <f t="shared" si="15"/>
        <v>Credit</v>
      </c>
      <c r="AL31" s="11">
        <v>29</v>
      </c>
      <c r="AM31" s="77" t="str">
        <f>Data!B30</f>
        <v xml:space="preserve">DALA FATIMA AHMED </v>
      </c>
      <c r="AN31" s="87">
        <v>9</v>
      </c>
      <c r="AO31" s="87">
        <v>6</v>
      </c>
      <c r="AP31" s="87">
        <v>9</v>
      </c>
      <c r="AQ31" s="87">
        <v>10</v>
      </c>
      <c r="AR31" s="88">
        <f t="shared" si="16"/>
        <v>34</v>
      </c>
      <c r="AS31" s="87">
        <v>24</v>
      </c>
      <c r="AT31" s="88">
        <f t="shared" si="17"/>
        <v>58</v>
      </c>
      <c r="AU31" s="83">
        <f t="shared" si="18"/>
        <v>21</v>
      </c>
      <c r="AV31" s="83" t="str">
        <f t="shared" si="19"/>
        <v>C5</v>
      </c>
      <c r="AW31" s="83" t="str">
        <f t="shared" si="20"/>
        <v>Credit</v>
      </c>
      <c r="AX31" s="11">
        <v>29</v>
      </c>
      <c r="AY31" s="77" t="str">
        <f>Data!B30</f>
        <v xml:space="preserve">DALA FATIMA AHMED </v>
      </c>
      <c r="AZ31" s="87">
        <v>9</v>
      </c>
      <c r="BA31" s="87">
        <v>6</v>
      </c>
      <c r="BB31" s="87">
        <v>9</v>
      </c>
      <c r="BC31" s="87">
        <v>10</v>
      </c>
      <c r="BD31" s="88">
        <f t="shared" si="21"/>
        <v>34</v>
      </c>
      <c r="BE31" s="87">
        <v>24</v>
      </c>
      <c r="BF31" s="88">
        <f t="shared" si="22"/>
        <v>58</v>
      </c>
      <c r="BG31" s="85">
        <f t="shared" si="23"/>
        <v>21</v>
      </c>
      <c r="BH31" s="85" t="str">
        <f t="shared" si="24"/>
        <v>C5</v>
      </c>
      <c r="BI31" s="85" t="str">
        <f t="shared" si="25"/>
        <v>Credit</v>
      </c>
      <c r="BJ31" s="36">
        <v>29</v>
      </c>
      <c r="BK31" s="77" t="str">
        <f>Data!B30</f>
        <v xml:space="preserve">DALA FATIMA AHMED </v>
      </c>
      <c r="BL31" s="87">
        <v>9</v>
      </c>
      <c r="BM31" s="87">
        <v>6</v>
      </c>
      <c r="BN31" s="87">
        <v>9</v>
      </c>
      <c r="BO31" s="87">
        <v>10</v>
      </c>
      <c r="BP31" s="88">
        <f t="shared" si="26"/>
        <v>34</v>
      </c>
      <c r="BQ31" s="87">
        <v>24</v>
      </c>
      <c r="BR31" s="88">
        <f t="shared" si="27"/>
        <v>58</v>
      </c>
      <c r="BS31" s="86">
        <f t="shared" si="28"/>
        <v>21</v>
      </c>
      <c r="BT31" s="86" t="str">
        <f t="shared" si="29"/>
        <v>C5</v>
      </c>
      <c r="BU31" s="86" t="str">
        <f t="shared" si="30"/>
        <v>Credit</v>
      </c>
      <c r="BV31">
        <v>29</v>
      </c>
      <c r="BW31" s="77" t="str">
        <f>Data!B30</f>
        <v xml:space="preserve">DALA FATIMA AHMED </v>
      </c>
      <c r="BX31" s="87">
        <v>9</v>
      </c>
      <c r="BY31" s="87">
        <v>6</v>
      </c>
      <c r="BZ31" s="87">
        <v>9</v>
      </c>
      <c r="CA31" s="87">
        <v>10</v>
      </c>
      <c r="CB31" s="88">
        <f t="shared" si="31"/>
        <v>34</v>
      </c>
      <c r="CC31" s="87">
        <v>24</v>
      </c>
      <c r="CD31" s="88">
        <f t="shared" si="32"/>
        <v>58</v>
      </c>
      <c r="CE31" s="88">
        <f t="shared" si="33"/>
        <v>21</v>
      </c>
      <c r="CF31" s="88" t="str">
        <f t="shared" si="34"/>
        <v>C5</v>
      </c>
      <c r="CG31" s="88" t="str">
        <f t="shared" si="35"/>
        <v>Credit</v>
      </c>
      <c r="CH31">
        <v>29</v>
      </c>
      <c r="CI31" s="77" t="str">
        <f>Data!B30</f>
        <v xml:space="preserve">DALA FATIMA AHMED </v>
      </c>
      <c r="CJ31" s="78"/>
      <c r="CK31" s="78"/>
      <c r="CL31" s="78"/>
      <c r="CM31" s="78"/>
      <c r="CN31" s="89">
        <f t="shared" si="36"/>
        <v>0</v>
      </c>
      <c r="CO31" s="89"/>
      <c r="CP31" s="89">
        <f t="shared" si="37"/>
        <v>0</v>
      </c>
      <c r="CQ31" s="89" t="str">
        <f t="shared" si="38"/>
        <v/>
      </c>
      <c r="CR31" s="89" t="str">
        <f t="shared" si="39"/>
        <v/>
      </c>
      <c r="CS31" s="89" t="str">
        <f t="shared" si="40"/>
        <v/>
      </c>
      <c r="CT31">
        <v>29</v>
      </c>
      <c r="CU31" s="77" t="str">
        <f>Data!B30</f>
        <v xml:space="preserve">DALA FATIMA AHMED </v>
      </c>
      <c r="CV31" s="12"/>
      <c r="CW31" s="12"/>
      <c r="CX31" s="12"/>
      <c r="CY31" s="12"/>
      <c r="CZ31" s="90">
        <f t="shared" si="41"/>
        <v>0</v>
      </c>
      <c r="DA31" s="12"/>
      <c r="DB31" s="90">
        <f t="shared" si="42"/>
        <v>0</v>
      </c>
      <c r="DC31" s="90" t="str">
        <f t="shared" si="43"/>
        <v/>
      </c>
      <c r="DD31" s="90" t="str">
        <f t="shared" si="44"/>
        <v/>
      </c>
      <c r="DE31" s="90" t="str">
        <f t="shared" si="45"/>
        <v/>
      </c>
      <c r="DF31">
        <v>29</v>
      </c>
      <c r="DG31" s="77" t="str">
        <f>Data!B30</f>
        <v xml:space="preserve">DALA FATIMA AHMED </v>
      </c>
      <c r="DH31" s="78"/>
      <c r="DI31" s="78"/>
      <c r="DJ31" s="78"/>
      <c r="DK31" s="78"/>
      <c r="DL31" s="85">
        <f t="shared" si="46"/>
        <v>0</v>
      </c>
      <c r="DM31" s="84"/>
      <c r="DN31" s="85">
        <f t="shared" si="47"/>
        <v>0</v>
      </c>
      <c r="DO31" s="85" t="str">
        <f t="shared" si="48"/>
        <v/>
      </c>
      <c r="DP31" s="85" t="str">
        <f t="shared" si="49"/>
        <v/>
      </c>
      <c r="DQ31" s="85" t="str">
        <f t="shared" si="50"/>
        <v/>
      </c>
      <c r="DR31">
        <v>29</v>
      </c>
      <c r="DS31" s="77" t="str">
        <f>Data!B30</f>
        <v xml:space="preserve">DALA FATIMA AHMED </v>
      </c>
      <c r="DT31" s="91"/>
      <c r="DU31" s="91"/>
      <c r="DV31" s="91"/>
      <c r="DW31" s="91"/>
      <c r="DX31" s="92">
        <f t="shared" si="51"/>
        <v>0</v>
      </c>
      <c r="DY31" s="93"/>
      <c r="DZ31" s="92">
        <f t="shared" si="52"/>
        <v>0</v>
      </c>
      <c r="EA31" s="92" t="str">
        <f t="shared" si="53"/>
        <v/>
      </c>
      <c r="EB31" s="92" t="str">
        <f t="shared" si="54"/>
        <v/>
      </c>
      <c r="EC31" s="92" t="str">
        <f t="shared" si="55"/>
        <v/>
      </c>
      <c r="ED31">
        <v>29</v>
      </c>
      <c r="EE31" s="77" t="str">
        <f>Data!B30</f>
        <v xml:space="preserve">DALA FATIMA AHMED </v>
      </c>
      <c r="EF31" s="78"/>
      <c r="EG31" s="78"/>
      <c r="EH31" s="78"/>
      <c r="EI31" s="78"/>
      <c r="EJ31" s="94">
        <f t="shared" si="56"/>
        <v>0</v>
      </c>
      <c r="EK31" s="94"/>
      <c r="EL31" s="94">
        <f t="shared" si="57"/>
        <v>0</v>
      </c>
      <c r="EM31" s="94" t="str">
        <f t="shared" si="58"/>
        <v/>
      </c>
      <c r="EN31" s="94" t="str">
        <f t="shared" si="59"/>
        <v/>
      </c>
      <c r="EO31" s="94" t="str">
        <f t="shared" si="60"/>
        <v/>
      </c>
      <c r="EP31">
        <v>29</v>
      </c>
      <c r="EQ31" s="95" t="str">
        <f>Data!B30</f>
        <v xml:space="preserve">DALA FATIMA AHMED </v>
      </c>
      <c r="ER31" s="78"/>
      <c r="ES31" s="78"/>
      <c r="ET31" s="78"/>
      <c r="EU31" s="78"/>
      <c r="EV31" s="90">
        <f t="shared" si="61"/>
        <v>0</v>
      </c>
      <c r="EW31" s="90"/>
      <c r="EX31" s="90">
        <f t="shared" si="62"/>
        <v>0</v>
      </c>
      <c r="EY31" s="90" t="str">
        <f t="shared" si="63"/>
        <v/>
      </c>
      <c r="EZ31" s="90" t="str">
        <f t="shared" si="64"/>
        <v/>
      </c>
      <c r="FA31" s="90" t="str">
        <f t="shared" si="65"/>
        <v/>
      </c>
      <c r="FB31">
        <v>29</v>
      </c>
      <c r="FC31" s="77" t="str">
        <f>Data!B30</f>
        <v xml:space="preserve">DALA FATIMA AHMED </v>
      </c>
      <c r="FD31" s="78"/>
      <c r="FE31" s="78"/>
      <c r="FF31" s="78"/>
      <c r="FG31" s="78"/>
      <c r="FH31" s="96">
        <f t="shared" si="66"/>
        <v>0</v>
      </c>
      <c r="FI31" s="96"/>
      <c r="FJ31" s="96">
        <f t="shared" si="67"/>
        <v>0</v>
      </c>
      <c r="FK31" s="96" t="str">
        <f t="shared" si="68"/>
        <v/>
      </c>
      <c r="FL31" s="96" t="str">
        <f t="shared" si="69"/>
        <v/>
      </c>
      <c r="FM31" s="96" t="str">
        <f t="shared" si="70"/>
        <v/>
      </c>
      <c r="FN31">
        <v>29</v>
      </c>
      <c r="FO31" s="77" t="str">
        <f>Data!B30</f>
        <v xml:space="preserve">DALA FATIMA AHMED </v>
      </c>
      <c r="FP31" s="78"/>
      <c r="FQ31" s="78"/>
      <c r="FR31" s="78"/>
      <c r="FS31" s="78"/>
      <c r="FT31" s="97">
        <f t="shared" si="71"/>
        <v>0</v>
      </c>
      <c r="FU31" s="97"/>
      <c r="FV31" s="97">
        <f t="shared" si="72"/>
        <v>0</v>
      </c>
      <c r="FW31" s="97" t="str">
        <f t="shared" si="73"/>
        <v/>
      </c>
      <c r="FX31" s="97" t="str">
        <f t="shared" si="74"/>
        <v/>
      </c>
      <c r="FY31" s="97" t="str">
        <f t="shared" si="75"/>
        <v/>
      </c>
      <c r="FZ31">
        <v>29</v>
      </c>
      <c r="GA31" s="77" t="str">
        <f>Data!B30</f>
        <v xml:space="preserve">DALA FATIMA AHMED </v>
      </c>
      <c r="GB31" s="78"/>
      <c r="GC31" s="78"/>
      <c r="GD31" s="78"/>
      <c r="GE31" s="78"/>
      <c r="GF31" s="98">
        <f t="shared" si="76"/>
        <v>0</v>
      </c>
      <c r="GG31" s="98"/>
      <c r="GH31" s="98">
        <f t="shared" si="77"/>
        <v>0</v>
      </c>
      <c r="GI31" s="98" t="str">
        <f t="shared" si="78"/>
        <v/>
      </c>
      <c r="GJ31" s="98" t="str">
        <f t="shared" si="79"/>
        <v/>
      </c>
      <c r="GK31" s="98" t="str">
        <f t="shared" si="80"/>
        <v/>
      </c>
      <c r="GL31">
        <v>29</v>
      </c>
      <c r="GM31" s="77" t="str">
        <f>Data!B30</f>
        <v xml:space="preserve">DALA FATIMA AHMED </v>
      </c>
      <c r="GN31" s="99"/>
      <c r="GO31" s="99"/>
      <c r="GP31" s="99"/>
      <c r="GQ31" s="99"/>
      <c r="GR31" s="100">
        <f t="shared" si="81"/>
        <v>0</v>
      </c>
      <c r="GS31" s="99"/>
      <c r="GT31" s="100">
        <f t="shared" si="82"/>
        <v>0</v>
      </c>
      <c r="GU31" s="100" t="str">
        <f t="shared" si="83"/>
        <v/>
      </c>
      <c r="GV31" s="100" t="str">
        <f t="shared" si="84"/>
        <v/>
      </c>
      <c r="GW31" s="100" t="str">
        <f t="shared" si="85"/>
        <v/>
      </c>
      <c r="GX31">
        <v>29</v>
      </c>
      <c r="GY31" s="77" t="str">
        <f>Data!B30</f>
        <v xml:space="preserve">DALA FATIMA AHMED </v>
      </c>
      <c r="GZ31" s="78"/>
      <c r="HA31" s="78"/>
      <c r="HB31" s="78"/>
      <c r="HC31" s="78"/>
      <c r="HD31" s="86">
        <f t="shared" si="86"/>
        <v>0</v>
      </c>
      <c r="HE31" s="86"/>
      <c r="HF31" s="86">
        <f t="shared" si="87"/>
        <v>0</v>
      </c>
      <c r="HG31" s="86" t="str">
        <f t="shared" si="88"/>
        <v/>
      </c>
      <c r="HH31" s="86" t="str">
        <f t="shared" si="89"/>
        <v/>
      </c>
      <c r="HI31" s="86" t="str">
        <f t="shared" si="90"/>
        <v/>
      </c>
      <c r="HJ31">
        <v>29</v>
      </c>
      <c r="HK31" s="77" t="str">
        <f>Data!B30</f>
        <v xml:space="preserve">DALA FATIMA AHMED </v>
      </c>
      <c r="HL31" s="111">
        <v>10</v>
      </c>
      <c r="HM31" s="112">
        <v>6</v>
      </c>
      <c r="HN31" s="112">
        <v>10</v>
      </c>
      <c r="HO31" s="112">
        <v>10</v>
      </c>
      <c r="HP31" s="103">
        <f t="shared" si="91"/>
        <v>36</v>
      </c>
      <c r="HQ31" s="111"/>
      <c r="HR31" s="103">
        <f t="shared" si="92"/>
        <v>36</v>
      </c>
      <c r="HS31" s="103">
        <f t="shared" si="93"/>
        <v>2</v>
      </c>
      <c r="HT31" s="103" t="str">
        <f t="shared" si="94"/>
        <v>F</v>
      </c>
      <c r="HU31" s="103" t="str">
        <f t="shared" si="95"/>
        <v>Fail</v>
      </c>
      <c r="HV31">
        <v>29</v>
      </c>
      <c r="HW31" s="77" t="str">
        <f>Data!B30</f>
        <v xml:space="preserve">DALA FATIMA AHMED </v>
      </c>
      <c r="HX31" s="78"/>
      <c r="HY31" s="78"/>
      <c r="HZ31" s="78"/>
      <c r="IA31" s="78"/>
      <c r="IB31" s="85">
        <f t="shared" si="96"/>
        <v>0</v>
      </c>
      <c r="IC31" s="85"/>
      <c r="ID31" s="85">
        <f t="shared" si="97"/>
        <v>0</v>
      </c>
      <c r="IE31" s="85" t="str">
        <f t="shared" si="98"/>
        <v/>
      </c>
      <c r="IF31" s="85" t="str">
        <f t="shared" si="99"/>
        <v/>
      </c>
      <c r="IG31" s="85" t="str">
        <f t="shared" si="100"/>
        <v/>
      </c>
      <c r="IH31">
        <v>29</v>
      </c>
      <c r="II31" s="77" t="str">
        <f>Data!B30</f>
        <v xml:space="preserve">DALA FATIMA AHMED </v>
      </c>
      <c r="IJ31" s="78"/>
      <c r="IK31" s="78"/>
      <c r="IL31" s="78"/>
      <c r="IM31" s="78"/>
      <c r="IN31" s="104">
        <f t="shared" si="101"/>
        <v>0</v>
      </c>
      <c r="IO31" s="104"/>
      <c r="IP31" s="104">
        <f t="shared" si="102"/>
        <v>0</v>
      </c>
      <c r="IQ31" s="104" t="str">
        <f t="shared" si="103"/>
        <v/>
      </c>
      <c r="IR31" s="104" t="str">
        <f t="shared" si="104"/>
        <v/>
      </c>
      <c r="IS31" s="104" t="str">
        <f t="shared" si="105"/>
        <v/>
      </c>
      <c r="IT31">
        <v>29</v>
      </c>
      <c r="IU31" s="77" t="str">
        <f t="shared" si="106"/>
        <v xml:space="preserve">DALA FATIMA AHMED </v>
      </c>
      <c r="IV31" s="105"/>
      <c r="IW31" s="105"/>
      <c r="IX31" s="105"/>
      <c r="IY31" s="105"/>
      <c r="IZ31" s="98">
        <f t="shared" si="107"/>
        <v>0</v>
      </c>
      <c r="JA31" s="105"/>
      <c r="JB31" s="98">
        <f t="shared" si="108"/>
        <v>0</v>
      </c>
      <c r="JC31" s="98" t="str">
        <f t="shared" si="109"/>
        <v/>
      </c>
      <c r="JD31" s="98" t="str">
        <f t="shared" si="110"/>
        <v/>
      </c>
      <c r="JE31" s="98" t="str">
        <f t="shared" si="111"/>
        <v/>
      </c>
      <c r="JF31">
        <v>29</v>
      </c>
      <c r="JG31" s="77" t="str">
        <f t="shared" si="112"/>
        <v xml:space="preserve">DALA FATIMA AHMED </v>
      </c>
      <c r="JH31" s="114"/>
      <c r="JI31" s="114"/>
      <c r="JJ31" s="114"/>
      <c r="JK31" s="114"/>
      <c r="JL31" s="82">
        <f t="shared" si="113"/>
        <v>0</v>
      </c>
      <c r="JM31" s="114"/>
      <c r="JN31" s="82">
        <f t="shared" si="114"/>
        <v>0</v>
      </c>
      <c r="JO31" s="82" t="str">
        <f t="shared" si="115"/>
        <v/>
      </c>
      <c r="JP31" s="82" t="str">
        <f t="shared" si="116"/>
        <v/>
      </c>
      <c r="JQ31" s="82" t="str">
        <f t="shared" si="117"/>
        <v/>
      </c>
      <c r="JR31">
        <v>29</v>
      </c>
      <c r="JS31" s="77" t="str">
        <f t="shared" si="118"/>
        <v xml:space="preserve">DALA FATIMA AHMED </v>
      </c>
      <c r="JT31" s="107"/>
      <c r="JU31" s="107"/>
      <c r="JV31" s="107"/>
      <c r="JW31" s="107"/>
      <c r="JX31" s="80">
        <f t="shared" si="119"/>
        <v>0</v>
      </c>
      <c r="JY31" s="108"/>
      <c r="JZ31" s="80">
        <f t="shared" si="0"/>
        <v>0</v>
      </c>
      <c r="KA31" s="80" t="str">
        <f t="shared" si="120"/>
        <v/>
      </c>
      <c r="KB31" s="80" t="str">
        <f t="shared" si="121"/>
        <v/>
      </c>
      <c r="KC31" s="80" t="str">
        <f t="shared" si="122"/>
        <v/>
      </c>
      <c r="KE31" s="16"/>
      <c r="KF31" s="16"/>
      <c r="KG31" s="16"/>
      <c r="KH31" s="16"/>
      <c r="KI31" s="16"/>
      <c r="KJ31" s="16"/>
      <c r="KK31" s="16"/>
      <c r="KL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</row>
    <row r="32" spans="1:309" ht="23.25">
      <c r="A32" s="17">
        <v>30</v>
      </c>
      <c r="B32" s="186">
        <v>30</v>
      </c>
      <c r="C32" s="77" t="str">
        <f>Data!B31</f>
        <v>DAUDA MARYAM UMMI</v>
      </c>
      <c r="D32" s="87">
        <v>8</v>
      </c>
      <c r="E32" s="87">
        <v>7</v>
      </c>
      <c r="F32" s="87">
        <v>9</v>
      </c>
      <c r="G32" s="87">
        <v>10</v>
      </c>
      <c r="H32" s="88">
        <f t="shared" si="1"/>
        <v>34</v>
      </c>
      <c r="I32" s="87">
        <v>42</v>
      </c>
      <c r="J32" s="88">
        <f t="shared" si="2"/>
        <v>76</v>
      </c>
      <c r="K32" s="79">
        <f t="shared" si="3"/>
        <v>5</v>
      </c>
      <c r="L32" s="79" t="str">
        <f t="shared" si="4"/>
        <v>A1</v>
      </c>
      <c r="M32" s="79" t="str">
        <f t="shared" si="5"/>
        <v>Excellent</v>
      </c>
      <c r="N32" s="17">
        <v>30</v>
      </c>
      <c r="O32" s="77" t="str">
        <f>Data!B31</f>
        <v>DAUDA MARYAM UMMI</v>
      </c>
      <c r="P32" s="78"/>
      <c r="Q32" s="78"/>
      <c r="R32" s="78"/>
      <c r="S32" s="78"/>
      <c r="T32" s="80">
        <f t="shared" si="6"/>
        <v>0</v>
      </c>
      <c r="U32" s="80"/>
      <c r="V32" s="80">
        <f t="shared" si="7"/>
        <v>0</v>
      </c>
      <c r="W32" s="80" t="str">
        <f t="shared" si="8"/>
        <v/>
      </c>
      <c r="X32" s="80" t="str">
        <f t="shared" si="9"/>
        <v/>
      </c>
      <c r="Y32" s="80" t="str">
        <f t="shared" si="10"/>
        <v/>
      </c>
      <c r="Z32" s="11">
        <v>30</v>
      </c>
      <c r="AA32" s="77" t="str">
        <f>Data!B31</f>
        <v>DAUDA MARYAM UMMI</v>
      </c>
      <c r="AB32" s="87">
        <v>8</v>
      </c>
      <c r="AC32" s="87">
        <v>7</v>
      </c>
      <c r="AD32" s="87">
        <v>9</v>
      </c>
      <c r="AE32" s="87">
        <v>10</v>
      </c>
      <c r="AF32" s="88">
        <f t="shared" si="11"/>
        <v>34</v>
      </c>
      <c r="AG32" s="87">
        <v>42</v>
      </c>
      <c r="AH32" s="88">
        <f t="shared" si="12"/>
        <v>76</v>
      </c>
      <c r="AI32" s="82">
        <f t="shared" si="13"/>
        <v>5</v>
      </c>
      <c r="AJ32" s="82" t="str">
        <f t="shared" si="14"/>
        <v>A1</v>
      </c>
      <c r="AK32" s="82" t="str">
        <f t="shared" si="15"/>
        <v>Excellent</v>
      </c>
      <c r="AL32" s="11">
        <v>30</v>
      </c>
      <c r="AM32" s="77" t="str">
        <f>Data!B31</f>
        <v>DAUDA MARYAM UMMI</v>
      </c>
      <c r="AN32" s="87">
        <v>8</v>
      </c>
      <c r="AO32" s="87">
        <v>7</v>
      </c>
      <c r="AP32" s="87">
        <v>9</v>
      </c>
      <c r="AQ32" s="87">
        <v>10</v>
      </c>
      <c r="AR32" s="88">
        <f t="shared" si="16"/>
        <v>34</v>
      </c>
      <c r="AS32" s="87">
        <v>42</v>
      </c>
      <c r="AT32" s="88">
        <f t="shared" si="17"/>
        <v>76</v>
      </c>
      <c r="AU32" s="83">
        <f t="shared" si="18"/>
        <v>5</v>
      </c>
      <c r="AV32" s="83" t="str">
        <f t="shared" si="19"/>
        <v>A1</v>
      </c>
      <c r="AW32" s="83" t="str">
        <f t="shared" si="20"/>
        <v>Excellent</v>
      </c>
      <c r="AX32" s="11">
        <v>30</v>
      </c>
      <c r="AY32" s="77" t="str">
        <f>Data!B31</f>
        <v>DAUDA MARYAM UMMI</v>
      </c>
      <c r="AZ32" s="87">
        <v>8</v>
      </c>
      <c r="BA32" s="87">
        <v>7</v>
      </c>
      <c r="BB32" s="87">
        <v>9</v>
      </c>
      <c r="BC32" s="87">
        <v>10</v>
      </c>
      <c r="BD32" s="88">
        <f t="shared" si="21"/>
        <v>34</v>
      </c>
      <c r="BE32" s="87">
        <v>42</v>
      </c>
      <c r="BF32" s="88">
        <f t="shared" si="22"/>
        <v>76</v>
      </c>
      <c r="BG32" s="85">
        <f t="shared" si="23"/>
        <v>5</v>
      </c>
      <c r="BH32" s="85" t="str">
        <f t="shared" si="24"/>
        <v>A1</v>
      </c>
      <c r="BI32" s="85" t="str">
        <f t="shared" si="25"/>
        <v>Excellent</v>
      </c>
      <c r="BJ32" s="36">
        <v>30</v>
      </c>
      <c r="BK32" s="77" t="str">
        <f>Data!B31</f>
        <v>DAUDA MARYAM UMMI</v>
      </c>
      <c r="BL32" s="87">
        <v>8</v>
      </c>
      <c r="BM32" s="87">
        <v>7</v>
      </c>
      <c r="BN32" s="87">
        <v>9</v>
      </c>
      <c r="BO32" s="87">
        <v>10</v>
      </c>
      <c r="BP32" s="88">
        <f t="shared" si="26"/>
        <v>34</v>
      </c>
      <c r="BQ32" s="87">
        <v>42</v>
      </c>
      <c r="BR32" s="88">
        <f t="shared" si="27"/>
        <v>76</v>
      </c>
      <c r="BS32" s="86">
        <f t="shared" si="28"/>
        <v>5</v>
      </c>
      <c r="BT32" s="86" t="str">
        <f t="shared" si="29"/>
        <v>A1</v>
      </c>
      <c r="BU32" s="86" t="str">
        <f t="shared" si="30"/>
        <v>Excellent</v>
      </c>
      <c r="BV32">
        <v>30</v>
      </c>
      <c r="BW32" s="77" t="str">
        <f>Data!B31</f>
        <v>DAUDA MARYAM UMMI</v>
      </c>
      <c r="BX32" s="87">
        <v>8</v>
      </c>
      <c r="BY32" s="87">
        <v>7</v>
      </c>
      <c r="BZ32" s="87">
        <v>9</v>
      </c>
      <c r="CA32" s="87">
        <v>10</v>
      </c>
      <c r="CB32" s="88">
        <f t="shared" si="31"/>
        <v>34</v>
      </c>
      <c r="CC32" s="87">
        <v>42</v>
      </c>
      <c r="CD32" s="88">
        <f t="shared" si="32"/>
        <v>76</v>
      </c>
      <c r="CE32" s="88">
        <f t="shared" si="33"/>
        <v>5</v>
      </c>
      <c r="CF32" s="88" t="str">
        <f t="shared" si="34"/>
        <v>A1</v>
      </c>
      <c r="CG32" s="88" t="str">
        <f t="shared" si="35"/>
        <v>Excellent</v>
      </c>
      <c r="CH32">
        <v>30</v>
      </c>
      <c r="CI32" s="77" t="str">
        <f>Data!B31</f>
        <v>DAUDA MARYAM UMMI</v>
      </c>
      <c r="CJ32" s="78"/>
      <c r="CK32" s="78"/>
      <c r="CL32" s="78"/>
      <c r="CM32" s="78"/>
      <c r="CN32" s="89">
        <f t="shared" si="36"/>
        <v>0</v>
      </c>
      <c r="CO32" s="89"/>
      <c r="CP32" s="89">
        <f t="shared" si="37"/>
        <v>0</v>
      </c>
      <c r="CQ32" s="89" t="str">
        <f t="shared" si="38"/>
        <v/>
      </c>
      <c r="CR32" s="89" t="str">
        <f t="shared" si="39"/>
        <v/>
      </c>
      <c r="CS32" s="89" t="str">
        <f t="shared" si="40"/>
        <v/>
      </c>
      <c r="CT32">
        <v>30</v>
      </c>
      <c r="CU32" s="77" t="str">
        <f>Data!B31</f>
        <v>DAUDA MARYAM UMMI</v>
      </c>
      <c r="CV32" s="12"/>
      <c r="CW32" s="12"/>
      <c r="CX32" s="12"/>
      <c r="CY32" s="12"/>
      <c r="CZ32" s="90">
        <f t="shared" si="41"/>
        <v>0</v>
      </c>
      <c r="DA32" s="12"/>
      <c r="DB32" s="90">
        <f t="shared" si="42"/>
        <v>0</v>
      </c>
      <c r="DC32" s="90" t="str">
        <f t="shared" si="43"/>
        <v/>
      </c>
      <c r="DD32" s="90" t="str">
        <f t="shared" si="44"/>
        <v/>
      </c>
      <c r="DE32" s="90" t="str">
        <f t="shared" si="45"/>
        <v/>
      </c>
      <c r="DF32">
        <v>30</v>
      </c>
      <c r="DG32" s="77" t="str">
        <f>Data!B31</f>
        <v>DAUDA MARYAM UMMI</v>
      </c>
      <c r="DH32" s="78"/>
      <c r="DI32" s="78"/>
      <c r="DJ32" s="78"/>
      <c r="DK32" s="78"/>
      <c r="DL32" s="85">
        <f t="shared" si="46"/>
        <v>0</v>
      </c>
      <c r="DM32" s="84"/>
      <c r="DN32" s="85">
        <f t="shared" si="47"/>
        <v>0</v>
      </c>
      <c r="DO32" s="85" t="str">
        <f t="shared" si="48"/>
        <v/>
      </c>
      <c r="DP32" s="85" t="str">
        <f t="shared" si="49"/>
        <v/>
      </c>
      <c r="DQ32" s="85" t="str">
        <f t="shared" si="50"/>
        <v/>
      </c>
      <c r="DR32">
        <v>30</v>
      </c>
      <c r="DS32" s="77" t="str">
        <f>Data!B31</f>
        <v>DAUDA MARYAM UMMI</v>
      </c>
      <c r="DT32" s="91"/>
      <c r="DU32" s="91"/>
      <c r="DV32" s="91"/>
      <c r="DW32" s="91"/>
      <c r="DX32" s="92">
        <f t="shared" si="51"/>
        <v>0</v>
      </c>
      <c r="DY32" s="93"/>
      <c r="DZ32" s="92">
        <f t="shared" si="52"/>
        <v>0</v>
      </c>
      <c r="EA32" s="92" t="str">
        <f t="shared" si="53"/>
        <v/>
      </c>
      <c r="EB32" s="92" t="str">
        <f t="shared" si="54"/>
        <v/>
      </c>
      <c r="EC32" s="92" t="str">
        <f t="shared" si="55"/>
        <v/>
      </c>
      <c r="ED32">
        <v>30</v>
      </c>
      <c r="EE32" s="77" t="str">
        <f>Data!B31</f>
        <v>DAUDA MARYAM UMMI</v>
      </c>
      <c r="EF32" s="78"/>
      <c r="EG32" s="78"/>
      <c r="EH32" s="78"/>
      <c r="EI32" s="78"/>
      <c r="EJ32" s="94">
        <f t="shared" si="56"/>
        <v>0</v>
      </c>
      <c r="EK32" s="94"/>
      <c r="EL32" s="94">
        <f t="shared" si="57"/>
        <v>0</v>
      </c>
      <c r="EM32" s="94" t="str">
        <f t="shared" si="58"/>
        <v/>
      </c>
      <c r="EN32" s="94" t="str">
        <f t="shared" si="59"/>
        <v/>
      </c>
      <c r="EO32" s="94" t="str">
        <f t="shared" si="60"/>
        <v/>
      </c>
      <c r="EP32">
        <v>30</v>
      </c>
      <c r="EQ32" s="95" t="str">
        <f>Data!B31</f>
        <v>DAUDA MARYAM UMMI</v>
      </c>
      <c r="ER32" s="78"/>
      <c r="ES32" s="78"/>
      <c r="ET32" s="78"/>
      <c r="EU32" s="78"/>
      <c r="EV32" s="90">
        <f t="shared" si="61"/>
        <v>0</v>
      </c>
      <c r="EW32" s="90"/>
      <c r="EX32" s="90">
        <f t="shared" si="62"/>
        <v>0</v>
      </c>
      <c r="EY32" s="90" t="str">
        <f t="shared" si="63"/>
        <v/>
      </c>
      <c r="EZ32" s="90" t="str">
        <f t="shared" si="64"/>
        <v/>
      </c>
      <c r="FA32" s="90" t="str">
        <f t="shared" si="65"/>
        <v/>
      </c>
      <c r="FB32">
        <v>30</v>
      </c>
      <c r="FC32" s="77" t="str">
        <f>Data!B31</f>
        <v>DAUDA MARYAM UMMI</v>
      </c>
      <c r="FD32" s="78"/>
      <c r="FE32" s="78"/>
      <c r="FF32" s="78"/>
      <c r="FG32" s="78"/>
      <c r="FH32" s="96">
        <f t="shared" si="66"/>
        <v>0</v>
      </c>
      <c r="FI32" s="96"/>
      <c r="FJ32" s="96">
        <f t="shared" si="67"/>
        <v>0</v>
      </c>
      <c r="FK32" s="96" t="str">
        <f t="shared" si="68"/>
        <v/>
      </c>
      <c r="FL32" s="96" t="str">
        <f t="shared" si="69"/>
        <v/>
      </c>
      <c r="FM32" s="96" t="str">
        <f t="shared" si="70"/>
        <v/>
      </c>
      <c r="FN32">
        <v>30</v>
      </c>
      <c r="FO32" s="77" t="str">
        <f>Data!B31</f>
        <v>DAUDA MARYAM UMMI</v>
      </c>
      <c r="FP32" s="78"/>
      <c r="FQ32" s="78"/>
      <c r="FR32" s="78"/>
      <c r="FS32" s="78"/>
      <c r="FT32" s="97">
        <f t="shared" si="71"/>
        <v>0</v>
      </c>
      <c r="FU32" s="97"/>
      <c r="FV32" s="97">
        <f t="shared" si="72"/>
        <v>0</v>
      </c>
      <c r="FW32" s="97" t="str">
        <f t="shared" si="73"/>
        <v/>
      </c>
      <c r="FX32" s="97" t="str">
        <f t="shared" si="74"/>
        <v/>
      </c>
      <c r="FY32" s="97" t="str">
        <f t="shared" si="75"/>
        <v/>
      </c>
      <c r="FZ32">
        <v>30</v>
      </c>
      <c r="GA32" s="77" t="str">
        <f>Data!B31</f>
        <v>DAUDA MARYAM UMMI</v>
      </c>
      <c r="GB32" s="78"/>
      <c r="GC32" s="78"/>
      <c r="GD32" s="78"/>
      <c r="GE32" s="78"/>
      <c r="GF32" s="98">
        <f t="shared" si="76"/>
        <v>0</v>
      </c>
      <c r="GG32" s="98"/>
      <c r="GH32" s="98">
        <f t="shared" si="77"/>
        <v>0</v>
      </c>
      <c r="GI32" s="98" t="str">
        <f t="shared" si="78"/>
        <v/>
      </c>
      <c r="GJ32" s="98" t="str">
        <f t="shared" si="79"/>
        <v/>
      </c>
      <c r="GK32" s="98" t="str">
        <f t="shared" si="80"/>
        <v/>
      </c>
      <c r="GL32">
        <v>30</v>
      </c>
      <c r="GM32" s="77" t="str">
        <f>Data!B31</f>
        <v>DAUDA MARYAM UMMI</v>
      </c>
      <c r="GN32" s="99"/>
      <c r="GO32" s="99"/>
      <c r="GP32" s="99"/>
      <c r="GQ32" s="99"/>
      <c r="GR32" s="100">
        <f t="shared" si="81"/>
        <v>0</v>
      </c>
      <c r="GS32" s="99"/>
      <c r="GT32" s="100">
        <f t="shared" si="82"/>
        <v>0</v>
      </c>
      <c r="GU32" s="100" t="str">
        <f t="shared" si="83"/>
        <v/>
      </c>
      <c r="GV32" s="100" t="str">
        <f t="shared" si="84"/>
        <v/>
      </c>
      <c r="GW32" s="100" t="str">
        <f t="shared" si="85"/>
        <v/>
      </c>
      <c r="GX32">
        <v>30</v>
      </c>
      <c r="GY32" s="77" t="str">
        <f>Data!B31</f>
        <v>DAUDA MARYAM UMMI</v>
      </c>
      <c r="GZ32" s="78"/>
      <c r="HA32" s="78"/>
      <c r="HB32" s="78"/>
      <c r="HC32" s="78"/>
      <c r="HD32" s="86">
        <f t="shared" si="86"/>
        <v>0</v>
      </c>
      <c r="HE32" s="86"/>
      <c r="HF32" s="86">
        <f t="shared" si="87"/>
        <v>0</v>
      </c>
      <c r="HG32" s="86" t="str">
        <f t="shared" si="88"/>
        <v/>
      </c>
      <c r="HH32" s="86" t="str">
        <f t="shared" si="89"/>
        <v/>
      </c>
      <c r="HI32" s="86" t="str">
        <f t="shared" si="90"/>
        <v/>
      </c>
      <c r="HJ32">
        <v>30</v>
      </c>
      <c r="HK32" s="77" t="str">
        <f>Data!B31</f>
        <v>DAUDA MARYAM UMMI</v>
      </c>
      <c r="HL32" s="111">
        <v>6</v>
      </c>
      <c r="HM32" s="112">
        <v>8</v>
      </c>
      <c r="HN32" s="112">
        <v>10</v>
      </c>
      <c r="HO32" s="112">
        <v>10</v>
      </c>
      <c r="HP32" s="103">
        <f t="shared" si="91"/>
        <v>34</v>
      </c>
      <c r="HQ32" s="111"/>
      <c r="HR32" s="103">
        <f t="shared" si="92"/>
        <v>34</v>
      </c>
      <c r="HS32" s="103">
        <f t="shared" si="93"/>
        <v>7</v>
      </c>
      <c r="HT32" s="103" t="str">
        <f t="shared" si="94"/>
        <v>F</v>
      </c>
      <c r="HU32" s="103" t="str">
        <f t="shared" si="95"/>
        <v>Fail</v>
      </c>
      <c r="HV32">
        <v>30</v>
      </c>
      <c r="HW32" s="77" t="str">
        <f>Data!B31</f>
        <v>DAUDA MARYAM UMMI</v>
      </c>
      <c r="HX32" s="78"/>
      <c r="HY32" s="78"/>
      <c r="HZ32" s="78"/>
      <c r="IA32" s="78"/>
      <c r="IB32" s="85">
        <f t="shared" si="96"/>
        <v>0</v>
      </c>
      <c r="IC32" s="85"/>
      <c r="ID32" s="85">
        <f t="shared" si="97"/>
        <v>0</v>
      </c>
      <c r="IE32" s="85" t="str">
        <f t="shared" si="98"/>
        <v/>
      </c>
      <c r="IF32" s="85" t="str">
        <f t="shared" si="99"/>
        <v/>
      </c>
      <c r="IG32" s="85" t="str">
        <f t="shared" si="100"/>
        <v/>
      </c>
      <c r="IH32">
        <v>30</v>
      </c>
      <c r="II32" s="77" t="str">
        <f>Data!B31</f>
        <v>DAUDA MARYAM UMMI</v>
      </c>
      <c r="IJ32" s="78"/>
      <c r="IK32" s="78"/>
      <c r="IL32" s="78"/>
      <c r="IM32" s="78"/>
      <c r="IN32" s="104">
        <f t="shared" si="101"/>
        <v>0</v>
      </c>
      <c r="IO32" s="104"/>
      <c r="IP32" s="104">
        <f t="shared" si="102"/>
        <v>0</v>
      </c>
      <c r="IQ32" s="104" t="str">
        <f t="shared" si="103"/>
        <v/>
      </c>
      <c r="IR32" s="104" t="str">
        <f t="shared" si="104"/>
        <v/>
      </c>
      <c r="IS32" s="104" t="str">
        <f t="shared" si="105"/>
        <v/>
      </c>
      <c r="IT32">
        <v>30</v>
      </c>
      <c r="IU32" s="77" t="str">
        <f t="shared" si="106"/>
        <v>DAUDA MARYAM UMMI</v>
      </c>
      <c r="IV32" s="105"/>
      <c r="IW32" s="105"/>
      <c r="IX32" s="105"/>
      <c r="IY32" s="105"/>
      <c r="IZ32" s="98">
        <f t="shared" si="107"/>
        <v>0</v>
      </c>
      <c r="JA32" s="105"/>
      <c r="JB32" s="98">
        <f t="shared" si="108"/>
        <v>0</v>
      </c>
      <c r="JC32" s="98" t="str">
        <f t="shared" si="109"/>
        <v/>
      </c>
      <c r="JD32" s="98" t="str">
        <f t="shared" si="110"/>
        <v/>
      </c>
      <c r="JE32" s="98" t="str">
        <f t="shared" si="111"/>
        <v/>
      </c>
      <c r="JF32">
        <v>30</v>
      </c>
      <c r="JG32" s="77" t="str">
        <f t="shared" si="112"/>
        <v>DAUDA MARYAM UMMI</v>
      </c>
      <c r="JH32" s="114"/>
      <c r="JI32" s="114"/>
      <c r="JJ32" s="114"/>
      <c r="JK32" s="114"/>
      <c r="JL32" s="82">
        <f t="shared" si="113"/>
        <v>0</v>
      </c>
      <c r="JM32" s="114"/>
      <c r="JN32" s="82">
        <f t="shared" si="114"/>
        <v>0</v>
      </c>
      <c r="JO32" s="82" t="str">
        <f t="shared" si="115"/>
        <v/>
      </c>
      <c r="JP32" s="82" t="str">
        <f t="shared" si="116"/>
        <v/>
      </c>
      <c r="JQ32" s="82" t="str">
        <f t="shared" si="117"/>
        <v/>
      </c>
      <c r="JR32">
        <v>30</v>
      </c>
      <c r="JS32" s="77" t="str">
        <f t="shared" si="118"/>
        <v>DAUDA MARYAM UMMI</v>
      </c>
      <c r="JT32" s="107"/>
      <c r="JU32" s="107"/>
      <c r="JV32" s="107"/>
      <c r="JW32" s="107"/>
      <c r="JX32" s="80">
        <f t="shared" si="119"/>
        <v>0</v>
      </c>
      <c r="JY32" s="108"/>
      <c r="JZ32" s="80">
        <f t="shared" si="0"/>
        <v>0</v>
      </c>
      <c r="KA32" s="80" t="str">
        <f t="shared" si="120"/>
        <v/>
      </c>
      <c r="KB32" s="80" t="str">
        <f t="shared" si="121"/>
        <v/>
      </c>
      <c r="KC32" s="80" t="str">
        <f t="shared" si="122"/>
        <v/>
      </c>
      <c r="KE32" s="16"/>
      <c r="KF32" s="16"/>
      <c r="KG32" s="16"/>
      <c r="KH32" s="16"/>
      <c r="KI32" s="16"/>
      <c r="KJ32" s="16"/>
      <c r="KK32" s="16"/>
      <c r="KL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</row>
    <row r="33" spans="1:309" ht="23.25">
      <c r="A33" s="17">
        <v>31</v>
      </c>
      <c r="B33" s="186">
        <v>31</v>
      </c>
      <c r="C33" s="77" t="str">
        <f>Data!B32</f>
        <v>DULOMI ZAINAB</v>
      </c>
      <c r="D33" s="87">
        <v>7</v>
      </c>
      <c r="E33" s="87">
        <v>6</v>
      </c>
      <c r="F33" s="87">
        <v>8</v>
      </c>
      <c r="G33" s="87">
        <v>10</v>
      </c>
      <c r="H33" s="88">
        <f t="shared" si="1"/>
        <v>31</v>
      </c>
      <c r="I33" s="87">
        <v>34</v>
      </c>
      <c r="J33" s="88">
        <f t="shared" si="2"/>
        <v>65</v>
      </c>
      <c r="K33" s="79">
        <f t="shared" si="3"/>
        <v>11</v>
      </c>
      <c r="L33" s="79" t="str">
        <f t="shared" si="4"/>
        <v>B3</v>
      </c>
      <c r="M33" s="79" t="str">
        <f t="shared" si="5"/>
        <v>Good</v>
      </c>
      <c r="N33" s="17">
        <v>31</v>
      </c>
      <c r="O33" s="77" t="str">
        <f>Data!B32</f>
        <v>DULOMI ZAINAB</v>
      </c>
      <c r="P33" s="78"/>
      <c r="Q33" s="78"/>
      <c r="R33" s="78"/>
      <c r="S33" s="78"/>
      <c r="T33" s="80">
        <f t="shared" si="6"/>
        <v>0</v>
      </c>
      <c r="U33" s="80"/>
      <c r="V33" s="80">
        <f t="shared" si="7"/>
        <v>0</v>
      </c>
      <c r="W33" s="80" t="str">
        <f t="shared" si="8"/>
        <v/>
      </c>
      <c r="X33" s="80" t="str">
        <f t="shared" si="9"/>
        <v/>
      </c>
      <c r="Y33" s="80" t="str">
        <f t="shared" si="10"/>
        <v/>
      </c>
      <c r="Z33" s="11">
        <v>31</v>
      </c>
      <c r="AA33" s="77" t="str">
        <f>Data!B32</f>
        <v>DULOMI ZAINAB</v>
      </c>
      <c r="AB33" s="87">
        <v>7</v>
      </c>
      <c r="AC33" s="87">
        <v>6</v>
      </c>
      <c r="AD33" s="87">
        <v>8</v>
      </c>
      <c r="AE33" s="87">
        <v>10</v>
      </c>
      <c r="AF33" s="88">
        <f t="shared" si="11"/>
        <v>31</v>
      </c>
      <c r="AG33" s="87">
        <v>34</v>
      </c>
      <c r="AH33" s="88">
        <f t="shared" si="12"/>
        <v>65</v>
      </c>
      <c r="AI33" s="82">
        <f t="shared" si="13"/>
        <v>11</v>
      </c>
      <c r="AJ33" s="82" t="str">
        <f t="shared" si="14"/>
        <v>B3</v>
      </c>
      <c r="AK33" s="82" t="str">
        <f t="shared" si="15"/>
        <v>Good</v>
      </c>
      <c r="AL33" s="11">
        <v>31</v>
      </c>
      <c r="AM33" s="77" t="str">
        <f>Data!B32</f>
        <v>DULOMI ZAINAB</v>
      </c>
      <c r="AN33" s="87">
        <v>7</v>
      </c>
      <c r="AO33" s="87">
        <v>6</v>
      </c>
      <c r="AP33" s="87">
        <v>8</v>
      </c>
      <c r="AQ33" s="87">
        <v>10</v>
      </c>
      <c r="AR33" s="88">
        <f t="shared" si="16"/>
        <v>31</v>
      </c>
      <c r="AS33" s="87">
        <v>34</v>
      </c>
      <c r="AT33" s="88">
        <f t="shared" si="17"/>
        <v>65</v>
      </c>
      <c r="AU33" s="83">
        <f t="shared" si="18"/>
        <v>11</v>
      </c>
      <c r="AV33" s="83" t="str">
        <f t="shared" si="19"/>
        <v>B3</v>
      </c>
      <c r="AW33" s="83" t="str">
        <f t="shared" si="20"/>
        <v>Good</v>
      </c>
      <c r="AX33" s="11">
        <v>31</v>
      </c>
      <c r="AY33" s="77" t="str">
        <f>Data!B32</f>
        <v>DULOMI ZAINAB</v>
      </c>
      <c r="AZ33" s="87">
        <v>7</v>
      </c>
      <c r="BA33" s="87">
        <v>6</v>
      </c>
      <c r="BB33" s="87">
        <v>8</v>
      </c>
      <c r="BC33" s="87">
        <v>10</v>
      </c>
      <c r="BD33" s="88">
        <f t="shared" si="21"/>
        <v>31</v>
      </c>
      <c r="BE33" s="87">
        <v>34</v>
      </c>
      <c r="BF33" s="88">
        <f t="shared" si="22"/>
        <v>65</v>
      </c>
      <c r="BG33" s="85">
        <f t="shared" si="23"/>
        <v>11</v>
      </c>
      <c r="BH33" s="85" t="str">
        <f t="shared" si="24"/>
        <v>B3</v>
      </c>
      <c r="BI33" s="85" t="str">
        <f t="shared" si="25"/>
        <v>Good</v>
      </c>
      <c r="BJ33" s="36">
        <v>31</v>
      </c>
      <c r="BK33" s="77" t="str">
        <f>Data!B32</f>
        <v>DULOMI ZAINAB</v>
      </c>
      <c r="BL33" s="87">
        <v>7</v>
      </c>
      <c r="BM33" s="87">
        <v>6</v>
      </c>
      <c r="BN33" s="87">
        <v>8</v>
      </c>
      <c r="BO33" s="87">
        <v>10</v>
      </c>
      <c r="BP33" s="88">
        <f t="shared" si="26"/>
        <v>31</v>
      </c>
      <c r="BQ33" s="87">
        <v>34</v>
      </c>
      <c r="BR33" s="88">
        <f t="shared" si="27"/>
        <v>65</v>
      </c>
      <c r="BS33" s="86">
        <f t="shared" si="28"/>
        <v>11</v>
      </c>
      <c r="BT33" s="86" t="str">
        <f t="shared" si="29"/>
        <v>B3</v>
      </c>
      <c r="BU33" s="86" t="str">
        <f t="shared" si="30"/>
        <v>Good</v>
      </c>
      <c r="BV33">
        <v>31</v>
      </c>
      <c r="BW33" s="77" t="str">
        <f>Data!B32</f>
        <v>DULOMI ZAINAB</v>
      </c>
      <c r="BX33" s="87">
        <v>7</v>
      </c>
      <c r="BY33" s="87">
        <v>6</v>
      </c>
      <c r="BZ33" s="87">
        <v>8</v>
      </c>
      <c r="CA33" s="87">
        <v>10</v>
      </c>
      <c r="CB33" s="88">
        <f t="shared" si="31"/>
        <v>31</v>
      </c>
      <c r="CC33" s="87">
        <v>34</v>
      </c>
      <c r="CD33" s="88">
        <f t="shared" si="32"/>
        <v>65</v>
      </c>
      <c r="CE33" s="88">
        <f t="shared" si="33"/>
        <v>11</v>
      </c>
      <c r="CF33" s="88" t="str">
        <f t="shared" si="34"/>
        <v>B3</v>
      </c>
      <c r="CG33" s="88" t="str">
        <f t="shared" si="35"/>
        <v>Good</v>
      </c>
      <c r="CH33">
        <v>31</v>
      </c>
      <c r="CI33" s="77" t="str">
        <f>Data!B32</f>
        <v>DULOMI ZAINAB</v>
      </c>
      <c r="CJ33" s="78"/>
      <c r="CK33" s="78"/>
      <c r="CL33" s="78"/>
      <c r="CM33" s="78"/>
      <c r="CN33" s="89">
        <f t="shared" si="36"/>
        <v>0</v>
      </c>
      <c r="CO33" s="89"/>
      <c r="CP33" s="89">
        <f t="shared" si="37"/>
        <v>0</v>
      </c>
      <c r="CQ33" s="89" t="str">
        <f t="shared" si="38"/>
        <v/>
      </c>
      <c r="CR33" s="89" t="str">
        <f t="shared" si="39"/>
        <v/>
      </c>
      <c r="CS33" s="89" t="str">
        <f t="shared" si="40"/>
        <v/>
      </c>
      <c r="CT33">
        <v>31</v>
      </c>
      <c r="CU33" s="77" t="str">
        <f>Data!B32</f>
        <v>DULOMI ZAINAB</v>
      </c>
      <c r="CV33" s="12"/>
      <c r="CW33" s="12"/>
      <c r="CX33" s="12"/>
      <c r="CY33" s="12"/>
      <c r="CZ33" s="90">
        <f t="shared" si="41"/>
        <v>0</v>
      </c>
      <c r="DA33" s="12"/>
      <c r="DB33" s="90">
        <f t="shared" si="42"/>
        <v>0</v>
      </c>
      <c r="DC33" s="90" t="str">
        <f t="shared" si="43"/>
        <v/>
      </c>
      <c r="DD33" s="90" t="str">
        <f t="shared" si="44"/>
        <v/>
      </c>
      <c r="DE33" s="90" t="str">
        <f t="shared" si="45"/>
        <v/>
      </c>
      <c r="DF33">
        <v>31</v>
      </c>
      <c r="DG33" s="77" t="str">
        <f>Data!B32</f>
        <v>DULOMI ZAINAB</v>
      </c>
      <c r="DH33" s="78"/>
      <c r="DI33" s="78"/>
      <c r="DJ33" s="78"/>
      <c r="DK33" s="78"/>
      <c r="DL33" s="85">
        <f t="shared" si="46"/>
        <v>0</v>
      </c>
      <c r="DM33" s="84"/>
      <c r="DN33" s="85">
        <f t="shared" si="47"/>
        <v>0</v>
      </c>
      <c r="DO33" s="85" t="str">
        <f t="shared" si="48"/>
        <v/>
      </c>
      <c r="DP33" s="85" t="str">
        <f t="shared" si="49"/>
        <v/>
      </c>
      <c r="DQ33" s="85" t="str">
        <f t="shared" si="50"/>
        <v/>
      </c>
      <c r="DR33">
        <v>31</v>
      </c>
      <c r="DS33" s="77" t="str">
        <f>Data!B32</f>
        <v>DULOMI ZAINAB</v>
      </c>
      <c r="DT33" s="91"/>
      <c r="DU33" s="91"/>
      <c r="DV33" s="91"/>
      <c r="DW33" s="91"/>
      <c r="DX33" s="92">
        <f t="shared" si="51"/>
        <v>0</v>
      </c>
      <c r="DY33" s="93"/>
      <c r="DZ33" s="92">
        <f t="shared" si="52"/>
        <v>0</v>
      </c>
      <c r="EA33" s="92" t="str">
        <f t="shared" si="53"/>
        <v/>
      </c>
      <c r="EB33" s="92" t="str">
        <f t="shared" si="54"/>
        <v/>
      </c>
      <c r="EC33" s="92" t="str">
        <f t="shared" si="55"/>
        <v/>
      </c>
      <c r="ED33">
        <v>31</v>
      </c>
      <c r="EE33" s="77" t="str">
        <f>Data!B32</f>
        <v>DULOMI ZAINAB</v>
      </c>
      <c r="EF33" s="78"/>
      <c r="EG33" s="78"/>
      <c r="EH33" s="78"/>
      <c r="EI33" s="78"/>
      <c r="EJ33" s="94">
        <f t="shared" si="56"/>
        <v>0</v>
      </c>
      <c r="EK33" s="94"/>
      <c r="EL33" s="94">
        <f t="shared" si="57"/>
        <v>0</v>
      </c>
      <c r="EM33" s="94" t="str">
        <f t="shared" si="58"/>
        <v/>
      </c>
      <c r="EN33" s="94" t="str">
        <f t="shared" si="59"/>
        <v/>
      </c>
      <c r="EO33" s="94" t="str">
        <f t="shared" si="60"/>
        <v/>
      </c>
      <c r="EP33">
        <v>31</v>
      </c>
      <c r="EQ33" s="95" t="str">
        <f>Data!B32</f>
        <v>DULOMI ZAINAB</v>
      </c>
      <c r="ER33" s="78"/>
      <c r="ES33" s="78"/>
      <c r="ET33" s="78"/>
      <c r="EU33" s="78"/>
      <c r="EV33" s="90">
        <f t="shared" si="61"/>
        <v>0</v>
      </c>
      <c r="EW33" s="90"/>
      <c r="EX33" s="90">
        <f t="shared" si="62"/>
        <v>0</v>
      </c>
      <c r="EY33" s="90" t="str">
        <f t="shared" si="63"/>
        <v/>
      </c>
      <c r="EZ33" s="90" t="str">
        <f t="shared" si="64"/>
        <v/>
      </c>
      <c r="FA33" s="90" t="str">
        <f t="shared" si="65"/>
        <v/>
      </c>
      <c r="FB33">
        <v>31</v>
      </c>
      <c r="FC33" s="77" t="str">
        <f>Data!B32</f>
        <v>DULOMI ZAINAB</v>
      </c>
      <c r="FD33" s="78"/>
      <c r="FE33" s="78"/>
      <c r="FF33" s="78"/>
      <c r="FG33" s="78"/>
      <c r="FH33" s="96">
        <f t="shared" si="66"/>
        <v>0</v>
      </c>
      <c r="FI33" s="96"/>
      <c r="FJ33" s="96">
        <f t="shared" si="67"/>
        <v>0</v>
      </c>
      <c r="FK33" s="96" t="str">
        <f t="shared" si="68"/>
        <v/>
      </c>
      <c r="FL33" s="96" t="str">
        <f t="shared" si="69"/>
        <v/>
      </c>
      <c r="FM33" s="96" t="str">
        <f t="shared" si="70"/>
        <v/>
      </c>
      <c r="FN33">
        <v>31</v>
      </c>
      <c r="FO33" s="77" t="str">
        <f>Data!B32</f>
        <v>DULOMI ZAINAB</v>
      </c>
      <c r="FP33" s="78"/>
      <c r="FQ33" s="78"/>
      <c r="FR33" s="78"/>
      <c r="FS33" s="78"/>
      <c r="FT33" s="97">
        <f t="shared" si="71"/>
        <v>0</v>
      </c>
      <c r="FU33" s="97"/>
      <c r="FV33" s="97">
        <f t="shared" si="72"/>
        <v>0</v>
      </c>
      <c r="FW33" s="97" t="str">
        <f t="shared" si="73"/>
        <v/>
      </c>
      <c r="FX33" s="97" t="str">
        <f t="shared" si="74"/>
        <v/>
      </c>
      <c r="FY33" s="97" t="str">
        <f t="shared" si="75"/>
        <v/>
      </c>
      <c r="FZ33">
        <v>31</v>
      </c>
      <c r="GA33" s="77" t="str">
        <f>Data!B32</f>
        <v>DULOMI ZAINAB</v>
      </c>
      <c r="GB33" s="78"/>
      <c r="GC33" s="78"/>
      <c r="GD33" s="78"/>
      <c r="GE33" s="78"/>
      <c r="GF33" s="98">
        <f t="shared" si="76"/>
        <v>0</v>
      </c>
      <c r="GG33" s="98"/>
      <c r="GH33" s="98">
        <f t="shared" si="77"/>
        <v>0</v>
      </c>
      <c r="GI33" s="98" t="str">
        <f t="shared" si="78"/>
        <v/>
      </c>
      <c r="GJ33" s="98" t="str">
        <f t="shared" si="79"/>
        <v/>
      </c>
      <c r="GK33" s="98" t="str">
        <f t="shared" si="80"/>
        <v/>
      </c>
      <c r="GL33">
        <v>31</v>
      </c>
      <c r="GM33" s="77" t="str">
        <f>Data!B32</f>
        <v>DULOMI ZAINAB</v>
      </c>
      <c r="GN33" s="99"/>
      <c r="GO33" s="99"/>
      <c r="GP33" s="99"/>
      <c r="GQ33" s="99"/>
      <c r="GR33" s="100">
        <f t="shared" si="81"/>
        <v>0</v>
      </c>
      <c r="GS33" s="99"/>
      <c r="GT33" s="100">
        <f t="shared" si="82"/>
        <v>0</v>
      </c>
      <c r="GU33" s="100" t="str">
        <f t="shared" si="83"/>
        <v/>
      </c>
      <c r="GV33" s="100" t="str">
        <f t="shared" si="84"/>
        <v/>
      </c>
      <c r="GW33" s="100" t="str">
        <f t="shared" si="85"/>
        <v/>
      </c>
      <c r="GX33">
        <v>31</v>
      </c>
      <c r="GY33" s="77" t="str">
        <f>Data!B32</f>
        <v>DULOMI ZAINAB</v>
      </c>
      <c r="GZ33" s="78"/>
      <c r="HA33" s="78"/>
      <c r="HB33" s="78"/>
      <c r="HC33" s="78"/>
      <c r="HD33" s="86">
        <f t="shared" si="86"/>
        <v>0</v>
      </c>
      <c r="HE33" s="86"/>
      <c r="HF33" s="86">
        <f t="shared" si="87"/>
        <v>0</v>
      </c>
      <c r="HG33" s="86" t="str">
        <f t="shared" si="88"/>
        <v/>
      </c>
      <c r="HH33" s="86" t="str">
        <f t="shared" si="89"/>
        <v/>
      </c>
      <c r="HI33" s="86" t="str">
        <f t="shared" si="90"/>
        <v/>
      </c>
      <c r="HJ33">
        <v>31</v>
      </c>
      <c r="HK33" s="77" t="str">
        <f>Data!B32</f>
        <v>DULOMI ZAINAB</v>
      </c>
      <c r="HL33" s="111">
        <v>5</v>
      </c>
      <c r="HM33" s="112">
        <v>9</v>
      </c>
      <c r="HN33" s="112">
        <v>10</v>
      </c>
      <c r="HO33" s="112">
        <v>10</v>
      </c>
      <c r="HP33" s="103">
        <f t="shared" si="91"/>
        <v>34</v>
      </c>
      <c r="HQ33" s="111"/>
      <c r="HR33" s="103">
        <f t="shared" si="92"/>
        <v>34</v>
      </c>
      <c r="HS33" s="103">
        <f t="shared" si="93"/>
        <v>7</v>
      </c>
      <c r="HT33" s="103" t="str">
        <f t="shared" si="94"/>
        <v>F</v>
      </c>
      <c r="HU33" s="103" t="str">
        <f t="shared" si="95"/>
        <v>Fail</v>
      </c>
      <c r="HV33">
        <v>31</v>
      </c>
      <c r="HW33" s="77" t="str">
        <f>Data!B32</f>
        <v>DULOMI ZAINAB</v>
      </c>
      <c r="HX33" s="78"/>
      <c r="HY33" s="78"/>
      <c r="HZ33" s="78"/>
      <c r="IA33" s="78"/>
      <c r="IB33" s="85">
        <f t="shared" si="96"/>
        <v>0</v>
      </c>
      <c r="IC33" s="85"/>
      <c r="ID33" s="85">
        <f t="shared" si="97"/>
        <v>0</v>
      </c>
      <c r="IE33" s="85" t="str">
        <f t="shared" si="98"/>
        <v/>
      </c>
      <c r="IF33" s="85" t="str">
        <f t="shared" si="99"/>
        <v/>
      </c>
      <c r="IG33" s="85" t="str">
        <f t="shared" si="100"/>
        <v/>
      </c>
      <c r="IH33">
        <v>31</v>
      </c>
      <c r="II33" s="77" t="str">
        <f>Data!B32</f>
        <v>DULOMI ZAINAB</v>
      </c>
      <c r="IJ33" s="78"/>
      <c r="IK33" s="78"/>
      <c r="IL33" s="78"/>
      <c r="IM33" s="78"/>
      <c r="IN33" s="104">
        <f t="shared" si="101"/>
        <v>0</v>
      </c>
      <c r="IO33" s="104"/>
      <c r="IP33" s="104">
        <f t="shared" si="102"/>
        <v>0</v>
      </c>
      <c r="IQ33" s="104" t="str">
        <f t="shared" si="103"/>
        <v/>
      </c>
      <c r="IR33" s="104" t="str">
        <f t="shared" si="104"/>
        <v/>
      </c>
      <c r="IS33" s="104" t="str">
        <f t="shared" si="105"/>
        <v/>
      </c>
      <c r="IT33">
        <v>31</v>
      </c>
      <c r="IU33" s="77" t="str">
        <f t="shared" si="106"/>
        <v>DULOMI ZAINAB</v>
      </c>
      <c r="IV33" s="105"/>
      <c r="IW33" s="105"/>
      <c r="IX33" s="105"/>
      <c r="IY33" s="105"/>
      <c r="IZ33" s="98">
        <f t="shared" si="107"/>
        <v>0</v>
      </c>
      <c r="JA33" s="105"/>
      <c r="JB33" s="98">
        <f t="shared" si="108"/>
        <v>0</v>
      </c>
      <c r="JC33" s="98" t="str">
        <f t="shared" si="109"/>
        <v/>
      </c>
      <c r="JD33" s="98" t="str">
        <f t="shared" si="110"/>
        <v/>
      </c>
      <c r="JE33" s="98" t="str">
        <f t="shared" si="111"/>
        <v/>
      </c>
      <c r="JF33">
        <v>31</v>
      </c>
      <c r="JG33" s="77" t="str">
        <f t="shared" si="112"/>
        <v>DULOMI ZAINAB</v>
      </c>
      <c r="JH33" s="114"/>
      <c r="JI33" s="114"/>
      <c r="JJ33" s="114"/>
      <c r="JK33" s="114"/>
      <c r="JL33" s="82">
        <f t="shared" si="113"/>
        <v>0</v>
      </c>
      <c r="JM33" s="114"/>
      <c r="JN33" s="82">
        <f t="shared" si="114"/>
        <v>0</v>
      </c>
      <c r="JO33" s="82" t="str">
        <f t="shared" si="115"/>
        <v/>
      </c>
      <c r="JP33" s="82" t="str">
        <f t="shared" si="116"/>
        <v/>
      </c>
      <c r="JQ33" s="82" t="str">
        <f t="shared" si="117"/>
        <v/>
      </c>
      <c r="JR33">
        <v>31</v>
      </c>
      <c r="JS33" s="77" t="str">
        <f t="shared" si="118"/>
        <v>DULOMI ZAINAB</v>
      </c>
      <c r="JT33" s="107"/>
      <c r="JU33" s="107"/>
      <c r="JV33" s="107"/>
      <c r="JW33" s="107"/>
      <c r="JX33" s="80">
        <f t="shared" si="119"/>
        <v>0</v>
      </c>
      <c r="JY33" s="108"/>
      <c r="JZ33" s="80">
        <f t="shared" si="0"/>
        <v>0</v>
      </c>
      <c r="KA33" s="80" t="str">
        <f t="shared" si="120"/>
        <v/>
      </c>
      <c r="KB33" s="80" t="str">
        <f t="shared" si="121"/>
        <v/>
      </c>
      <c r="KC33" s="80" t="str">
        <f t="shared" si="122"/>
        <v/>
      </c>
      <c r="KE33" s="16"/>
      <c r="KF33" s="16"/>
      <c r="KG33" s="16"/>
      <c r="KH33" s="16"/>
      <c r="KI33" s="16"/>
      <c r="KJ33" s="16"/>
      <c r="KK33" s="16"/>
      <c r="KL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</row>
    <row r="34" spans="1:309" ht="23.25">
      <c r="A34" s="17">
        <v>32</v>
      </c>
      <c r="B34" s="186">
        <v>32</v>
      </c>
      <c r="C34" s="77" t="str">
        <f>Data!B33</f>
        <v>GADAU FATIMA ALI</v>
      </c>
      <c r="D34" s="87">
        <v>7</v>
      </c>
      <c r="E34" s="87">
        <v>8</v>
      </c>
      <c r="F34" s="87">
        <v>10</v>
      </c>
      <c r="G34" s="87">
        <v>10</v>
      </c>
      <c r="H34" s="88">
        <f t="shared" si="1"/>
        <v>35</v>
      </c>
      <c r="I34" s="87">
        <v>21</v>
      </c>
      <c r="J34" s="88">
        <f t="shared" si="2"/>
        <v>56</v>
      </c>
      <c r="K34" s="79">
        <f t="shared" si="3"/>
        <v>26</v>
      </c>
      <c r="L34" s="79" t="str">
        <f t="shared" si="4"/>
        <v>C5</v>
      </c>
      <c r="M34" s="79" t="str">
        <f t="shared" si="5"/>
        <v>Credit</v>
      </c>
      <c r="N34" s="17">
        <v>32</v>
      </c>
      <c r="O34" s="77" t="str">
        <f>Data!B33</f>
        <v>GADAU FATIMA ALI</v>
      </c>
      <c r="P34" s="78"/>
      <c r="Q34" s="78"/>
      <c r="R34" s="78"/>
      <c r="S34" s="78"/>
      <c r="T34" s="80">
        <f t="shared" si="6"/>
        <v>0</v>
      </c>
      <c r="U34" s="80"/>
      <c r="V34" s="80">
        <f t="shared" si="7"/>
        <v>0</v>
      </c>
      <c r="W34" s="80" t="str">
        <f t="shared" si="8"/>
        <v/>
      </c>
      <c r="X34" s="80" t="str">
        <f t="shared" si="9"/>
        <v/>
      </c>
      <c r="Y34" s="80" t="str">
        <f t="shared" si="10"/>
        <v/>
      </c>
      <c r="Z34" s="11">
        <v>32</v>
      </c>
      <c r="AA34" s="77" t="str">
        <f>Data!B33</f>
        <v>GADAU FATIMA ALI</v>
      </c>
      <c r="AB34" s="87">
        <v>7</v>
      </c>
      <c r="AC34" s="87">
        <v>8</v>
      </c>
      <c r="AD34" s="87">
        <v>10</v>
      </c>
      <c r="AE34" s="87">
        <v>10</v>
      </c>
      <c r="AF34" s="88">
        <f t="shared" si="11"/>
        <v>35</v>
      </c>
      <c r="AG34" s="87">
        <v>21</v>
      </c>
      <c r="AH34" s="88">
        <f t="shared" si="12"/>
        <v>56</v>
      </c>
      <c r="AI34" s="82">
        <f t="shared" si="13"/>
        <v>26</v>
      </c>
      <c r="AJ34" s="82" t="str">
        <f t="shared" si="14"/>
        <v>C5</v>
      </c>
      <c r="AK34" s="82" t="str">
        <f t="shared" si="15"/>
        <v>Credit</v>
      </c>
      <c r="AL34" s="11">
        <v>32</v>
      </c>
      <c r="AM34" s="77" t="str">
        <f>Data!B33</f>
        <v>GADAU FATIMA ALI</v>
      </c>
      <c r="AN34" s="87">
        <v>7</v>
      </c>
      <c r="AO34" s="87">
        <v>8</v>
      </c>
      <c r="AP34" s="87">
        <v>10</v>
      </c>
      <c r="AQ34" s="87">
        <v>10</v>
      </c>
      <c r="AR34" s="88">
        <f t="shared" si="16"/>
        <v>35</v>
      </c>
      <c r="AS34" s="87">
        <v>21</v>
      </c>
      <c r="AT34" s="88">
        <f t="shared" si="17"/>
        <v>56</v>
      </c>
      <c r="AU34" s="83">
        <f t="shared" si="18"/>
        <v>26</v>
      </c>
      <c r="AV34" s="83" t="str">
        <f t="shared" si="19"/>
        <v>C5</v>
      </c>
      <c r="AW34" s="83" t="str">
        <f t="shared" si="20"/>
        <v>Credit</v>
      </c>
      <c r="AX34" s="11">
        <v>32</v>
      </c>
      <c r="AY34" s="77" t="str">
        <f>Data!B33</f>
        <v>GADAU FATIMA ALI</v>
      </c>
      <c r="AZ34" s="87">
        <v>7</v>
      </c>
      <c r="BA34" s="87">
        <v>8</v>
      </c>
      <c r="BB34" s="87">
        <v>10</v>
      </c>
      <c r="BC34" s="87">
        <v>10</v>
      </c>
      <c r="BD34" s="88">
        <f t="shared" si="21"/>
        <v>35</v>
      </c>
      <c r="BE34" s="87">
        <v>21</v>
      </c>
      <c r="BF34" s="88">
        <f t="shared" si="22"/>
        <v>56</v>
      </c>
      <c r="BG34" s="85">
        <f t="shared" si="23"/>
        <v>26</v>
      </c>
      <c r="BH34" s="85" t="str">
        <f t="shared" si="24"/>
        <v>C5</v>
      </c>
      <c r="BI34" s="85" t="str">
        <f t="shared" si="25"/>
        <v>Credit</v>
      </c>
      <c r="BJ34" s="36">
        <v>32</v>
      </c>
      <c r="BK34" s="77" t="str">
        <f>Data!B33</f>
        <v>GADAU FATIMA ALI</v>
      </c>
      <c r="BL34" s="87">
        <v>7</v>
      </c>
      <c r="BM34" s="87">
        <v>8</v>
      </c>
      <c r="BN34" s="87">
        <v>10</v>
      </c>
      <c r="BO34" s="87">
        <v>10</v>
      </c>
      <c r="BP34" s="88">
        <f t="shared" si="26"/>
        <v>35</v>
      </c>
      <c r="BQ34" s="87">
        <v>21</v>
      </c>
      <c r="BR34" s="88">
        <f t="shared" si="27"/>
        <v>56</v>
      </c>
      <c r="BS34" s="86">
        <f t="shared" si="28"/>
        <v>26</v>
      </c>
      <c r="BT34" s="86" t="str">
        <f t="shared" si="29"/>
        <v>C5</v>
      </c>
      <c r="BU34" s="86" t="str">
        <f t="shared" si="30"/>
        <v>Credit</v>
      </c>
      <c r="BV34">
        <v>32</v>
      </c>
      <c r="BW34" s="77" t="str">
        <f>Data!B33</f>
        <v>GADAU FATIMA ALI</v>
      </c>
      <c r="BX34" s="87">
        <v>7</v>
      </c>
      <c r="BY34" s="87">
        <v>8</v>
      </c>
      <c r="BZ34" s="87">
        <v>10</v>
      </c>
      <c r="CA34" s="87">
        <v>10</v>
      </c>
      <c r="CB34" s="88">
        <f t="shared" si="31"/>
        <v>35</v>
      </c>
      <c r="CC34" s="87">
        <v>21</v>
      </c>
      <c r="CD34" s="88">
        <f t="shared" si="32"/>
        <v>56</v>
      </c>
      <c r="CE34" s="88">
        <f t="shared" si="33"/>
        <v>26</v>
      </c>
      <c r="CF34" s="88" t="str">
        <f t="shared" si="34"/>
        <v>C5</v>
      </c>
      <c r="CG34" s="88" t="str">
        <f t="shared" si="35"/>
        <v>Credit</v>
      </c>
      <c r="CH34">
        <v>32</v>
      </c>
      <c r="CI34" s="77" t="str">
        <f>Data!B33</f>
        <v>GADAU FATIMA ALI</v>
      </c>
      <c r="CJ34" s="78"/>
      <c r="CK34" s="78"/>
      <c r="CL34" s="78"/>
      <c r="CM34" s="78"/>
      <c r="CN34" s="89">
        <f t="shared" si="36"/>
        <v>0</v>
      </c>
      <c r="CO34" s="89"/>
      <c r="CP34" s="89">
        <f t="shared" si="37"/>
        <v>0</v>
      </c>
      <c r="CQ34" s="89" t="str">
        <f t="shared" si="38"/>
        <v/>
      </c>
      <c r="CR34" s="89" t="str">
        <f t="shared" si="39"/>
        <v/>
      </c>
      <c r="CS34" s="89" t="str">
        <f t="shared" si="40"/>
        <v/>
      </c>
      <c r="CT34">
        <v>32</v>
      </c>
      <c r="CU34" s="77" t="str">
        <f>Data!B33</f>
        <v>GADAU FATIMA ALI</v>
      </c>
      <c r="CV34" s="12"/>
      <c r="CW34" s="12"/>
      <c r="CX34" s="12"/>
      <c r="CY34" s="12"/>
      <c r="CZ34" s="90">
        <f t="shared" si="41"/>
        <v>0</v>
      </c>
      <c r="DA34" s="12"/>
      <c r="DB34" s="90">
        <f t="shared" si="42"/>
        <v>0</v>
      </c>
      <c r="DC34" s="90" t="str">
        <f t="shared" si="43"/>
        <v/>
      </c>
      <c r="DD34" s="90" t="str">
        <f t="shared" si="44"/>
        <v/>
      </c>
      <c r="DE34" s="90" t="str">
        <f t="shared" si="45"/>
        <v/>
      </c>
      <c r="DF34">
        <v>32</v>
      </c>
      <c r="DG34" s="77" t="str">
        <f>Data!B33</f>
        <v>GADAU FATIMA ALI</v>
      </c>
      <c r="DH34" s="78">
        <v>9</v>
      </c>
      <c r="DI34" s="78">
        <v>4</v>
      </c>
      <c r="DJ34" s="78">
        <v>2</v>
      </c>
      <c r="DK34" s="78">
        <v>5</v>
      </c>
      <c r="DL34" s="85">
        <f t="shared" si="46"/>
        <v>20</v>
      </c>
      <c r="DM34" s="84">
        <v>23</v>
      </c>
      <c r="DN34" s="85">
        <f t="shared" si="47"/>
        <v>43</v>
      </c>
      <c r="DO34" s="85">
        <f t="shared" si="48"/>
        <v>4</v>
      </c>
      <c r="DP34" s="85" t="str">
        <f t="shared" si="49"/>
        <v>E8</v>
      </c>
      <c r="DQ34" s="85" t="str">
        <f t="shared" si="50"/>
        <v>Pass</v>
      </c>
      <c r="DR34">
        <v>32</v>
      </c>
      <c r="DS34" s="77" t="str">
        <f>Data!B33</f>
        <v>GADAU FATIMA ALI</v>
      </c>
      <c r="DT34" s="91"/>
      <c r="DU34" s="91"/>
      <c r="DV34" s="91"/>
      <c r="DW34" s="91"/>
      <c r="DX34" s="92">
        <f t="shared" si="51"/>
        <v>0</v>
      </c>
      <c r="DY34" s="93"/>
      <c r="DZ34" s="92">
        <f t="shared" si="52"/>
        <v>0</v>
      </c>
      <c r="EA34" s="92" t="str">
        <f t="shared" si="53"/>
        <v/>
      </c>
      <c r="EB34" s="92" t="str">
        <f t="shared" si="54"/>
        <v/>
      </c>
      <c r="EC34" s="92" t="str">
        <f t="shared" si="55"/>
        <v/>
      </c>
      <c r="ED34">
        <v>32</v>
      </c>
      <c r="EE34" s="77" t="str">
        <f>Data!B33</f>
        <v>GADAU FATIMA ALI</v>
      </c>
      <c r="EF34" s="78"/>
      <c r="EG34" s="78"/>
      <c r="EH34" s="78"/>
      <c r="EI34" s="78"/>
      <c r="EJ34" s="94">
        <f t="shared" si="56"/>
        <v>0</v>
      </c>
      <c r="EK34" s="94"/>
      <c r="EL34" s="94">
        <f t="shared" si="57"/>
        <v>0</v>
      </c>
      <c r="EM34" s="94" t="str">
        <f t="shared" si="58"/>
        <v/>
      </c>
      <c r="EN34" s="94" t="str">
        <f t="shared" si="59"/>
        <v/>
      </c>
      <c r="EO34" s="94" t="str">
        <f t="shared" si="60"/>
        <v/>
      </c>
      <c r="EP34">
        <v>32</v>
      </c>
      <c r="EQ34" s="95" t="str">
        <f>Data!B33</f>
        <v>GADAU FATIMA ALI</v>
      </c>
      <c r="ER34" s="78"/>
      <c r="ES34" s="78"/>
      <c r="ET34" s="78"/>
      <c r="EU34" s="78"/>
      <c r="EV34" s="90">
        <f t="shared" si="61"/>
        <v>0</v>
      </c>
      <c r="EW34" s="90"/>
      <c r="EX34" s="90">
        <f t="shared" si="62"/>
        <v>0</v>
      </c>
      <c r="EY34" s="90" t="str">
        <f t="shared" si="63"/>
        <v/>
      </c>
      <c r="EZ34" s="90" t="str">
        <f t="shared" si="64"/>
        <v/>
      </c>
      <c r="FA34" s="90" t="str">
        <f t="shared" si="65"/>
        <v/>
      </c>
      <c r="FB34">
        <v>32</v>
      </c>
      <c r="FC34" s="77" t="str">
        <f>Data!B33</f>
        <v>GADAU FATIMA ALI</v>
      </c>
      <c r="FD34" s="78"/>
      <c r="FE34" s="78"/>
      <c r="FF34" s="78"/>
      <c r="FG34" s="78"/>
      <c r="FH34" s="96">
        <f t="shared" si="66"/>
        <v>0</v>
      </c>
      <c r="FI34" s="96"/>
      <c r="FJ34" s="96">
        <f t="shared" si="67"/>
        <v>0</v>
      </c>
      <c r="FK34" s="96" t="str">
        <f t="shared" si="68"/>
        <v/>
      </c>
      <c r="FL34" s="96" t="str">
        <f t="shared" si="69"/>
        <v/>
      </c>
      <c r="FM34" s="96" t="str">
        <f t="shared" si="70"/>
        <v/>
      </c>
      <c r="FN34">
        <v>32</v>
      </c>
      <c r="FO34" s="77" t="str">
        <f>Data!B33</f>
        <v>GADAU FATIMA ALI</v>
      </c>
      <c r="FP34" s="78"/>
      <c r="FQ34" s="78"/>
      <c r="FR34" s="78"/>
      <c r="FS34" s="78"/>
      <c r="FT34" s="97">
        <f t="shared" si="71"/>
        <v>0</v>
      </c>
      <c r="FU34" s="97"/>
      <c r="FV34" s="97">
        <f t="shared" si="72"/>
        <v>0</v>
      </c>
      <c r="FW34" s="97" t="str">
        <f t="shared" si="73"/>
        <v/>
      </c>
      <c r="FX34" s="97" t="str">
        <f t="shared" si="74"/>
        <v/>
      </c>
      <c r="FY34" s="97" t="str">
        <f t="shared" si="75"/>
        <v/>
      </c>
      <c r="FZ34">
        <v>32</v>
      </c>
      <c r="GA34" s="77" t="str">
        <f>Data!B33</f>
        <v>GADAU FATIMA ALI</v>
      </c>
      <c r="GB34" s="78"/>
      <c r="GC34" s="78"/>
      <c r="GD34" s="78"/>
      <c r="GE34" s="78"/>
      <c r="GF34" s="98">
        <f t="shared" si="76"/>
        <v>0</v>
      </c>
      <c r="GG34" s="98"/>
      <c r="GH34" s="98">
        <f t="shared" si="77"/>
        <v>0</v>
      </c>
      <c r="GI34" s="98" t="str">
        <f t="shared" si="78"/>
        <v/>
      </c>
      <c r="GJ34" s="98" t="str">
        <f t="shared" si="79"/>
        <v/>
      </c>
      <c r="GK34" s="98" t="str">
        <f t="shared" si="80"/>
        <v/>
      </c>
      <c r="GL34">
        <v>32</v>
      </c>
      <c r="GM34" s="77" t="str">
        <f>Data!B33</f>
        <v>GADAU FATIMA ALI</v>
      </c>
      <c r="GN34" s="99"/>
      <c r="GO34" s="99"/>
      <c r="GP34" s="99"/>
      <c r="GQ34" s="99"/>
      <c r="GR34" s="100">
        <f t="shared" si="81"/>
        <v>0</v>
      </c>
      <c r="GS34" s="99"/>
      <c r="GT34" s="100">
        <f t="shared" si="82"/>
        <v>0</v>
      </c>
      <c r="GU34" s="100" t="str">
        <f t="shared" si="83"/>
        <v/>
      </c>
      <c r="GV34" s="100" t="str">
        <f t="shared" si="84"/>
        <v/>
      </c>
      <c r="GW34" s="100" t="str">
        <f t="shared" si="85"/>
        <v/>
      </c>
      <c r="GX34">
        <v>32</v>
      </c>
      <c r="GY34" s="77" t="str">
        <f>Data!B33</f>
        <v>GADAU FATIMA ALI</v>
      </c>
      <c r="GZ34" s="78"/>
      <c r="HA34" s="78"/>
      <c r="HB34" s="78"/>
      <c r="HC34" s="78"/>
      <c r="HD34" s="86">
        <f t="shared" si="86"/>
        <v>0</v>
      </c>
      <c r="HE34" s="86"/>
      <c r="HF34" s="86">
        <f t="shared" si="87"/>
        <v>0</v>
      </c>
      <c r="HG34" s="86" t="str">
        <f t="shared" si="88"/>
        <v/>
      </c>
      <c r="HH34" s="86" t="str">
        <f t="shared" si="89"/>
        <v/>
      </c>
      <c r="HI34" s="86" t="str">
        <f t="shared" si="90"/>
        <v/>
      </c>
      <c r="HJ34">
        <v>32</v>
      </c>
      <c r="HK34" s="77" t="str">
        <f>Data!B33</f>
        <v>GADAU FATIMA ALI</v>
      </c>
      <c r="HL34" s="111"/>
      <c r="HM34" s="112"/>
      <c r="HN34" s="112"/>
      <c r="HO34" s="112"/>
      <c r="HP34" s="103">
        <f t="shared" si="91"/>
        <v>0</v>
      </c>
      <c r="HQ34" s="111"/>
      <c r="HR34" s="103">
        <f t="shared" si="92"/>
        <v>0</v>
      </c>
      <c r="HS34" s="103" t="str">
        <f t="shared" si="93"/>
        <v/>
      </c>
      <c r="HT34" s="103" t="str">
        <f t="shared" si="94"/>
        <v/>
      </c>
      <c r="HU34" s="103" t="str">
        <f t="shared" si="95"/>
        <v/>
      </c>
      <c r="HV34">
        <v>32</v>
      </c>
      <c r="HW34" s="77" t="str">
        <f>Data!B33</f>
        <v>GADAU FATIMA ALI</v>
      </c>
      <c r="HX34" s="78"/>
      <c r="HY34" s="78"/>
      <c r="HZ34" s="78"/>
      <c r="IA34" s="78"/>
      <c r="IB34" s="85">
        <f t="shared" si="96"/>
        <v>0</v>
      </c>
      <c r="IC34" s="85"/>
      <c r="ID34" s="85">
        <f t="shared" si="97"/>
        <v>0</v>
      </c>
      <c r="IE34" s="85" t="str">
        <f t="shared" si="98"/>
        <v/>
      </c>
      <c r="IF34" s="85" t="str">
        <f t="shared" si="99"/>
        <v/>
      </c>
      <c r="IG34" s="85" t="str">
        <f t="shared" si="100"/>
        <v/>
      </c>
      <c r="IH34">
        <v>32</v>
      </c>
      <c r="II34" s="77" t="str">
        <f>Data!B33</f>
        <v>GADAU FATIMA ALI</v>
      </c>
      <c r="IJ34" s="78"/>
      <c r="IK34" s="78"/>
      <c r="IL34" s="78"/>
      <c r="IM34" s="78"/>
      <c r="IN34" s="104">
        <f t="shared" si="101"/>
        <v>0</v>
      </c>
      <c r="IO34" s="104"/>
      <c r="IP34" s="104">
        <f t="shared" si="102"/>
        <v>0</v>
      </c>
      <c r="IQ34" s="104" t="str">
        <f t="shared" si="103"/>
        <v/>
      </c>
      <c r="IR34" s="104" t="str">
        <f t="shared" si="104"/>
        <v/>
      </c>
      <c r="IS34" s="104" t="str">
        <f t="shared" si="105"/>
        <v/>
      </c>
      <c r="IT34">
        <v>32</v>
      </c>
      <c r="IU34" s="77" t="str">
        <f t="shared" si="106"/>
        <v>GADAU FATIMA ALI</v>
      </c>
      <c r="IV34" s="105"/>
      <c r="IW34" s="105"/>
      <c r="IX34" s="105"/>
      <c r="IY34" s="105"/>
      <c r="IZ34" s="98">
        <f t="shared" si="107"/>
        <v>0</v>
      </c>
      <c r="JA34" s="105"/>
      <c r="JB34" s="98">
        <f t="shared" si="108"/>
        <v>0</v>
      </c>
      <c r="JC34" s="98" t="str">
        <f t="shared" si="109"/>
        <v/>
      </c>
      <c r="JD34" s="98" t="str">
        <f t="shared" si="110"/>
        <v/>
      </c>
      <c r="JE34" s="98" t="str">
        <f t="shared" si="111"/>
        <v/>
      </c>
      <c r="JF34">
        <v>32</v>
      </c>
      <c r="JG34" s="77" t="str">
        <f t="shared" si="112"/>
        <v>GADAU FATIMA ALI</v>
      </c>
      <c r="JH34" s="114"/>
      <c r="JI34" s="114"/>
      <c r="JJ34" s="114"/>
      <c r="JK34" s="114"/>
      <c r="JL34" s="82">
        <f t="shared" si="113"/>
        <v>0</v>
      </c>
      <c r="JM34" s="114"/>
      <c r="JN34" s="82">
        <f t="shared" si="114"/>
        <v>0</v>
      </c>
      <c r="JO34" s="82" t="str">
        <f t="shared" si="115"/>
        <v/>
      </c>
      <c r="JP34" s="82" t="str">
        <f t="shared" si="116"/>
        <v/>
      </c>
      <c r="JQ34" s="82" t="str">
        <f t="shared" si="117"/>
        <v/>
      </c>
      <c r="JR34">
        <v>32</v>
      </c>
      <c r="JS34" s="77" t="str">
        <f t="shared" si="118"/>
        <v>GADAU FATIMA ALI</v>
      </c>
      <c r="JT34" s="107"/>
      <c r="JU34" s="107"/>
      <c r="JV34" s="107"/>
      <c r="JW34" s="107"/>
      <c r="JX34" s="80">
        <f t="shared" si="119"/>
        <v>0</v>
      </c>
      <c r="JY34" s="108"/>
      <c r="JZ34" s="80">
        <f t="shared" si="0"/>
        <v>0</v>
      </c>
      <c r="KA34" s="80" t="str">
        <f t="shared" si="120"/>
        <v/>
      </c>
      <c r="KB34" s="80" t="str">
        <f t="shared" si="121"/>
        <v/>
      </c>
      <c r="KC34" s="80" t="str">
        <f t="shared" si="122"/>
        <v/>
      </c>
      <c r="KE34" s="16"/>
      <c r="KF34" s="16"/>
      <c r="KG34" s="16"/>
      <c r="KH34" s="16"/>
      <c r="KI34" s="16"/>
      <c r="KJ34" s="16"/>
      <c r="KK34" s="16"/>
      <c r="KL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</row>
    <row r="35" spans="1:309" ht="23.25">
      <c r="A35" s="17">
        <v>33</v>
      </c>
      <c r="B35" s="186">
        <v>33</v>
      </c>
      <c r="C35" s="77" t="str">
        <f>Data!B34</f>
        <v xml:space="preserve">HUSSANI HADIZA MUSA </v>
      </c>
      <c r="D35" s="87">
        <v>6</v>
      </c>
      <c r="E35" s="87">
        <v>4</v>
      </c>
      <c r="F35" s="87">
        <v>7</v>
      </c>
      <c r="G35" s="87">
        <v>10</v>
      </c>
      <c r="H35" s="88">
        <f t="shared" si="1"/>
        <v>27</v>
      </c>
      <c r="I35" s="87">
        <v>26</v>
      </c>
      <c r="J35" s="88">
        <f t="shared" si="2"/>
        <v>53</v>
      </c>
      <c r="K35" s="79">
        <f t="shared" si="3"/>
        <v>31</v>
      </c>
      <c r="L35" s="79" t="str">
        <f t="shared" si="4"/>
        <v>C6</v>
      </c>
      <c r="M35" s="79" t="str">
        <f t="shared" si="5"/>
        <v>Credit</v>
      </c>
      <c r="N35" s="17">
        <v>33</v>
      </c>
      <c r="O35" s="77" t="str">
        <f>Data!B34</f>
        <v xml:space="preserve">HUSSANI HADIZA MUSA </v>
      </c>
      <c r="P35" s="78"/>
      <c r="Q35" s="78"/>
      <c r="R35" s="78"/>
      <c r="S35" s="78"/>
      <c r="T35" s="80">
        <f t="shared" si="6"/>
        <v>0</v>
      </c>
      <c r="U35" s="80"/>
      <c r="V35" s="80">
        <f t="shared" si="7"/>
        <v>0</v>
      </c>
      <c r="W35" s="80" t="str">
        <f t="shared" si="8"/>
        <v/>
      </c>
      <c r="X35" s="80" t="str">
        <f t="shared" si="9"/>
        <v/>
      </c>
      <c r="Y35" s="80" t="str">
        <f t="shared" si="10"/>
        <v/>
      </c>
      <c r="Z35" s="11">
        <v>33</v>
      </c>
      <c r="AA35" s="77" t="str">
        <f>Data!B34</f>
        <v xml:space="preserve">HUSSANI HADIZA MUSA </v>
      </c>
      <c r="AB35" s="87">
        <v>6</v>
      </c>
      <c r="AC35" s="87">
        <v>4</v>
      </c>
      <c r="AD35" s="87">
        <v>7</v>
      </c>
      <c r="AE35" s="87">
        <v>10</v>
      </c>
      <c r="AF35" s="88">
        <f t="shared" si="11"/>
        <v>27</v>
      </c>
      <c r="AG35" s="87">
        <v>26</v>
      </c>
      <c r="AH35" s="88">
        <f t="shared" si="12"/>
        <v>53</v>
      </c>
      <c r="AI35" s="82">
        <f t="shared" si="13"/>
        <v>31</v>
      </c>
      <c r="AJ35" s="82" t="str">
        <f t="shared" si="14"/>
        <v>C6</v>
      </c>
      <c r="AK35" s="82" t="str">
        <f t="shared" si="15"/>
        <v>Credit</v>
      </c>
      <c r="AL35" s="11">
        <v>33</v>
      </c>
      <c r="AM35" s="77" t="str">
        <f>Data!B34</f>
        <v xml:space="preserve">HUSSANI HADIZA MUSA </v>
      </c>
      <c r="AN35" s="87">
        <v>6</v>
      </c>
      <c r="AO35" s="87">
        <v>4</v>
      </c>
      <c r="AP35" s="87">
        <v>7</v>
      </c>
      <c r="AQ35" s="87">
        <v>10</v>
      </c>
      <c r="AR35" s="88">
        <f t="shared" si="16"/>
        <v>27</v>
      </c>
      <c r="AS35" s="87">
        <v>26</v>
      </c>
      <c r="AT35" s="88">
        <f t="shared" si="17"/>
        <v>53</v>
      </c>
      <c r="AU35" s="83">
        <f t="shared" si="18"/>
        <v>31</v>
      </c>
      <c r="AV35" s="83" t="str">
        <f t="shared" si="19"/>
        <v>C6</v>
      </c>
      <c r="AW35" s="83" t="str">
        <f t="shared" si="20"/>
        <v>Credit</v>
      </c>
      <c r="AX35" s="11">
        <v>33</v>
      </c>
      <c r="AY35" s="77" t="str">
        <f>Data!B34</f>
        <v xml:space="preserve">HUSSANI HADIZA MUSA </v>
      </c>
      <c r="AZ35" s="87">
        <v>6</v>
      </c>
      <c r="BA35" s="87">
        <v>4</v>
      </c>
      <c r="BB35" s="87">
        <v>7</v>
      </c>
      <c r="BC35" s="87">
        <v>10</v>
      </c>
      <c r="BD35" s="88">
        <f t="shared" si="21"/>
        <v>27</v>
      </c>
      <c r="BE35" s="87">
        <v>26</v>
      </c>
      <c r="BF35" s="88">
        <f t="shared" si="22"/>
        <v>53</v>
      </c>
      <c r="BG35" s="85">
        <f t="shared" si="23"/>
        <v>31</v>
      </c>
      <c r="BH35" s="85" t="str">
        <f t="shared" si="24"/>
        <v>C6</v>
      </c>
      <c r="BI35" s="85" t="str">
        <f t="shared" si="25"/>
        <v>Credit</v>
      </c>
      <c r="BJ35" s="36">
        <v>33</v>
      </c>
      <c r="BK35" s="77" t="str">
        <f>Data!B34</f>
        <v xml:space="preserve">HUSSANI HADIZA MUSA </v>
      </c>
      <c r="BL35" s="87">
        <v>6</v>
      </c>
      <c r="BM35" s="87">
        <v>4</v>
      </c>
      <c r="BN35" s="87">
        <v>7</v>
      </c>
      <c r="BO35" s="87">
        <v>10</v>
      </c>
      <c r="BP35" s="88">
        <f t="shared" si="26"/>
        <v>27</v>
      </c>
      <c r="BQ35" s="87">
        <v>26</v>
      </c>
      <c r="BR35" s="88">
        <f t="shared" si="27"/>
        <v>53</v>
      </c>
      <c r="BS35" s="86">
        <f t="shared" si="28"/>
        <v>31</v>
      </c>
      <c r="BT35" s="86" t="str">
        <f t="shared" si="29"/>
        <v>C6</v>
      </c>
      <c r="BU35" s="86" t="str">
        <f t="shared" si="30"/>
        <v>Credit</v>
      </c>
      <c r="BV35">
        <v>33</v>
      </c>
      <c r="BW35" s="77" t="str">
        <f>Data!B34</f>
        <v xml:space="preserve">HUSSANI HADIZA MUSA </v>
      </c>
      <c r="BX35" s="87">
        <v>6</v>
      </c>
      <c r="BY35" s="87">
        <v>4</v>
      </c>
      <c r="BZ35" s="87">
        <v>7</v>
      </c>
      <c r="CA35" s="87">
        <v>10</v>
      </c>
      <c r="CB35" s="88">
        <f t="shared" si="31"/>
        <v>27</v>
      </c>
      <c r="CC35" s="87">
        <v>26</v>
      </c>
      <c r="CD35" s="88">
        <f t="shared" si="32"/>
        <v>53</v>
      </c>
      <c r="CE35" s="88">
        <f t="shared" si="33"/>
        <v>31</v>
      </c>
      <c r="CF35" s="88" t="str">
        <f t="shared" si="34"/>
        <v>C6</v>
      </c>
      <c r="CG35" s="88" t="str">
        <f t="shared" si="35"/>
        <v>Credit</v>
      </c>
      <c r="CH35">
        <v>33</v>
      </c>
      <c r="CI35" s="77" t="str">
        <f>Data!B34</f>
        <v xml:space="preserve">HUSSANI HADIZA MUSA </v>
      </c>
      <c r="CJ35" s="78"/>
      <c r="CK35" s="78"/>
      <c r="CL35" s="78"/>
      <c r="CM35" s="78"/>
      <c r="CN35" s="89">
        <f t="shared" si="36"/>
        <v>0</v>
      </c>
      <c r="CO35" s="89"/>
      <c r="CP35" s="89">
        <f t="shared" si="37"/>
        <v>0</v>
      </c>
      <c r="CQ35" s="89" t="str">
        <f t="shared" si="38"/>
        <v/>
      </c>
      <c r="CR35" s="89" t="str">
        <f t="shared" si="39"/>
        <v/>
      </c>
      <c r="CS35" s="89" t="str">
        <f t="shared" si="40"/>
        <v/>
      </c>
      <c r="CT35">
        <v>33</v>
      </c>
      <c r="CU35" s="77" t="str">
        <f>Data!B34</f>
        <v xml:space="preserve">HUSSANI HADIZA MUSA </v>
      </c>
      <c r="CV35" s="12"/>
      <c r="CW35" s="12"/>
      <c r="CX35" s="12"/>
      <c r="CY35" s="12"/>
      <c r="CZ35" s="90">
        <f t="shared" si="41"/>
        <v>0</v>
      </c>
      <c r="DA35" s="12"/>
      <c r="DB35" s="90">
        <f t="shared" si="42"/>
        <v>0</v>
      </c>
      <c r="DC35" s="90" t="str">
        <f t="shared" si="43"/>
        <v/>
      </c>
      <c r="DD35" s="90" t="str">
        <f t="shared" si="44"/>
        <v/>
      </c>
      <c r="DE35" s="90" t="str">
        <f t="shared" si="45"/>
        <v/>
      </c>
      <c r="DF35">
        <v>33</v>
      </c>
      <c r="DG35" s="77" t="str">
        <f>Data!B34</f>
        <v xml:space="preserve">HUSSANI HADIZA MUSA </v>
      </c>
      <c r="DH35" s="78">
        <v>5</v>
      </c>
      <c r="DI35" s="78"/>
      <c r="DJ35" s="78"/>
      <c r="DK35" s="78"/>
      <c r="DL35" s="85">
        <f t="shared" si="46"/>
        <v>5</v>
      </c>
      <c r="DM35" s="84"/>
      <c r="DN35" s="85">
        <f t="shared" si="47"/>
        <v>5</v>
      </c>
      <c r="DO35" s="85" t="str">
        <f t="shared" si="48"/>
        <v/>
      </c>
      <c r="DP35" s="85" t="b">
        <f t="shared" si="49"/>
        <v>0</v>
      </c>
      <c r="DQ35" s="85" t="b">
        <f t="shared" si="50"/>
        <v>0</v>
      </c>
      <c r="DR35">
        <v>33</v>
      </c>
      <c r="DS35" s="77" t="str">
        <f>Data!B34</f>
        <v xml:space="preserve">HUSSANI HADIZA MUSA </v>
      </c>
      <c r="DT35" s="91"/>
      <c r="DU35" s="91"/>
      <c r="DV35" s="91"/>
      <c r="DW35" s="91"/>
      <c r="DX35" s="92">
        <f t="shared" si="51"/>
        <v>0</v>
      </c>
      <c r="DY35" s="93"/>
      <c r="DZ35" s="92">
        <f t="shared" si="52"/>
        <v>0</v>
      </c>
      <c r="EA35" s="92" t="str">
        <f t="shared" si="53"/>
        <v/>
      </c>
      <c r="EB35" s="92" t="str">
        <f t="shared" si="54"/>
        <v/>
      </c>
      <c r="EC35" s="92" t="str">
        <f t="shared" si="55"/>
        <v/>
      </c>
      <c r="ED35">
        <v>33</v>
      </c>
      <c r="EE35" s="77" t="str">
        <f>Data!B34</f>
        <v xml:space="preserve">HUSSANI HADIZA MUSA </v>
      </c>
      <c r="EF35" s="78"/>
      <c r="EG35" s="78"/>
      <c r="EH35" s="78"/>
      <c r="EI35" s="78"/>
      <c r="EJ35" s="94">
        <f t="shared" si="56"/>
        <v>0</v>
      </c>
      <c r="EK35" s="94"/>
      <c r="EL35" s="94">
        <f t="shared" si="57"/>
        <v>0</v>
      </c>
      <c r="EM35" s="94" t="str">
        <f t="shared" si="58"/>
        <v/>
      </c>
      <c r="EN35" s="94" t="str">
        <f t="shared" si="59"/>
        <v/>
      </c>
      <c r="EO35" s="94" t="str">
        <f t="shared" si="60"/>
        <v/>
      </c>
      <c r="EP35">
        <v>33</v>
      </c>
      <c r="EQ35" s="95" t="str">
        <f>Data!B34</f>
        <v xml:space="preserve">HUSSANI HADIZA MUSA </v>
      </c>
      <c r="ER35" s="78"/>
      <c r="ES35" s="78"/>
      <c r="ET35" s="78"/>
      <c r="EU35" s="78"/>
      <c r="EV35" s="90">
        <f t="shared" si="61"/>
        <v>0</v>
      </c>
      <c r="EW35" s="90"/>
      <c r="EX35" s="90">
        <f t="shared" si="62"/>
        <v>0</v>
      </c>
      <c r="EY35" s="90" t="str">
        <f t="shared" si="63"/>
        <v/>
      </c>
      <c r="EZ35" s="90" t="str">
        <f t="shared" si="64"/>
        <v/>
      </c>
      <c r="FA35" s="90" t="str">
        <f t="shared" si="65"/>
        <v/>
      </c>
      <c r="FB35">
        <v>33</v>
      </c>
      <c r="FC35" s="77" t="str">
        <f>Data!B34</f>
        <v xml:space="preserve">HUSSANI HADIZA MUSA </v>
      </c>
      <c r="FD35" s="78"/>
      <c r="FE35" s="78"/>
      <c r="FF35" s="78"/>
      <c r="FG35" s="78"/>
      <c r="FH35" s="96">
        <f t="shared" si="66"/>
        <v>0</v>
      </c>
      <c r="FI35" s="96"/>
      <c r="FJ35" s="96">
        <f t="shared" si="67"/>
        <v>0</v>
      </c>
      <c r="FK35" s="96" t="str">
        <f t="shared" si="68"/>
        <v/>
      </c>
      <c r="FL35" s="96" t="str">
        <f t="shared" si="69"/>
        <v/>
      </c>
      <c r="FM35" s="96" t="str">
        <f t="shared" si="70"/>
        <v/>
      </c>
      <c r="FN35">
        <v>33</v>
      </c>
      <c r="FO35" s="77" t="str">
        <f>Data!B34</f>
        <v xml:space="preserve">HUSSANI HADIZA MUSA </v>
      </c>
      <c r="FP35" s="78"/>
      <c r="FQ35" s="78"/>
      <c r="FR35" s="78"/>
      <c r="FS35" s="78"/>
      <c r="FT35" s="97">
        <f t="shared" si="71"/>
        <v>0</v>
      </c>
      <c r="FU35" s="97"/>
      <c r="FV35" s="97">
        <f t="shared" si="72"/>
        <v>0</v>
      </c>
      <c r="FW35" s="97" t="str">
        <f t="shared" si="73"/>
        <v/>
      </c>
      <c r="FX35" s="97" t="str">
        <f t="shared" si="74"/>
        <v/>
      </c>
      <c r="FY35" s="97" t="str">
        <f t="shared" si="75"/>
        <v/>
      </c>
      <c r="FZ35">
        <v>33</v>
      </c>
      <c r="GA35" s="77" t="str">
        <f>Data!B34</f>
        <v xml:space="preserve">HUSSANI HADIZA MUSA </v>
      </c>
      <c r="GB35" s="78"/>
      <c r="GC35" s="78"/>
      <c r="GD35" s="78"/>
      <c r="GE35" s="78"/>
      <c r="GF35" s="98">
        <f t="shared" si="76"/>
        <v>0</v>
      </c>
      <c r="GG35" s="98"/>
      <c r="GH35" s="98">
        <f t="shared" si="77"/>
        <v>0</v>
      </c>
      <c r="GI35" s="98" t="str">
        <f t="shared" si="78"/>
        <v/>
      </c>
      <c r="GJ35" s="98" t="str">
        <f t="shared" si="79"/>
        <v/>
      </c>
      <c r="GK35" s="98" t="str">
        <f t="shared" si="80"/>
        <v/>
      </c>
      <c r="GL35">
        <v>33</v>
      </c>
      <c r="GM35" s="77" t="str">
        <f>Data!B34</f>
        <v xml:space="preserve">HUSSANI HADIZA MUSA </v>
      </c>
      <c r="GN35" s="99"/>
      <c r="GO35" s="99"/>
      <c r="GP35" s="99"/>
      <c r="GQ35" s="99"/>
      <c r="GR35" s="100">
        <f t="shared" si="81"/>
        <v>0</v>
      </c>
      <c r="GS35" s="99"/>
      <c r="GT35" s="100">
        <f t="shared" si="82"/>
        <v>0</v>
      </c>
      <c r="GU35" s="100" t="str">
        <f t="shared" si="83"/>
        <v/>
      </c>
      <c r="GV35" s="100" t="str">
        <f t="shared" si="84"/>
        <v/>
      </c>
      <c r="GW35" s="100" t="str">
        <f t="shared" si="85"/>
        <v/>
      </c>
      <c r="GX35">
        <v>33</v>
      </c>
      <c r="GY35" s="77" t="str">
        <f>Data!B34</f>
        <v xml:space="preserve">HUSSANI HADIZA MUSA </v>
      </c>
      <c r="GZ35" s="78"/>
      <c r="HA35" s="78"/>
      <c r="HB35" s="78"/>
      <c r="HC35" s="78"/>
      <c r="HD35" s="86">
        <f t="shared" si="86"/>
        <v>0</v>
      </c>
      <c r="HE35" s="86"/>
      <c r="HF35" s="86">
        <f t="shared" si="87"/>
        <v>0</v>
      </c>
      <c r="HG35" s="86" t="str">
        <f t="shared" si="88"/>
        <v/>
      </c>
      <c r="HH35" s="86" t="str">
        <f t="shared" si="89"/>
        <v/>
      </c>
      <c r="HI35" s="86" t="str">
        <f t="shared" si="90"/>
        <v/>
      </c>
      <c r="HJ35">
        <v>33</v>
      </c>
      <c r="HK35" s="77" t="str">
        <f>Data!B34</f>
        <v xml:space="preserve">HUSSANI HADIZA MUSA </v>
      </c>
      <c r="HL35" s="111"/>
      <c r="HM35" s="112"/>
      <c r="HN35" s="112"/>
      <c r="HO35" s="112"/>
      <c r="HP35" s="103">
        <f t="shared" si="91"/>
        <v>0</v>
      </c>
      <c r="HQ35" s="111"/>
      <c r="HR35" s="103">
        <f t="shared" si="92"/>
        <v>0</v>
      </c>
      <c r="HS35" s="103" t="str">
        <f t="shared" si="93"/>
        <v/>
      </c>
      <c r="HT35" s="103" t="str">
        <f t="shared" si="94"/>
        <v/>
      </c>
      <c r="HU35" s="103" t="str">
        <f t="shared" si="95"/>
        <v/>
      </c>
      <c r="HV35">
        <v>33</v>
      </c>
      <c r="HW35" s="77" t="str">
        <f>Data!B34</f>
        <v xml:space="preserve">HUSSANI HADIZA MUSA </v>
      </c>
      <c r="HX35" s="78"/>
      <c r="HY35" s="78"/>
      <c r="HZ35" s="78"/>
      <c r="IA35" s="78"/>
      <c r="IB35" s="85">
        <f t="shared" si="96"/>
        <v>0</v>
      </c>
      <c r="IC35" s="85"/>
      <c r="ID35" s="85">
        <f t="shared" si="97"/>
        <v>0</v>
      </c>
      <c r="IE35" s="85" t="str">
        <f t="shared" si="98"/>
        <v/>
      </c>
      <c r="IF35" s="85" t="str">
        <f t="shared" si="99"/>
        <v/>
      </c>
      <c r="IG35" s="85" t="str">
        <f t="shared" si="100"/>
        <v/>
      </c>
      <c r="IH35">
        <v>33</v>
      </c>
      <c r="II35" s="77" t="str">
        <f>Data!B34</f>
        <v xml:space="preserve">HUSSANI HADIZA MUSA </v>
      </c>
      <c r="IJ35" s="78"/>
      <c r="IK35" s="78"/>
      <c r="IL35" s="78"/>
      <c r="IM35" s="78"/>
      <c r="IN35" s="104">
        <f t="shared" si="101"/>
        <v>0</v>
      </c>
      <c r="IO35" s="104"/>
      <c r="IP35" s="104">
        <f t="shared" si="102"/>
        <v>0</v>
      </c>
      <c r="IQ35" s="104" t="str">
        <f t="shared" si="103"/>
        <v/>
      </c>
      <c r="IR35" s="104" t="str">
        <f t="shared" si="104"/>
        <v/>
      </c>
      <c r="IS35" s="104" t="str">
        <f t="shared" si="105"/>
        <v/>
      </c>
      <c r="IT35">
        <v>33</v>
      </c>
      <c r="IU35" s="77" t="str">
        <f t="shared" si="106"/>
        <v xml:space="preserve">HUSSANI HADIZA MUSA </v>
      </c>
      <c r="IV35" s="105"/>
      <c r="IW35" s="105"/>
      <c r="IX35" s="105"/>
      <c r="IY35" s="105"/>
      <c r="IZ35" s="98">
        <f t="shared" si="107"/>
        <v>0</v>
      </c>
      <c r="JA35" s="105"/>
      <c r="JB35" s="98">
        <f t="shared" si="108"/>
        <v>0</v>
      </c>
      <c r="JC35" s="98" t="str">
        <f t="shared" si="109"/>
        <v/>
      </c>
      <c r="JD35" s="98" t="str">
        <f t="shared" si="110"/>
        <v/>
      </c>
      <c r="JE35" s="98" t="str">
        <f t="shared" si="111"/>
        <v/>
      </c>
      <c r="JF35">
        <v>33</v>
      </c>
      <c r="JG35" s="77" t="str">
        <f t="shared" si="112"/>
        <v xml:space="preserve">HUSSANI HADIZA MUSA </v>
      </c>
      <c r="JH35" s="114"/>
      <c r="JI35" s="114"/>
      <c r="JJ35" s="114"/>
      <c r="JK35" s="114"/>
      <c r="JL35" s="82">
        <f t="shared" si="113"/>
        <v>0</v>
      </c>
      <c r="JM35" s="114"/>
      <c r="JN35" s="82">
        <f t="shared" si="114"/>
        <v>0</v>
      </c>
      <c r="JO35" s="82" t="str">
        <f t="shared" si="115"/>
        <v/>
      </c>
      <c r="JP35" s="82" t="str">
        <f t="shared" si="116"/>
        <v/>
      </c>
      <c r="JQ35" s="82" t="str">
        <f t="shared" si="117"/>
        <v/>
      </c>
      <c r="JR35">
        <v>33</v>
      </c>
      <c r="JS35" s="77" t="str">
        <f t="shared" si="118"/>
        <v xml:space="preserve">HUSSANI HADIZA MUSA </v>
      </c>
      <c r="JT35" s="107"/>
      <c r="JU35" s="107"/>
      <c r="JV35" s="107"/>
      <c r="JW35" s="107"/>
      <c r="JX35" s="80">
        <f t="shared" si="119"/>
        <v>0</v>
      </c>
      <c r="JY35" s="108"/>
      <c r="JZ35" s="80">
        <f t="shared" si="0"/>
        <v>0</v>
      </c>
      <c r="KA35" s="80" t="str">
        <f t="shared" si="120"/>
        <v/>
      </c>
      <c r="KB35" s="80" t="str">
        <f t="shared" si="121"/>
        <v/>
      </c>
      <c r="KC35" s="80" t="str">
        <f t="shared" si="122"/>
        <v/>
      </c>
      <c r="KE35" s="16"/>
      <c r="KF35" s="16"/>
      <c r="KG35" s="16"/>
      <c r="KH35" s="16"/>
      <c r="KI35" s="16"/>
      <c r="KJ35" s="16"/>
      <c r="KK35" s="16"/>
      <c r="KL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</row>
    <row r="36" spans="1:309" ht="23.25">
      <c r="A36" s="17">
        <v>34</v>
      </c>
      <c r="B36" s="186">
        <v>34</v>
      </c>
      <c r="C36" s="77" t="str">
        <f>Data!B35</f>
        <v>HUSSANI ZAINAB A</v>
      </c>
      <c r="D36" s="87">
        <v>8</v>
      </c>
      <c r="E36" s="87">
        <v>6</v>
      </c>
      <c r="F36" s="87">
        <v>9</v>
      </c>
      <c r="G36" s="87">
        <v>10</v>
      </c>
      <c r="H36" s="88">
        <f t="shared" si="1"/>
        <v>33</v>
      </c>
      <c r="I36" s="87">
        <v>41</v>
      </c>
      <c r="J36" s="88">
        <f t="shared" si="2"/>
        <v>74</v>
      </c>
      <c r="K36" s="79">
        <f t="shared" si="3"/>
        <v>7</v>
      </c>
      <c r="L36" s="79" t="str">
        <f t="shared" si="4"/>
        <v>B2</v>
      </c>
      <c r="M36" s="79" t="str">
        <f t="shared" si="5"/>
        <v>V.Good</v>
      </c>
      <c r="N36" s="17">
        <v>34</v>
      </c>
      <c r="O36" s="77" t="str">
        <f>Data!B35</f>
        <v>HUSSANI ZAINAB A</v>
      </c>
      <c r="P36" s="78"/>
      <c r="Q36" s="78"/>
      <c r="R36" s="78"/>
      <c r="S36" s="78"/>
      <c r="T36" s="80">
        <f t="shared" si="6"/>
        <v>0</v>
      </c>
      <c r="U36" s="80"/>
      <c r="V36" s="80">
        <f t="shared" si="7"/>
        <v>0</v>
      </c>
      <c r="W36" s="80" t="str">
        <f t="shared" si="8"/>
        <v/>
      </c>
      <c r="X36" s="80" t="str">
        <f t="shared" si="9"/>
        <v/>
      </c>
      <c r="Y36" s="80" t="str">
        <f t="shared" si="10"/>
        <v/>
      </c>
      <c r="Z36" s="11">
        <v>34</v>
      </c>
      <c r="AA36" s="77" t="str">
        <f>Data!B35</f>
        <v>HUSSANI ZAINAB A</v>
      </c>
      <c r="AB36" s="87">
        <v>8</v>
      </c>
      <c r="AC36" s="87">
        <v>6</v>
      </c>
      <c r="AD36" s="87">
        <v>9</v>
      </c>
      <c r="AE36" s="87">
        <v>10</v>
      </c>
      <c r="AF36" s="88">
        <f t="shared" si="11"/>
        <v>33</v>
      </c>
      <c r="AG36" s="87">
        <v>41</v>
      </c>
      <c r="AH36" s="88">
        <f t="shared" si="12"/>
        <v>74</v>
      </c>
      <c r="AI36" s="82">
        <f t="shared" si="13"/>
        <v>7</v>
      </c>
      <c r="AJ36" s="82" t="str">
        <f t="shared" si="14"/>
        <v>B2</v>
      </c>
      <c r="AK36" s="82" t="str">
        <f t="shared" si="15"/>
        <v>V.Good</v>
      </c>
      <c r="AL36" s="11">
        <v>34</v>
      </c>
      <c r="AM36" s="77" t="str">
        <f>Data!B35</f>
        <v>HUSSANI ZAINAB A</v>
      </c>
      <c r="AN36" s="87">
        <v>8</v>
      </c>
      <c r="AO36" s="87">
        <v>6</v>
      </c>
      <c r="AP36" s="87">
        <v>9</v>
      </c>
      <c r="AQ36" s="87">
        <v>10</v>
      </c>
      <c r="AR36" s="88">
        <f t="shared" si="16"/>
        <v>33</v>
      </c>
      <c r="AS36" s="87">
        <v>41</v>
      </c>
      <c r="AT36" s="88">
        <f t="shared" si="17"/>
        <v>74</v>
      </c>
      <c r="AU36" s="83">
        <f t="shared" si="18"/>
        <v>7</v>
      </c>
      <c r="AV36" s="83" t="str">
        <f t="shared" si="19"/>
        <v>B2</v>
      </c>
      <c r="AW36" s="83" t="str">
        <f t="shared" si="20"/>
        <v>V.Good</v>
      </c>
      <c r="AX36" s="11">
        <v>34</v>
      </c>
      <c r="AY36" s="77" t="str">
        <f>Data!B35</f>
        <v>HUSSANI ZAINAB A</v>
      </c>
      <c r="AZ36" s="87">
        <v>8</v>
      </c>
      <c r="BA36" s="87">
        <v>6</v>
      </c>
      <c r="BB36" s="87">
        <v>9</v>
      </c>
      <c r="BC36" s="87">
        <v>10</v>
      </c>
      <c r="BD36" s="88">
        <f t="shared" si="21"/>
        <v>33</v>
      </c>
      <c r="BE36" s="87">
        <v>41</v>
      </c>
      <c r="BF36" s="88">
        <f t="shared" si="22"/>
        <v>74</v>
      </c>
      <c r="BG36" s="85">
        <f t="shared" si="23"/>
        <v>7</v>
      </c>
      <c r="BH36" s="85" t="str">
        <f t="shared" si="24"/>
        <v>B2</v>
      </c>
      <c r="BI36" s="85" t="str">
        <f t="shared" si="25"/>
        <v>V.Good</v>
      </c>
      <c r="BJ36" s="36">
        <v>34</v>
      </c>
      <c r="BK36" s="77" t="str">
        <f>Data!B35</f>
        <v>HUSSANI ZAINAB A</v>
      </c>
      <c r="BL36" s="87">
        <v>8</v>
      </c>
      <c r="BM36" s="87">
        <v>6</v>
      </c>
      <c r="BN36" s="87">
        <v>9</v>
      </c>
      <c r="BO36" s="87">
        <v>10</v>
      </c>
      <c r="BP36" s="88">
        <f t="shared" si="26"/>
        <v>33</v>
      </c>
      <c r="BQ36" s="87">
        <v>41</v>
      </c>
      <c r="BR36" s="88">
        <f t="shared" si="27"/>
        <v>74</v>
      </c>
      <c r="BS36" s="86">
        <f t="shared" si="28"/>
        <v>7</v>
      </c>
      <c r="BT36" s="86" t="str">
        <f t="shared" si="29"/>
        <v>B2</v>
      </c>
      <c r="BU36" s="86" t="str">
        <f t="shared" si="30"/>
        <v>V.Good</v>
      </c>
      <c r="BV36">
        <v>34</v>
      </c>
      <c r="BW36" s="77" t="str">
        <f>Data!B35</f>
        <v>HUSSANI ZAINAB A</v>
      </c>
      <c r="BX36" s="87">
        <v>8</v>
      </c>
      <c r="BY36" s="87">
        <v>6</v>
      </c>
      <c r="BZ36" s="87">
        <v>9</v>
      </c>
      <c r="CA36" s="87">
        <v>10</v>
      </c>
      <c r="CB36" s="88">
        <f t="shared" si="31"/>
        <v>33</v>
      </c>
      <c r="CC36" s="87">
        <v>41</v>
      </c>
      <c r="CD36" s="88">
        <f t="shared" si="32"/>
        <v>74</v>
      </c>
      <c r="CE36" s="88">
        <f t="shared" si="33"/>
        <v>7</v>
      </c>
      <c r="CF36" s="88" t="str">
        <f t="shared" si="34"/>
        <v>B2</v>
      </c>
      <c r="CG36" s="88" t="str">
        <f t="shared" si="35"/>
        <v>V.Good</v>
      </c>
      <c r="CH36">
        <v>34</v>
      </c>
      <c r="CI36" s="77" t="str">
        <f>Data!B35</f>
        <v>HUSSANI ZAINAB A</v>
      </c>
      <c r="CJ36" s="78"/>
      <c r="CK36" s="78"/>
      <c r="CL36" s="78"/>
      <c r="CM36" s="78"/>
      <c r="CN36" s="89">
        <f t="shared" si="36"/>
        <v>0</v>
      </c>
      <c r="CO36" s="89"/>
      <c r="CP36" s="89">
        <f t="shared" si="37"/>
        <v>0</v>
      </c>
      <c r="CQ36" s="89" t="str">
        <f t="shared" si="38"/>
        <v/>
      </c>
      <c r="CR36" s="89" t="str">
        <f t="shared" si="39"/>
        <v/>
      </c>
      <c r="CS36" s="89" t="str">
        <f t="shared" si="40"/>
        <v/>
      </c>
      <c r="CT36">
        <v>34</v>
      </c>
      <c r="CU36" s="77" t="str">
        <f>Data!B35</f>
        <v>HUSSANI ZAINAB A</v>
      </c>
      <c r="CV36" s="12"/>
      <c r="CW36" s="12"/>
      <c r="CX36" s="12"/>
      <c r="CY36" s="12"/>
      <c r="CZ36" s="90">
        <f t="shared" si="41"/>
        <v>0</v>
      </c>
      <c r="DA36" s="12"/>
      <c r="DB36" s="90">
        <f t="shared" si="42"/>
        <v>0</v>
      </c>
      <c r="DC36" s="90" t="str">
        <f t="shared" si="43"/>
        <v/>
      </c>
      <c r="DD36" s="90" t="str">
        <f t="shared" si="44"/>
        <v/>
      </c>
      <c r="DE36" s="90" t="str">
        <f t="shared" si="45"/>
        <v/>
      </c>
      <c r="DF36">
        <v>34</v>
      </c>
      <c r="DG36" s="77" t="str">
        <f>Data!B35</f>
        <v>HUSSANI ZAINAB A</v>
      </c>
      <c r="DH36" s="78"/>
      <c r="DI36" s="78"/>
      <c r="DJ36" s="78"/>
      <c r="DK36" s="78"/>
      <c r="DL36" s="85">
        <f t="shared" si="46"/>
        <v>0</v>
      </c>
      <c r="DM36" s="84"/>
      <c r="DN36" s="85">
        <f t="shared" si="47"/>
        <v>0</v>
      </c>
      <c r="DO36" s="85" t="str">
        <f t="shared" si="48"/>
        <v/>
      </c>
      <c r="DP36" s="85" t="str">
        <f t="shared" si="49"/>
        <v/>
      </c>
      <c r="DQ36" s="85" t="str">
        <f t="shared" si="50"/>
        <v/>
      </c>
      <c r="DR36">
        <v>34</v>
      </c>
      <c r="DS36" s="77" t="str">
        <f>Data!B35</f>
        <v>HUSSANI ZAINAB A</v>
      </c>
      <c r="DT36" s="91"/>
      <c r="DU36" s="91"/>
      <c r="DV36" s="91"/>
      <c r="DW36" s="91"/>
      <c r="DX36" s="92">
        <f t="shared" si="51"/>
        <v>0</v>
      </c>
      <c r="DY36" s="93"/>
      <c r="DZ36" s="92">
        <f t="shared" si="52"/>
        <v>0</v>
      </c>
      <c r="EA36" s="92" t="str">
        <f t="shared" si="53"/>
        <v/>
      </c>
      <c r="EB36" s="92" t="str">
        <f t="shared" si="54"/>
        <v/>
      </c>
      <c r="EC36" s="92" t="str">
        <f t="shared" si="55"/>
        <v/>
      </c>
      <c r="ED36">
        <v>34</v>
      </c>
      <c r="EE36" s="77" t="str">
        <f>Data!B35</f>
        <v>HUSSANI ZAINAB A</v>
      </c>
      <c r="EF36" s="78"/>
      <c r="EG36" s="78"/>
      <c r="EH36" s="78"/>
      <c r="EI36" s="78"/>
      <c r="EJ36" s="94">
        <f t="shared" si="56"/>
        <v>0</v>
      </c>
      <c r="EK36" s="94"/>
      <c r="EL36" s="94">
        <f t="shared" si="57"/>
        <v>0</v>
      </c>
      <c r="EM36" s="94" t="str">
        <f t="shared" si="58"/>
        <v/>
      </c>
      <c r="EN36" s="94" t="str">
        <f t="shared" si="59"/>
        <v/>
      </c>
      <c r="EO36" s="94" t="str">
        <f t="shared" si="60"/>
        <v/>
      </c>
      <c r="EP36">
        <v>34</v>
      </c>
      <c r="EQ36" s="95" t="str">
        <f>Data!B35</f>
        <v>HUSSANI ZAINAB A</v>
      </c>
      <c r="ER36" s="78"/>
      <c r="ES36" s="78"/>
      <c r="ET36" s="78"/>
      <c r="EU36" s="78"/>
      <c r="EV36" s="90">
        <f t="shared" si="61"/>
        <v>0</v>
      </c>
      <c r="EW36" s="90"/>
      <c r="EX36" s="90">
        <f t="shared" si="62"/>
        <v>0</v>
      </c>
      <c r="EY36" s="90" t="str">
        <f t="shared" si="63"/>
        <v/>
      </c>
      <c r="EZ36" s="90" t="str">
        <f t="shared" si="64"/>
        <v/>
      </c>
      <c r="FA36" s="90" t="str">
        <f t="shared" si="65"/>
        <v/>
      </c>
      <c r="FB36">
        <v>34</v>
      </c>
      <c r="FC36" s="77" t="str">
        <f>Data!B35</f>
        <v>HUSSANI ZAINAB A</v>
      </c>
      <c r="FD36" s="78"/>
      <c r="FE36" s="78"/>
      <c r="FF36" s="78"/>
      <c r="FG36" s="78"/>
      <c r="FH36" s="96">
        <f t="shared" si="66"/>
        <v>0</v>
      </c>
      <c r="FI36" s="96"/>
      <c r="FJ36" s="96">
        <f t="shared" si="67"/>
        <v>0</v>
      </c>
      <c r="FK36" s="96" t="str">
        <f t="shared" si="68"/>
        <v/>
      </c>
      <c r="FL36" s="96" t="str">
        <f t="shared" si="69"/>
        <v/>
      </c>
      <c r="FM36" s="96" t="str">
        <f t="shared" si="70"/>
        <v/>
      </c>
      <c r="FN36">
        <v>34</v>
      </c>
      <c r="FO36" s="77" t="str">
        <f>Data!B35</f>
        <v>HUSSANI ZAINAB A</v>
      </c>
      <c r="FP36" s="78"/>
      <c r="FQ36" s="78"/>
      <c r="FR36" s="78"/>
      <c r="FS36" s="78"/>
      <c r="FT36" s="97">
        <f t="shared" si="71"/>
        <v>0</v>
      </c>
      <c r="FU36" s="97"/>
      <c r="FV36" s="97">
        <f t="shared" si="72"/>
        <v>0</v>
      </c>
      <c r="FW36" s="97" t="str">
        <f t="shared" si="73"/>
        <v/>
      </c>
      <c r="FX36" s="97" t="str">
        <f t="shared" si="74"/>
        <v/>
      </c>
      <c r="FY36" s="97" t="str">
        <f t="shared" si="75"/>
        <v/>
      </c>
      <c r="FZ36">
        <v>34</v>
      </c>
      <c r="GA36" s="77" t="str">
        <f>Data!B35</f>
        <v>HUSSANI ZAINAB A</v>
      </c>
      <c r="GB36" s="78"/>
      <c r="GC36" s="78"/>
      <c r="GD36" s="78"/>
      <c r="GE36" s="78"/>
      <c r="GF36" s="98">
        <f t="shared" si="76"/>
        <v>0</v>
      </c>
      <c r="GG36" s="98"/>
      <c r="GH36" s="98">
        <f t="shared" si="77"/>
        <v>0</v>
      </c>
      <c r="GI36" s="98" t="str">
        <f t="shared" si="78"/>
        <v/>
      </c>
      <c r="GJ36" s="98" t="str">
        <f t="shared" si="79"/>
        <v/>
      </c>
      <c r="GK36" s="98" t="str">
        <f t="shared" si="80"/>
        <v/>
      </c>
      <c r="GL36">
        <v>34</v>
      </c>
      <c r="GM36" s="77" t="str">
        <f>Data!B35</f>
        <v>HUSSANI ZAINAB A</v>
      </c>
      <c r="GN36" s="99"/>
      <c r="GO36" s="99"/>
      <c r="GP36" s="99"/>
      <c r="GQ36" s="99"/>
      <c r="GR36" s="100">
        <f t="shared" si="81"/>
        <v>0</v>
      </c>
      <c r="GS36" s="99"/>
      <c r="GT36" s="100">
        <f t="shared" si="82"/>
        <v>0</v>
      </c>
      <c r="GU36" s="100" t="str">
        <f t="shared" si="83"/>
        <v/>
      </c>
      <c r="GV36" s="100" t="str">
        <f t="shared" si="84"/>
        <v/>
      </c>
      <c r="GW36" s="100" t="str">
        <f t="shared" si="85"/>
        <v/>
      </c>
      <c r="GX36">
        <v>34</v>
      </c>
      <c r="GY36" s="77" t="str">
        <f>Data!B35</f>
        <v>HUSSANI ZAINAB A</v>
      </c>
      <c r="GZ36" s="78"/>
      <c r="HA36" s="78"/>
      <c r="HB36" s="78"/>
      <c r="HC36" s="78"/>
      <c r="HD36" s="86">
        <f t="shared" si="86"/>
        <v>0</v>
      </c>
      <c r="HE36" s="86"/>
      <c r="HF36" s="86">
        <f t="shared" si="87"/>
        <v>0</v>
      </c>
      <c r="HG36" s="86" t="str">
        <f t="shared" si="88"/>
        <v/>
      </c>
      <c r="HH36" s="86" t="str">
        <f t="shared" si="89"/>
        <v/>
      </c>
      <c r="HI36" s="86" t="str">
        <f t="shared" si="90"/>
        <v/>
      </c>
      <c r="HJ36">
        <v>34</v>
      </c>
      <c r="HK36" s="77" t="str">
        <f>Data!B35</f>
        <v>HUSSANI ZAINAB A</v>
      </c>
      <c r="HL36" s="111">
        <v>5</v>
      </c>
      <c r="HM36" s="112">
        <v>8</v>
      </c>
      <c r="HN36" s="112">
        <v>10</v>
      </c>
      <c r="HO36" s="112">
        <v>10</v>
      </c>
      <c r="HP36" s="103">
        <f t="shared" si="91"/>
        <v>33</v>
      </c>
      <c r="HQ36" s="111"/>
      <c r="HR36" s="103">
        <f t="shared" si="92"/>
        <v>33</v>
      </c>
      <c r="HS36" s="103">
        <f t="shared" si="93"/>
        <v>10</v>
      </c>
      <c r="HT36" s="103" t="str">
        <f t="shared" si="94"/>
        <v>F</v>
      </c>
      <c r="HU36" s="103" t="str">
        <f t="shared" si="95"/>
        <v>Fail</v>
      </c>
      <c r="HV36">
        <v>34</v>
      </c>
      <c r="HW36" s="77" t="str">
        <f>Data!B35</f>
        <v>HUSSANI ZAINAB A</v>
      </c>
      <c r="HX36" s="78"/>
      <c r="HY36" s="78"/>
      <c r="HZ36" s="78"/>
      <c r="IA36" s="78"/>
      <c r="IB36" s="85">
        <f t="shared" si="96"/>
        <v>0</v>
      </c>
      <c r="IC36" s="85"/>
      <c r="ID36" s="85">
        <f t="shared" si="97"/>
        <v>0</v>
      </c>
      <c r="IE36" s="85" t="str">
        <f t="shared" si="98"/>
        <v/>
      </c>
      <c r="IF36" s="85" t="str">
        <f t="shared" si="99"/>
        <v/>
      </c>
      <c r="IG36" s="85" t="str">
        <f t="shared" si="100"/>
        <v/>
      </c>
      <c r="IH36">
        <v>34</v>
      </c>
      <c r="II36" s="77" t="str">
        <f>Data!B35</f>
        <v>HUSSANI ZAINAB A</v>
      </c>
      <c r="IJ36" s="78"/>
      <c r="IK36" s="78"/>
      <c r="IL36" s="78"/>
      <c r="IM36" s="78"/>
      <c r="IN36" s="104">
        <f t="shared" si="101"/>
        <v>0</v>
      </c>
      <c r="IO36" s="104"/>
      <c r="IP36" s="104">
        <f t="shared" si="102"/>
        <v>0</v>
      </c>
      <c r="IQ36" s="104" t="str">
        <f t="shared" si="103"/>
        <v/>
      </c>
      <c r="IR36" s="104" t="str">
        <f t="shared" si="104"/>
        <v/>
      </c>
      <c r="IS36" s="104" t="str">
        <f t="shared" si="105"/>
        <v/>
      </c>
      <c r="IT36">
        <v>34</v>
      </c>
      <c r="IU36" s="77" t="str">
        <f t="shared" si="106"/>
        <v>HUSSANI ZAINAB A</v>
      </c>
      <c r="IV36" s="105"/>
      <c r="IW36" s="105"/>
      <c r="IX36" s="105"/>
      <c r="IY36" s="105"/>
      <c r="IZ36" s="98">
        <f t="shared" si="107"/>
        <v>0</v>
      </c>
      <c r="JA36" s="105"/>
      <c r="JB36" s="98">
        <f t="shared" si="108"/>
        <v>0</v>
      </c>
      <c r="JC36" s="98" t="str">
        <f t="shared" si="109"/>
        <v/>
      </c>
      <c r="JD36" s="98" t="str">
        <f t="shared" si="110"/>
        <v/>
      </c>
      <c r="JE36" s="98" t="str">
        <f t="shared" si="111"/>
        <v/>
      </c>
      <c r="JF36">
        <v>34</v>
      </c>
      <c r="JG36" s="77" t="str">
        <f t="shared" si="112"/>
        <v>HUSSANI ZAINAB A</v>
      </c>
      <c r="JH36" s="114"/>
      <c r="JI36" s="114"/>
      <c r="JJ36" s="114"/>
      <c r="JK36" s="114"/>
      <c r="JL36" s="82">
        <f t="shared" si="113"/>
        <v>0</v>
      </c>
      <c r="JM36" s="114"/>
      <c r="JN36" s="82">
        <f t="shared" si="114"/>
        <v>0</v>
      </c>
      <c r="JO36" s="82" t="str">
        <f t="shared" si="115"/>
        <v/>
      </c>
      <c r="JP36" s="82" t="str">
        <f t="shared" si="116"/>
        <v/>
      </c>
      <c r="JQ36" s="82" t="str">
        <f t="shared" si="117"/>
        <v/>
      </c>
      <c r="JR36">
        <v>34</v>
      </c>
      <c r="JS36" s="77" t="str">
        <f t="shared" si="118"/>
        <v>HUSSANI ZAINAB A</v>
      </c>
      <c r="JT36" s="107"/>
      <c r="JU36" s="107"/>
      <c r="JV36" s="107"/>
      <c r="JW36" s="107"/>
      <c r="JX36" s="80">
        <f t="shared" si="119"/>
        <v>0</v>
      </c>
      <c r="JY36" s="108"/>
      <c r="JZ36" s="80">
        <f t="shared" si="0"/>
        <v>0</v>
      </c>
      <c r="KA36" s="80" t="str">
        <f t="shared" si="120"/>
        <v/>
      </c>
      <c r="KB36" s="80" t="str">
        <f t="shared" si="121"/>
        <v/>
      </c>
      <c r="KC36" s="80" t="str">
        <f t="shared" si="122"/>
        <v/>
      </c>
      <c r="KE36" s="16"/>
      <c r="KF36" s="16"/>
      <c r="KG36" s="16"/>
      <c r="KH36" s="16"/>
      <c r="KI36" s="16"/>
      <c r="KJ36" s="16"/>
      <c r="KK36" s="16"/>
      <c r="KL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</row>
    <row r="37" spans="1:309" ht="23.25">
      <c r="A37" s="17">
        <v>35</v>
      </c>
      <c r="B37" s="186">
        <v>35</v>
      </c>
      <c r="C37" s="77" t="str">
        <f>Data!B36</f>
        <v xml:space="preserve">IDRIS HAJJARA MUHD </v>
      </c>
      <c r="D37" s="87">
        <v>4</v>
      </c>
      <c r="E37" s="87">
        <v>6</v>
      </c>
      <c r="F37" s="87">
        <v>6</v>
      </c>
      <c r="G37" s="87">
        <v>10</v>
      </c>
      <c r="H37" s="88">
        <f t="shared" si="1"/>
        <v>26</v>
      </c>
      <c r="I37" s="87">
        <v>15</v>
      </c>
      <c r="J37" s="88">
        <f t="shared" si="2"/>
        <v>41</v>
      </c>
      <c r="K37" s="79">
        <f t="shared" si="3"/>
        <v>44</v>
      </c>
      <c r="L37" s="79" t="str">
        <f t="shared" si="4"/>
        <v>E8</v>
      </c>
      <c r="M37" s="79" t="str">
        <f t="shared" si="5"/>
        <v>Pass</v>
      </c>
      <c r="N37" s="17">
        <v>35</v>
      </c>
      <c r="O37" s="77" t="str">
        <f>Data!B36</f>
        <v xml:space="preserve">IDRIS HAJJARA MUHD </v>
      </c>
      <c r="P37" s="78"/>
      <c r="Q37" s="78"/>
      <c r="R37" s="78"/>
      <c r="S37" s="78"/>
      <c r="T37" s="80">
        <f t="shared" si="6"/>
        <v>0</v>
      </c>
      <c r="U37" s="80"/>
      <c r="V37" s="80">
        <f t="shared" si="7"/>
        <v>0</v>
      </c>
      <c r="W37" s="80" t="str">
        <f t="shared" si="8"/>
        <v/>
      </c>
      <c r="X37" s="80" t="str">
        <f t="shared" si="9"/>
        <v/>
      </c>
      <c r="Y37" s="80" t="str">
        <f t="shared" si="10"/>
        <v/>
      </c>
      <c r="Z37" s="11">
        <v>35</v>
      </c>
      <c r="AA37" s="77" t="str">
        <f>Data!B36</f>
        <v xml:space="preserve">IDRIS HAJJARA MUHD </v>
      </c>
      <c r="AB37" s="87">
        <v>4</v>
      </c>
      <c r="AC37" s="87">
        <v>6</v>
      </c>
      <c r="AD37" s="87">
        <v>6</v>
      </c>
      <c r="AE37" s="87">
        <v>10</v>
      </c>
      <c r="AF37" s="88">
        <f t="shared" si="11"/>
        <v>26</v>
      </c>
      <c r="AG37" s="87">
        <v>15</v>
      </c>
      <c r="AH37" s="88">
        <f t="shared" si="12"/>
        <v>41</v>
      </c>
      <c r="AI37" s="82">
        <f t="shared" si="13"/>
        <v>44</v>
      </c>
      <c r="AJ37" s="82" t="str">
        <f t="shared" si="14"/>
        <v>E8</v>
      </c>
      <c r="AK37" s="82" t="str">
        <f t="shared" si="15"/>
        <v>Pass</v>
      </c>
      <c r="AL37" s="11">
        <v>35</v>
      </c>
      <c r="AM37" s="77" t="str">
        <f>Data!B36</f>
        <v xml:space="preserve">IDRIS HAJJARA MUHD </v>
      </c>
      <c r="AN37" s="87">
        <v>4</v>
      </c>
      <c r="AO37" s="87">
        <v>6</v>
      </c>
      <c r="AP37" s="87">
        <v>6</v>
      </c>
      <c r="AQ37" s="87">
        <v>10</v>
      </c>
      <c r="AR37" s="88">
        <f t="shared" si="16"/>
        <v>26</v>
      </c>
      <c r="AS37" s="87">
        <v>15</v>
      </c>
      <c r="AT37" s="88">
        <f t="shared" si="17"/>
        <v>41</v>
      </c>
      <c r="AU37" s="83">
        <f t="shared" si="18"/>
        <v>44</v>
      </c>
      <c r="AV37" s="83" t="str">
        <f t="shared" si="19"/>
        <v>E8</v>
      </c>
      <c r="AW37" s="83" t="str">
        <f t="shared" si="20"/>
        <v>Pass</v>
      </c>
      <c r="AX37" s="11">
        <v>35</v>
      </c>
      <c r="AY37" s="77" t="str">
        <f>Data!B36</f>
        <v xml:space="preserve">IDRIS HAJJARA MUHD </v>
      </c>
      <c r="AZ37" s="87">
        <v>4</v>
      </c>
      <c r="BA37" s="87">
        <v>6</v>
      </c>
      <c r="BB37" s="87">
        <v>6</v>
      </c>
      <c r="BC37" s="87">
        <v>10</v>
      </c>
      <c r="BD37" s="88">
        <f t="shared" si="21"/>
        <v>26</v>
      </c>
      <c r="BE37" s="87">
        <v>15</v>
      </c>
      <c r="BF37" s="88">
        <f t="shared" si="22"/>
        <v>41</v>
      </c>
      <c r="BG37" s="85">
        <f t="shared" si="23"/>
        <v>44</v>
      </c>
      <c r="BH37" s="85" t="str">
        <f t="shared" si="24"/>
        <v>E8</v>
      </c>
      <c r="BI37" s="85" t="str">
        <f t="shared" si="25"/>
        <v>Pass</v>
      </c>
      <c r="BJ37" s="36">
        <v>35</v>
      </c>
      <c r="BK37" s="77" t="str">
        <f>Data!B36</f>
        <v xml:space="preserve">IDRIS HAJJARA MUHD </v>
      </c>
      <c r="BL37" s="87">
        <v>4</v>
      </c>
      <c r="BM37" s="87">
        <v>6</v>
      </c>
      <c r="BN37" s="87">
        <v>6</v>
      </c>
      <c r="BO37" s="87">
        <v>10</v>
      </c>
      <c r="BP37" s="88">
        <f t="shared" si="26"/>
        <v>26</v>
      </c>
      <c r="BQ37" s="87">
        <v>15</v>
      </c>
      <c r="BR37" s="88">
        <f t="shared" si="27"/>
        <v>41</v>
      </c>
      <c r="BS37" s="86">
        <f t="shared" si="28"/>
        <v>44</v>
      </c>
      <c r="BT37" s="86" t="str">
        <f t="shared" si="29"/>
        <v>E8</v>
      </c>
      <c r="BU37" s="86" t="str">
        <f t="shared" si="30"/>
        <v>Pass</v>
      </c>
      <c r="BV37">
        <v>35</v>
      </c>
      <c r="BW37" s="77" t="str">
        <f>Data!B36</f>
        <v xml:space="preserve">IDRIS HAJJARA MUHD </v>
      </c>
      <c r="BX37" s="87">
        <v>4</v>
      </c>
      <c r="BY37" s="87">
        <v>6</v>
      </c>
      <c r="BZ37" s="87">
        <v>6</v>
      </c>
      <c r="CA37" s="87">
        <v>10</v>
      </c>
      <c r="CB37" s="88">
        <f t="shared" si="31"/>
        <v>26</v>
      </c>
      <c r="CC37" s="87">
        <v>15</v>
      </c>
      <c r="CD37" s="88">
        <f t="shared" si="32"/>
        <v>41</v>
      </c>
      <c r="CE37" s="88">
        <f t="shared" si="33"/>
        <v>44</v>
      </c>
      <c r="CF37" s="88" t="str">
        <f t="shared" si="34"/>
        <v>E8</v>
      </c>
      <c r="CG37" s="88" t="str">
        <f t="shared" si="35"/>
        <v>Pass</v>
      </c>
      <c r="CH37">
        <v>35</v>
      </c>
      <c r="CI37" s="77" t="str">
        <f>Data!B36</f>
        <v xml:space="preserve">IDRIS HAJJARA MUHD </v>
      </c>
      <c r="CJ37" s="78"/>
      <c r="CK37" s="78"/>
      <c r="CL37" s="78"/>
      <c r="CM37" s="78"/>
      <c r="CN37" s="89">
        <f t="shared" si="36"/>
        <v>0</v>
      </c>
      <c r="CO37" s="89"/>
      <c r="CP37" s="89">
        <f t="shared" si="37"/>
        <v>0</v>
      </c>
      <c r="CQ37" s="89" t="str">
        <f t="shared" si="38"/>
        <v/>
      </c>
      <c r="CR37" s="89" t="str">
        <f t="shared" si="39"/>
        <v/>
      </c>
      <c r="CS37" s="89" t="str">
        <f t="shared" si="40"/>
        <v/>
      </c>
      <c r="CT37">
        <v>35</v>
      </c>
      <c r="CU37" s="77" t="str">
        <f>Data!B36</f>
        <v xml:space="preserve">IDRIS HAJJARA MUHD </v>
      </c>
      <c r="CV37" s="12"/>
      <c r="CW37" s="12"/>
      <c r="CX37" s="12"/>
      <c r="CY37" s="12"/>
      <c r="CZ37" s="90">
        <f t="shared" si="41"/>
        <v>0</v>
      </c>
      <c r="DA37" s="12"/>
      <c r="DB37" s="90">
        <f t="shared" si="42"/>
        <v>0</v>
      </c>
      <c r="DC37" s="90" t="str">
        <f t="shared" si="43"/>
        <v/>
      </c>
      <c r="DD37" s="90" t="str">
        <f t="shared" si="44"/>
        <v/>
      </c>
      <c r="DE37" s="90" t="str">
        <f t="shared" si="45"/>
        <v/>
      </c>
      <c r="DF37">
        <v>35</v>
      </c>
      <c r="DG37" s="77" t="str">
        <f>Data!B36</f>
        <v xml:space="preserve">IDRIS HAJJARA MUHD </v>
      </c>
      <c r="DH37" s="78"/>
      <c r="DI37" s="78"/>
      <c r="DJ37" s="78"/>
      <c r="DK37" s="78"/>
      <c r="DL37" s="85">
        <f t="shared" si="46"/>
        <v>0</v>
      </c>
      <c r="DM37" s="84"/>
      <c r="DN37" s="85">
        <f t="shared" si="47"/>
        <v>0</v>
      </c>
      <c r="DO37" s="85" t="str">
        <f t="shared" si="48"/>
        <v/>
      </c>
      <c r="DP37" s="85" t="str">
        <f t="shared" si="49"/>
        <v/>
      </c>
      <c r="DQ37" s="85" t="str">
        <f t="shared" si="50"/>
        <v/>
      </c>
      <c r="DR37">
        <v>35</v>
      </c>
      <c r="DS37" s="77" t="str">
        <f>Data!B36</f>
        <v xml:space="preserve">IDRIS HAJJARA MUHD </v>
      </c>
      <c r="DT37" s="91"/>
      <c r="DU37" s="91"/>
      <c r="DV37" s="91"/>
      <c r="DW37" s="91"/>
      <c r="DX37" s="92">
        <f t="shared" si="51"/>
        <v>0</v>
      </c>
      <c r="DY37" s="93"/>
      <c r="DZ37" s="92">
        <f t="shared" si="52"/>
        <v>0</v>
      </c>
      <c r="EA37" s="92" t="str">
        <f t="shared" si="53"/>
        <v/>
      </c>
      <c r="EB37" s="92" t="str">
        <f t="shared" si="54"/>
        <v/>
      </c>
      <c r="EC37" s="92" t="str">
        <f t="shared" si="55"/>
        <v/>
      </c>
      <c r="ED37">
        <v>35</v>
      </c>
      <c r="EE37" s="77" t="str">
        <f>Data!B36</f>
        <v xml:space="preserve">IDRIS HAJJARA MUHD </v>
      </c>
      <c r="EF37" s="78"/>
      <c r="EG37" s="78"/>
      <c r="EH37" s="78"/>
      <c r="EI37" s="78"/>
      <c r="EJ37" s="94">
        <f t="shared" si="56"/>
        <v>0</v>
      </c>
      <c r="EK37" s="94"/>
      <c r="EL37" s="94">
        <f t="shared" si="57"/>
        <v>0</v>
      </c>
      <c r="EM37" s="94" t="str">
        <f t="shared" si="58"/>
        <v/>
      </c>
      <c r="EN37" s="94" t="str">
        <f t="shared" si="59"/>
        <v/>
      </c>
      <c r="EO37" s="94" t="str">
        <f t="shared" si="60"/>
        <v/>
      </c>
      <c r="EP37">
        <v>35</v>
      </c>
      <c r="EQ37" s="95" t="str">
        <f>Data!B36</f>
        <v xml:space="preserve">IDRIS HAJJARA MUHD </v>
      </c>
      <c r="ER37" s="78"/>
      <c r="ES37" s="78"/>
      <c r="ET37" s="78"/>
      <c r="EU37" s="78"/>
      <c r="EV37" s="90">
        <f t="shared" si="61"/>
        <v>0</v>
      </c>
      <c r="EW37" s="90"/>
      <c r="EX37" s="90">
        <f t="shared" si="62"/>
        <v>0</v>
      </c>
      <c r="EY37" s="90" t="str">
        <f t="shared" si="63"/>
        <v/>
      </c>
      <c r="EZ37" s="90" t="str">
        <f t="shared" si="64"/>
        <v/>
      </c>
      <c r="FA37" s="90" t="str">
        <f t="shared" si="65"/>
        <v/>
      </c>
      <c r="FB37">
        <v>35</v>
      </c>
      <c r="FC37" s="77" t="str">
        <f>Data!B36</f>
        <v xml:space="preserve">IDRIS HAJJARA MUHD </v>
      </c>
      <c r="FD37" s="78"/>
      <c r="FE37" s="78"/>
      <c r="FF37" s="78"/>
      <c r="FG37" s="78"/>
      <c r="FH37" s="96">
        <f t="shared" si="66"/>
        <v>0</v>
      </c>
      <c r="FI37" s="96"/>
      <c r="FJ37" s="96">
        <f t="shared" si="67"/>
        <v>0</v>
      </c>
      <c r="FK37" s="96" t="str">
        <f t="shared" si="68"/>
        <v/>
      </c>
      <c r="FL37" s="96" t="str">
        <f t="shared" si="69"/>
        <v/>
      </c>
      <c r="FM37" s="96" t="str">
        <f t="shared" si="70"/>
        <v/>
      </c>
      <c r="FN37">
        <v>35</v>
      </c>
      <c r="FO37" s="77" t="str">
        <f>Data!B36</f>
        <v xml:space="preserve">IDRIS HAJJARA MUHD </v>
      </c>
      <c r="FP37" s="78"/>
      <c r="FQ37" s="78"/>
      <c r="FR37" s="78"/>
      <c r="FS37" s="78"/>
      <c r="FT37" s="97">
        <f t="shared" si="71"/>
        <v>0</v>
      </c>
      <c r="FU37" s="97"/>
      <c r="FV37" s="97">
        <f t="shared" si="72"/>
        <v>0</v>
      </c>
      <c r="FW37" s="97" t="str">
        <f t="shared" si="73"/>
        <v/>
      </c>
      <c r="FX37" s="97" t="str">
        <f t="shared" si="74"/>
        <v/>
      </c>
      <c r="FY37" s="97" t="str">
        <f t="shared" si="75"/>
        <v/>
      </c>
      <c r="FZ37">
        <v>35</v>
      </c>
      <c r="GA37" s="77" t="str">
        <f>Data!B36</f>
        <v xml:space="preserve">IDRIS HAJJARA MUHD </v>
      </c>
      <c r="GB37" s="78"/>
      <c r="GC37" s="78"/>
      <c r="GD37" s="78"/>
      <c r="GE37" s="78"/>
      <c r="GF37" s="98">
        <f t="shared" si="76"/>
        <v>0</v>
      </c>
      <c r="GG37" s="98"/>
      <c r="GH37" s="98">
        <f t="shared" si="77"/>
        <v>0</v>
      </c>
      <c r="GI37" s="98" t="str">
        <f t="shared" si="78"/>
        <v/>
      </c>
      <c r="GJ37" s="98" t="str">
        <f t="shared" si="79"/>
        <v/>
      </c>
      <c r="GK37" s="98" t="str">
        <f t="shared" si="80"/>
        <v/>
      </c>
      <c r="GL37">
        <v>35</v>
      </c>
      <c r="GM37" s="77" t="str">
        <f>Data!B36</f>
        <v xml:space="preserve">IDRIS HAJJARA MUHD </v>
      </c>
      <c r="GN37" s="99"/>
      <c r="GO37" s="99"/>
      <c r="GP37" s="99"/>
      <c r="GQ37" s="99"/>
      <c r="GR37" s="100">
        <f t="shared" si="81"/>
        <v>0</v>
      </c>
      <c r="GS37" s="99"/>
      <c r="GT37" s="100">
        <f t="shared" si="82"/>
        <v>0</v>
      </c>
      <c r="GU37" s="100" t="str">
        <f t="shared" si="83"/>
        <v/>
      </c>
      <c r="GV37" s="100" t="str">
        <f t="shared" si="84"/>
        <v/>
      </c>
      <c r="GW37" s="100" t="str">
        <f t="shared" si="85"/>
        <v/>
      </c>
      <c r="GX37">
        <v>35</v>
      </c>
      <c r="GY37" s="77" t="str">
        <f>Data!B36</f>
        <v xml:space="preserve">IDRIS HAJJARA MUHD </v>
      </c>
      <c r="GZ37" s="78"/>
      <c r="HA37" s="78"/>
      <c r="HB37" s="78"/>
      <c r="HC37" s="78"/>
      <c r="HD37" s="86">
        <f t="shared" si="86"/>
        <v>0</v>
      </c>
      <c r="HE37" s="86"/>
      <c r="HF37" s="86">
        <f t="shared" si="87"/>
        <v>0</v>
      </c>
      <c r="HG37" s="86" t="str">
        <f t="shared" si="88"/>
        <v/>
      </c>
      <c r="HH37" s="86" t="str">
        <f t="shared" si="89"/>
        <v/>
      </c>
      <c r="HI37" s="86" t="str">
        <f t="shared" si="90"/>
        <v/>
      </c>
      <c r="HJ37">
        <v>35</v>
      </c>
      <c r="HK37" s="77" t="str">
        <f>Data!B36</f>
        <v xml:space="preserve">IDRIS HAJJARA MUHD </v>
      </c>
      <c r="HL37" s="111">
        <v>2</v>
      </c>
      <c r="HM37" s="112"/>
      <c r="HN37" s="112">
        <v>10</v>
      </c>
      <c r="HO37" s="112">
        <v>10</v>
      </c>
      <c r="HP37" s="103">
        <f t="shared" si="91"/>
        <v>22</v>
      </c>
      <c r="HQ37" s="111"/>
      <c r="HR37" s="103">
        <f t="shared" si="92"/>
        <v>22</v>
      </c>
      <c r="HS37" s="103">
        <f t="shared" si="93"/>
        <v>20</v>
      </c>
      <c r="HT37" s="103" t="str">
        <f t="shared" si="94"/>
        <v>F</v>
      </c>
      <c r="HU37" s="103" t="str">
        <f t="shared" si="95"/>
        <v>Fail</v>
      </c>
      <c r="HV37">
        <v>35</v>
      </c>
      <c r="HW37" s="77" t="str">
        <f>Data!B36</f>
        <v xml:space="preserve">IDRIS HAJJARA MUHD </v>
      </c>
      <c r="HX37" s="78"/>
      <c r="HY37" s="78"/>
      <c r="HZ37" s="78"/>
      <c r="IA37" s="78"/>
      <c r="IB37" s="85">
        <f t="shared" si="96"/>
        <v>0</v>
      </c>
      <c r="IC37" s="85"/>
      <c r="ID37" s="85">
        <f t="shared" si="97"/>
        <v>0</v>
      </c>
      <c r="IE37" s="85" t="str">
        <f t="shared" si="98"/>
        <v/>
      </c>
      <c r="IF37" s="85" t="str">
        <f t="shared" si="99"/>
        <v/>
      </c>
      <c r="IG37" s="85" t="str">
        <f t="shared" si="100"/>
        <v/>
      </c>
      <c r="IH37">
        <v>35</v>
      </c>
      <c r="II37" s="77" t="str">
        <f>Data!B36</f>
        <v xml:space="preserve">IDRIS HAJJARA MUHD </v>
      </c>
      <c r="IJ37" s="78"/>
      <c r="IK37" s="78"/>
      <c r="IL37" s="78"/>
      <c r="IM37" s="78"/>
      <c r="IN37" s="104">
        <f t="shared" si="101"/>
        <v>0</v>
      </c>
      <c r="IO37" s="104"/>
      <c r="IP37" s="104">
        <f t="shared" si="102"/>
        <v>0</v>
      </c>
      <c r="IQ37" s="104" t="str">
        <f t="shared" si="103"/>
        <v/>
      </c>
      <c r="IR37" s="104" t="str">
        <f t="shared" si="104"/>
        <v/>
      </c>
      <c r="IS37" s="104" t="str">
        <f t="shared" si="105"/>
        <v/>
      </c>
      <c r="IT37">
        <v>35</v>
      </c>
      <c r="IU37" s="77" t="str">
        <f t="shared" si="106"/>
        <v xml:space="preserve">IDRIS HAJJARA MUHD </v>
      </c>
      <c r="IV37" s="105"/>
      <c r="IW37" s="105"/>
      <c r="IX37" s="105"/>
      <c r="IY37" s="105"/>
      <c r="IZ37" s="98">
        <f t="shared" si="107"/>
        <v>0</v>
      </c>
      <c r="JA37" s="105"/>
      <c r="JB37" s="98">
        <f t="shared" si="108"/>
        <v>0</v>
      </c>
      <c r="JC37" s="98" t="str">
        <f t="shared" si="109"/>
        <v/>
      </c>
      <c r="JD37" s="98" t="str">
        <f t="shared" si="110"/>
        <v/>
      </c>
      <c r="JE37" s="98" t="str">
        <f t="shared" si="111"/>
        <v/>
      </c>
      <c r="JF37">
        <v>35</v>
      </c>
      <c r="JG37" s="77" t="str">
        <f t="shared" si="112"/>
        <v xml:space="preserve">IDRIS HAJJARA MUHD </v>
      </c>
      <c r="JH37" s="114"/>
      <c r="JI37" s="114"/>
      <c r="JJ37" s="114"/>
      <c r="JK37" s="114"/>
      <c r="JL37" s="82">
        <f t="shared" si="113"/>
        <v>0</v>
      </c>
      <c r="JM37" s="114"/>
      <c r="JN37" s="82">
        <f t="shared" si="114"/>
        <v>0</v>
      </c>
      <c r="JO37" s="82" t="str">
        <f t="shared" si="115"/>
        <v/>
      </c>
      <c r="JP37" s="82" t="str">
        <f t="shared" si="116"/>
        <v/>
      </c>
      <c r="JQ37" s="82" t="str">
        <f t="shared" si="117"/>
        <v/>
      </c>
      <c r="JR37">
        <v>35</v>
      </c>
      <c r="JS37" s="77" t="str">
        <f t="shared" si="118"/>
        <v xml:space="preserve">IDRIS HAJJARA MUHD </v>
      </c>
      <c r="JT37" s="107"/>
      <c r="JU37" s="107"/>
      <c r="JV37" s="107"/>
      <c r="JW37" s="107"/>
      <c r="JX37" s="80">
        <f t="shared" si="119"/>
        <v>0</v>
      </c>
      <c r="JY37" s="108"/>
      <c r="JZ37" s="80">
        <f t="shared" si="0"/>
        <v>0</v>
      </c>
      <c r="KA37" s="80" t="str">
        <f t="shared" si="120"/>
        <v/>
      </c>
      <c r="KB37" s="80" t="str">
        <f t="shared" si="121"/>
        <v/>
      </c>
      <c r="KC37" s="80" t="str">
        <f t="shared" si="122"/>
        <v/>
      </c>
      <c r="KE37" s="16"/>
      <c r="KF37" s="16"/>
      <c r="KG37" s="16"/>
      <c r="KH37" s="16"/>
      <c r="KI37" s="16"/>
      <c r="KJ37" s="16"/>
      <c r="KK37" s="16"/>
      <c r="KL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</row>
    <row r="38" spans="1:309" ht="23.25">
      <c r="A38" s="17">
        <v>36</v>
      </c>
      <c r="B38" s="186">
        <v>36</v>
      </c>
      <c r="C38" s="77" t="str">
        <f>Data!B37</f>
        <v xml:space="preserve">JACOB PATIENCE </v>
      </c>
      <c r="D38" s="87">
        <v>5</v>
      </c>
      <c r="E38" s="87">
        <v>5</v>
      </c>
      <c r="F38" s="87">
        <v>10</v>
      </c>
      <c r="G38" s="87">
        <v>10</v>
      </c>
      <c r="H38" s="88">
        <f t="shared" si="1"/>
        <v>30</v>
      </c>
      <c r="I38" s="87">
        <v>44</v>
      </c>
      <c r="J38" s="88">
        <f t="shared" si="2"/>
        <v>74</v>
      </c>
      <c r="K38" s="79">
        <f t="shared" si="3"/>
        <v>7</v>
      </c>
      <c r="L38" s="79" t="str">
        <f t="shared" si="4"/>
        <v>B2</v>
      </c>
      <c r="M38" s="79" t="str">
        <f t="shared" si="5"/>
        <v>V.Good</v>
      </c>
      <c r="N38" s="17">
        <v>36</v>
      </c>
      <c r="O38" s="77" t="str">
        <f>Data!B37</f>
        <v xml:space="preserve">JACOB PATIENCE </v>
      </c>
      <c r="P38" s="78"/>
      <c r="Q38" s="78"/>
      <c r="R38" s="78"/>
      <c r="S38" s="78"/>
      <c r="T38" s="80">
        <f t="shared" si="6"/>
        <v>0</v>
      </c>
      <c r="U38" s="80"/>
      <c r="V38" s="80">
        <f t="shared" si="7"/>
        <v>0</v>
      </c>
      <c r="W38" s="80" t="str">
        <f t="shared" si="8"/>
        <v/>
      </c>
      <c r="X38" s="80" t="str">
        <f t="shared" si="9"/>
        <v/>
      </c>
      <c r="Y38" s="80" t="str">
        <f t="shared" si="10"/>
        <v/>
      </c>
      <c r="Z38" s="11">
        <v>36</v>
      </c>
      <c r="AA38" s="77" t="str">
        <f>Data!B37</f>
        <v xml:space="preserve">JACOB PATIENCE </v>
      </c>
      <c r="AB38" s="87">
        <v>5</v>
      </c>
      <c r="AC38" s="87">
        <v>5</v>
      </c>
      <c r="AD38" s="87">
        <v>10</v>
      </c>
      <c r="AE38" s="87">
        <v>10</v>
      </c>
      <c r="AF38" s="88">
        <f t="shared" si="11"/>
        <v>30</v>
      </c>
      <c r="AG38" s="87">
        <v>44</v>
      </c>
      <c r="AH38" s="88">
        <f t="shared" si="12"/>
        <v>74</v>
      </c>
      <c r="AI38" s="82">
        <f t="shared" si="13"/>
        <v>7</v>
      </c>
      <c r="AJ38" s="82" t="str">
        <f t="shared" si="14"/>
        <v>B2</v>
      </c>
      <c r="AK38" s="82" t="str">
        <f t="shared" si="15"/>
        <v>V.Good</v>
      </c>
      <c r="AL38" s="11">
        <v>36</v>
      </c>
      <c r="AM38" s="77" t="str">
        <f>Data!B37</f>
        <v xml:space="preserve">JACOB PATIENCE </v>
      </c>
      <c r="AN38" s="87">
        <v>5</v>
      </c>
      <c r="AO38" s="87">
        <v>5</v>
      </c>
      <c r="AP38" s="87">
        <v>10</v>
      </c>
      <c r="AQ38" s="87">
        <v>10</v>
      </c>
      <c r="AR38" s="88">
        <f t="shared" si="16"/>
        <v>30</v>
      </c>
      <c r="AS38" s="87">
        <v>44</v>
      </c>
      <c r="AT38" s="88">
        <f t="shared" si="17"/>
        <v>74</v>
      </c>
      <c r="AU38" s="83">
        <f t="shared" si="18"/>
        <v>7</v>
      </c>
      <c r="AV38" s="83" t="str">
        <f t="shared" si="19"/>
        <v>B2</v>
      </c>
      <c r="AW38" s="83" t="str">
        <f t="shared" si="20"/>
        <v>V.Good</v>
      </c>
      <c r="AX38" s="11">
        <v>36</v>
      </c>
      <c r="AY38" s="77" t="str">
        <f>Data!B37</f>
        <v xml:space="preserve">JACOB PATIENCE </v>
      </c>
      <c r="AZ38" s="87">
        <v>5</v>
      </c>
      <c r="BA38" s="87">
        <v>5</v>
      </c>
      <c r="BB38" s="87">
        <v>10</v>
      </c>
      <c r="BC38" s="87">
        <v>10</v>
      </c>
      <c r="BD38" s="88">
        <f t="shared" si="21"/>
        <v>30</v>
      </c>
      <c r="BE38" s="87">
        <v>44</v>
      </c>
      <c r="BF38" s="88">
        <f t="shared" si="22"/>
        <v>74</v>
      </c>
      <c r="BG38" s="85">
        <f t="shared" si="23"/>
        <v>7</v>
      </c>
      <c r="BH38" s="85" t="str">
        <f t="shared" si="24"/>
        <v>B2</v>
      </c>
      <c r="BI38" s="85" t="str">
        <f t="shared" si="25"/>
        <v>V.Good</v>
      </c>
      <c r="BJ38" s="36">
        <v>36</v>
      </c>
      <c r="BK38" s="77" t="str">
        <f>Data!B37</f>
        <v xml:space="preserve">JACOB PATIENCE </v>
      </c>
      <c r="BL38" s="87">
        <v>5</v>
      </c>
      <c r="BM38" s="87">
        <v>5</v>
      </c>
      <c r="BN38" s="87">
        <v>10</v>
      </c>
      <c r="BO38" s="87">
        <v>10</v>
      </c>
      <c r="BP38" s="88">
        <f t="shared" si="26"/>
        <v>30</v>
      </c>
      <c r="BQ38" s="87">
        <v>44</v>
      </c>
      <c r="BR38" s="88">
        <f t="shared" si="27"/>
        <v>74</v>
      </c>
      <c r="BS38" s="86">
        <f t="shared" si="28"/>
        <v>7</v>
      </c>
      <c r="BT38" s="86" t="str">
        <f t="shared" si="29"/>
        <v>B2</v>
      </c>
      <c r="BU38" s="86" t="str">
        <f t="shared" si="30"/>
        <v>V.Good</v>
      </c>
      <c r="BV38">
        <v>36</v>
      </c>
      <c r="BW38" s="77" t="str">
        <f>Data!B37</f>
        <v xml:space="preserve">JACOB PATIENCE </v>
      </c>
      <c r="BX38" s="87">
        <v>5</v>
      </c>
      <c r="BY38" s="87">
        <v>5</v>
      </c>
      <c r="BZ38" s="87">
        <v>10</v>
      </c>
      <c r="CA38" s="87">
        <v>10</v>
      </c>
      <c r="CB38" s="88">
        <f t="shared" si="31"/>
        <v>30</v>
      </c>
      <c r="CC38" s="87">
        <v>44</v>
      </c>
      <c r="CD38" s="88">
        <f t="shared" si="32"/>
        <v>74</v>
      </c>
      <c r="CE38" s="88">
        <f t="shared" si="33"/>
        <v>7</v>
      </c>
      <c r="CF38" s="88" t="str">
        <f t="shared" si="34"/>
        <v>B2</v>
      </c>
      <c r="CG38" s="88" t="str">
        <f t="shared" si="35"/>
        <v>V.Good</v>
      </c>
      <c r="CH38">
        <v>36</v>
      </c>
      <c r="CI38" s="77" t="str">
        <f>Data!B37</f>
        <v xml:space="preserve">JACOB PATIENCE </v>
      </c>
      <c r="CJ38" s="78"/>
      <c r="CK38" s="78"/>
      <c r="CL38" s="78"/>
      <c r="CM38" s="78"/>
      <c r="CN38" s="89">
        <f t="shared" si="36"/>
        <v>0</v>
      </c>
      <c r="CO38" s="89"/>
      <c r="CP38" s="89">
        <f t="shared" si="37"/>
        <v>0</v>
      </c>
      <c r="CQ38" s="89" t="str">
        <f t="shared" si="38"/>
        <v/>
      </c>
      <c r="CR38" s="89" t="str">
        <f t="shared" si="39"/>
        <v/>
      </c>
      <c r="CS38" s="89" t="str">
        <f t="shared" si="40"/>
        <v/>
      </c>
      <c r="CT38">
        <v>36</v>
      </c>
      <c r="CU38" s="77" t="str">
        <f>Data!B37</f>
        <v xml:space="preserve">JACOB PATIENCE </v>
      </c>
      <c r="CV38" s="12"/>
      <c r="CW38" s="12"/>
      <c r="CX38" s="12"/>
      <c r="CY38" s="12"/>
      <c r="CZ38" s="90">
        <f t="shared" si="41"/>
        <v>0</v>
      </c>
      <c r="DA38" s="12"/>
      <c r="DB38" s="90">
        <f t="shared" si="42"/>
        <v>0</v>
      </c>
      <c r="DC38" s="90" t="str">
        <f t="shared" si="43"/>
        <v/>
      </c>
      <c r="DD38" s="90" t="str">
        <f t="shared" si="44"/>
        <v/>
      </c>
      <c r="DE38" s="90" t="str">
        <f t="shared" si="45"/>
        <v/>
      </c>
      <c r="DF38">
        <v>36</v>
      </c>
      <c r="DG38" s="77" t="str">
        <f>Data!B37</f>
        <v xml:space="preserve">JACOB PATIENCE </v>
      </c>
      <c r="DH38" s="78"/>
      <c r="DI38" s="78"/>
      <c r="DJ38" s="78"/>
      <c r="DK38" s="78"/>
      <c r="DL38" s="85">
        <f t="shared" si="46"/>
        <v>0</v>
      </c>
      <c r="DM38" s="84"/>
      <c r="DN38" s="85">
        <f t="shared" si="47"/>
        <v>0</v>
      </c>
      <c r="DO38" s="85" t="str">
        <f t="shared" si="48"/>
        <v/>
      </c>
      <c r="DP38" s="85" t="str">
        <f t="shared" si="49"/>
        <v/>
      </c>
      <c r="DQ38" s="85" t="str">
        <f t="shared" si="50"/>
        <v/>
      </c>
      <c r="DR38">
        <v>36</v>
      </c>
      <c r="DS38" s="77" t="str">
        <f>Data!B37</f>
        <v xml:space="preserve">JACOB PATIENCE </v>
      </c>
      <c r="DT38" s="91"/>
      <c r="DU38" s="91"/>
      <c r="DV38" s="91"/>
      <c r="DW38" s="91"/>
      <c r="DX38" s="92">
        <f t="shared" si="51"/>
        <v>0</v>
      </c>
      <c r="DY38" s="93"/>
      <c r="DZ38" s="92">
        <f t="shared" si="52"/>
        <v>0</v>
      </c>
      <c r="EA38" s="92" t="str">
        <f t="shared" si="53"/>
        <v/>
      </c>
      <c r="EB38" s="92" t="str">
        <f t="shared" si="54"/>
        <v/>
      </c>
      <c r="EC38" s="92" t="str">
        <f t="shared" si="55"/>
        <v/>
      </c>
      <c r="ED38">
        <v>36</v>
      </c>
      <c r="EE38" s="77" t="str">
        <f>Data!B37</f>
        <v xml:space="preserve">JACOB PATIENCE </v>
      </c>
      <c r="EF38" s="78"/>
      <c r="EG38" s="78"/>
      <c r="EH38" s="78"/>
      <c r="EI38" s="78"/>
      <c r="EJ38" s="94">
        <f t="shared" si="56"/>
        <v>0</v>
      </c>
      <c r="EK38" s="94"/>
      <c r="EL38" s="94">
        <f t="shared" si="57"/>
        <v>0</v>
      </c>
      <c r="EM38" s="94" t="str">
        <f t="shared" si="58"/>
        <v/>
      </c>
      <c r="EN38" s="94" t="str">
        <f t="shared" si="59"/>
        <v/>
      </c>
      <c r="EO38" s="94" t="str">
        <f t="shared" si="60"/>
        <v/>
      </c>
      <c r="EP38">
        <v>36</v>
      </c>
      <c r="EQ38" s="95" t="str">
        <f>Data!B37</f>
        <v xml:space="preserve">JACOB PATIENCE </v>
      </c>
      <c r="ER38" s="78"/>
      <c r="ES38" s="78"/>
      <c r="ET38" s="78"/>
      <c r="EU38" s="78"/>
      <c r="EV38" s="90">
        <f t="shared" si="61"/>
        <v>0</v>
      </c>
      <c r="EW38" s="90"/>
      <c r="EX38" s="90">
        <f t="shared" si="62"/>
        <v>0</v>
      </c>
      <c r="EY38" s="90" t="str">
        <f t="shared" si="63"/>
        <v/>
      </c>
      <c r="EZ38" s="90" t="str">
        <f t="shared" si="64"/>
        <v/>
      </c>
      <c r="FA38" s="90" t="str">
        <f t="shared" si="65"/>
        <v/>
      </c>
      <c r="FB38">
        <v>36</v>
      </c>
      <c r="FC38" s="77" t="str">
        <f>Data!B37</f>
        <v xml:space="preserve">JACOB PATIENCE </v>
      </c>
      <c r="FD38" s="78"/>
      <c r="FE38" s="78"/>
      <c r="FF38" s="78"/>
      <c r="FG38" s="78"/>
      <c r="FH38" s="96">
        <f t="shared" si="66"/>
        <v>0</v>
      </c>
      <c r="FI38" s="96"/>
      <c r="FJ38" s="96">
        <f t="shared" si="67"/>
        <v>0</v>
      </c>
      <c r="FK38" s="96" t="str">
        <f t="shared" si="68"/>
        <v/>
      </c>
      <c r="FL38" s="96" t="str">
        <f t="shared" si="69"/>
        <v/>
      </c>
      <c r="FM38" s="96" t="str">
        <f t="shared" si="70"/>
        <v/>
      </c>
      <c r="FN38">
        <v>36</v>
      </c>
      <c r="FO38" s="77" t="str">
        <f>Data!B37</f>
        <v xml:space="preserve">JACOB PATIENCE </v>
      </c>
      <c r="FP38" s="78"/>
      <c r="FQ38" s="78"/>
      <c r="FR38" s="78"/>
      <c r="FS38" s="78"/>
      <c r="FT38" s="97">
        <f t="shared" si="71"/>
        <v>0</v>
      </c>
      <c r="FU38" s="97"/>
      <c r="FV38" s="97">
        <f t="shared" si="72"/>
        <v>0</v>
      </c>
      <c r="FW38" s="97" t="str">
        <f t="shared" si="73"/>
        <v/>
      </c>
      <c r="FX38" s="97" t="str">
        <f t="shared" si="74"/>
        <v/>
      </c>
      <c r="FY38" s="97" t="str">
        <f t="shared" si="75"/>
        <v/>
      </c>
      <c r="FZ38">
        <v>36</v>
      </c>
      <c r="GA38" s="77" t="str">
        <f>Data!B37</f>
        <v xml:space="preserve">JACOB PATIENCE </v>
      </c>
      <c r="GB38" s="78"/>
      <c r="GC38" s="78"/>
      <c r="GD38" s="78"/>
      <c r="GE38" s="78"/>
      <c r="GF38" s="98">
        <f t="shared" si="76"/>
        <v>0</v>
      </c>
      <c r="GG38" s="98"/>
      <c r="GH38" s="98">
        <f t="shared" si="77"/>
        <v>0</v>
      </c>
      <c r="GI38" s="98" t="str">
        <f t="shared" si="78"/>
        <v/>
      </c>
      <c r="GJ38" s="98" t="str">
        <f t="shared" si="79"/>
        <v/>
      </c>
      <c r="GK38" s="98" t="str">
        <f t="shared" si="80"/>
        <v/>
      </c>
      <c r="GL38">
        <v>36</v>
      </c>
      <c r="GM38" s="77" t="str">
        <f>Data!B37</f>
        <v xml:space="preserve">JACOB PATIENCE </v>
      </c>
      <c r="GN38" s="99"/>
      <c r="GO38" s="99"/>
      <c r="GP38" s="99"/>
      <c r="GQ38" s="99"/>
      <c r="GR38" s="100">
        <f t="shared" si="81"/>
        <v>0</v>
      </c>
      <c r="GS38" s="99"/>
      <c r="GT38" s="100">
        <f t="shared" si="82"/>
        <v>0</v>
      </c>
      <c r="GU38" s="100" t="str">
        <f t="shared" si="83"/>
        <v/>
      </c>
      <c r="GV38" s="100" t="str">
        <f t="shared" si="84"/>
        <v/>
      </c>
      <c r="GW38" s="100" t="str">
        <f t="shared" si="85"/>
        <v/>
      </c>
      <c r="GX38">
        <v>36</v>
      </c>
      <c r="GY38" s="77" t="str">
        <f>Data!B37</f>
        <v xml:space="preserve">JACOB PATIENCE </v>
      </c>
      <c r="GZ38" s="78"/>
      <c r="HA38" s="78"/>
      <c r="HB38" s="78"/>
      <c r="HC38" s="78"/>
      <c r="HD38" s="86">
        <f t="shared" si="86"/>
        <v>0</v>
      </c>
      <c r="HE38" s="86"/>
      <c r="HF38" s="86">
        <f t="shared" si="87"/>
        <v>0</v>
      </c>
      <c r="HG38" s="86" t="str">
        <f t="shared" si="88"/>
        <v/>
      </c>
      <c r="HH38" s="86" t="str">
        <f t="shared" si="89"/>
        <v/>
      </c>
      <c r="HI38" s="86" t="str">
        <f t="shared" si="90"/>
        <v/>
      </c>
      <c r="HJ38">
        <v>36</v>
      </c>
      <c r="HK38" s="77" t="str">
        <f>Data!B37</f>
        <v xml:space="preserve">JACOB PATIENCE </v>
      </c>
      <c r="HL38" s="111">
        <v>3</v>
      </c>
      <c r="HM38" s="112">
        <v>5</v>
      </c>
      <c r="HN38" s="112">
        <v>10</v>
      </c>
      <c r="HO38" s="112">
        <v>10</v>
      </c>
      <c r="HP38" s="103">
        <f t="shared" si="91"/>
        <v>28</v>
      </c>
      <c r="HQ38" s="111"/>
      <c r="HR38" s="103">
        <f t="shared" si="92"/>
        <v>28</v>
      </c>
      <c r="HS38" s="103">
        <f t="shared" si="93"/>
        <v>16</v>
      </c>
      <c r="HT38" s="103" t="str">
        <f t="shared" si="94"/>
        <v>F</v>
      </c>
      <c r="HU38" s="103" t="str">
        <f t="shared" si="95"/>
        <v>Fail</v>
      </c>
      <c r="HV38">
        <v>36</v>
      </c>
      <c r="HW38" s="77" t="str">
        <f>Data!B37</f>
        <v xml:space="preserve">JACOB PATIENCE </v>
      </c>
      <c r="HX38" s="78"/>
      <c r="HY38" s="78"/>
      <c r="HZ38" s="78"/>
      <c r="IA38" s="78"/>
      <c r="IB38" s="85">
        <f t="shared" si="96"/>
        <v>0</v>
      </c>
      <c r="IC38" s="85"/>
      <c r="ID38" s="85">
        <f t="shared" si="97"/>
        <v>0</v>
      </c>
      <c r="IE38" s="85" t="str">
        <f t="shared" si="98"/>
        <v/>
      </c>
      <c r="IF38" s="85" t="str">
        <f t="shared" si="99"/>
        <v/>
      </c>
      <c r="IG38" s="85" t="str">
        <f t="shared" si="100"/>
        <v/>
      </c>
      <c r="IH38">
        <v>36</v>
      </c>
      <c r="II38" s="77" t="str">
        <f>Data!B37</f>
        <v xml:space="preserve">JACOB PATIENCE </v>
      </c>
      <c r="IJ38" s="78"/>
      <c r="IK38" s="78"/>
      <c r="IL38" s="78"/>
      <c r="IM38" s="78"/>
      <c r="IN38" s="104">
        <f t="shared" si="101"/>
        <v>0</v>
      </c>
      <c r="IO38" s="104"/>
      <c r="IP38" s="104">
        <f t="shared" si="102"/>
        <v>0</v>
      </c>
      <c r="IQ38" s="104" t="str">
        <f t="shared" si="103"/>
        <v/>
      </c>
      <c r="IR38" s="104" t="str">
        <f t="shared" si="104"/>
        <v/>
      </c>
      <c r="IS38" s="104" t="str">
        <f t="shared" si="105"/>
        <v/>
      </c>
      <c r="IT38">
        <v>36</v>
      </c>
      <c r="IU38" s="77" t="str">
        <f t="shared" si="106"/>
        <v xml:space="preserve">JACOB PATIENCE </v>
      </c>
      <c r="IV38" s="105"/>
      <c r="IW38" s="105"/>
      <c r="IX38" s="105"/>
      <c r="IY38" s="105"/>
      <c r="IZ38" s="98">
        <f t="shared" si="107"/>
        <v>0</v>
      </c>
      <c r="JA38" s="105"/>
      <c r="JB38" s="98">
        <f t="shared" si="108"/>
        <v>0</v>
      </c>
      <c r="JC38" s="98" t="str">
        <f t="shared" si="109"/>
        <v/>
      </c>
      <c r="JD38" s="98" t="str">
        <f t="shared" si="110"/>
        <v/>
      </c>
      <c r="JE38" s="98" t="str">
        <f t="shared" si="111"/>
        <v/>
      </c>
      <c r="JF38">
        <v>36</v>
      </c>
      <c r="JG38" s="77" t="str">
        <f t="shared" si="112"/>
        <v xml:space="preserve">JACOB PATIENCE </v>
      </c>
      <c r="JH38" s="114"/>
      <c r="JI38" s="114"/>
      <c r="JJ38" s="114"/>
      <c r="JK38" s="114"/>
      <c r="JL38" s="82">
        <f t="shared" si="113"/>
        <v>0</v>
      </c>
      <c r="JM38" s="114"/>
      <c r="JN38" s="82">
        <f t="shared" si="114"/>
        <v>0</v>
      </c>
      <c r="JO38" s="82" t="str">
        <f t="shared" si="115"/>
        <v/>
      </c>
      <c r="JP38" s="82" t="str">
        <f t="shared" si="116"/>
        <v/>
      </c>
      <c r="JQ38" s="82" t="str">
        <f t="shared" si="117"/>
        <v/>
      </c>
      <c r="JR38">
        <v>36</v>
      </c>
      <c r="JS38" s="77" t="str">
        <f t="shared" si="118"/>
        <v xml:space="preserve">JACOB PATIENCE </v>
      </c>
      <c r="JT38" s="107"/>
      <c r="JU38" s="107"/>
      <c r="JV38" s="107"/>
      <c r="JW38" s="107"/>
      <c r="JX38" s="80">
        <f t="shared" si="119"/>
        <v>0</v>
      </c>
      <c r="JY38" s="108"/>
      <c r="JZ38" s="80">
        <f t="shared" si="0"/>
        <v>0</v>
      </c>
      <c r="KA38" s="80" t="str">
        <f t="shared" si="120"/>
        <v/>
      </c>
      <c r="KB38" s="80" t="str">
        <f t="shared" si="121"/>
        <v/>
      </c>
      <c r="KC38" s="80" t="str">
        <f t="shared" si="122"/>
        <v/>
      </c>
      <c r="KE38" s="16"/>
      <c r="KF38" s="16"/>
      <c r="KG38" s="16"/>
      <c r="KH38" s="16"/>
      <c r="KI38" s="16"/>
      <c r="KJ38" s="16"/>
      <c r="KK38" s="16"/>
      <c r="KL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</row>
    <row r="39" spans="1:309" ht="23.25">
      <c r="A39" s="17">
        <v>37</v>
      </c>
      <c r="B39" s="186">
        <v>37</v>
      </c>
      <c r="C39" s="77" t="str">
        <f>Data!B38</f>
        <v xml:space="preserve">JAPHETH MARTINA </v>
      </c>
      <c r="D39" s="87">
        <v>8</v>
      </c>
      <c r="E39" s="87">
        <v>9</v>
      </c>
      <c r="F39" s="87">
        <v>6</v>
      </c>
      <c r="G39" s="87">
        <v>10</v>
      </c>
      <c r="H39" s="88">
        <f t="shared" si="1"/>
        <v>33</v>
      </c>
      <c r="I39" s="87">
        <v>42</v>
      </c>
      <c r="J39" s="88">
        <f t="shared" si="2"/>
        <v>75</v>
      </c>
      <c r="K39" s="79">
        <f t="shared" si="3"/>
        <v>6</v>
      </c>
      <c r="L39" s="79" t="str">
        <f t="shared" si="4"/>
        <v>A1</v>
      </c>
      <c r="M39" s="79" t="str">
        <f t="shared" si="5"/>
        <v>Excellent</v>
      </c>
      <c r="N39" s="17">
        <v>37</v>
      </c>
      <c r="O39" s="77" t="str">
        <f>Data!B38</f>
        <v xml:space="preserve">JAPHETH MARTINA </v>
      </c>
      <c r="P39" s="78"/>
      <c r="Q39" s="78"/>
      <c r="R39" s="78"/>
      <c r="S39" s="78"/>
      <c r="T39" s="80">
        <f t="shared" si="6"/>
        <v>0</v>
      </c>
      <c r="U39" s="80"/>
      <c r="V39" s="80">
        <f t="shared" si="7"/>
        <v>0</v>
      </c>
      <c r="W39" s="80" t="str">
        <f t="shared" si="8"/>
        <v/>
      </c>
      <c r="X39" s="80" t="str">
        <f t="shared" si="9"/>
        <v/>
      </c>
      <c r="Y39" s="80" t="str">
        <f t="shared" si="10"/>
        <v/>
      </c>
      <c r="Z39" s="11">
        <v>37</v>
      </c>
      <c r="AA39" s="77" t="str">
        <f>Data!B38</f>
        <v xml:space="preserve">JAPHETH MARTINA </v>
      </c>
      <c r="AB39" s="87">
        <v>8</v>
      </c>
      <c r="AC39" s="87">
        <v>9</v>
      </c>
      <c r="AD39" s="87">
        <v>6</v>
      </c>
      <c r="AE39" s="87">
        <v>10</v>
      </c>
      <c r="AF39" s="88">
        <f t="shared" si="11"/>
        <v>33</v>
      </c>
      <c r="AG39" s="87">
        <v>42</v>
      </c>
      <c r="AH39" s="88">
        <f t="shared" si="12"/>
        <v>75</v>
      </c>
      <c r="AI39" s="82">
        <f t="shared" si="13"/>
        <v>6</v>
      </c>
      <c r="AJ39" s="82" t="str">
        <f t="shared" si="14"/>
        <v>A1</v>
      </c>
      <c r="AK39" s="82" t="str">
        <f t="shared" si="15"/>
        <v>Excellent</v>
      </c>
      <c r="AL39" s="11">
        <v>37</v>
      </c>
      <c r="AM39" s="77" t="str">
        <f>Data!B38</f>
        <v xml:space="preserve">JAPHETH MARTINA </v>
      </c>
      <c r="AN39" s="87">
        <v>8</v>
      </c>
      <c r="AO39" s="87">
        <v>9</v>
      </c>
      <c r="AP39" s="87">
        <v>6</v>
      </c>
      <c r="AQ39" s="87">
        <v>10</v>
      </c>
      <c r="AR39" s="88">
        <f t="shared" si="16"/>
        <v>33</v>
      </c>
      <c r="AS39" s="87">
        <v>42</v>
      </c>
      <c r="AT39" s="88">
        <f t="shared" si="17"/>
        <v>75</v>
      </c>
      <c r="AU39" s="83">
        <f t="shared" si="18"/>
        <v>6</v>
      </c>
      <c r="AV39" s="83" t="str">
        <f t="shared" si="19"/>
        <v>A1</v>
      </c>
      <c r="AW39" s="83" t="str">
        <f t="shared" si="20"/>
        <v>Excellent</v>
      </c>
      <c r="AX39" s="11">
        <v>37</v>
      </c>
      <c r="AY39" s="77" t="str">
        <f>Data!B38</f>
        <v xml:space="preserve">JAPHETH MARTINA </v>
      </c>
      <c r="AZ39" s="87">
        <v>8</v>
      </c>
      <c r="BA39" s="87">
        <v>9</v>
      </c>
      <c r="BB39" s="87">
        <v>6</v>
      </c>
      <c r="BC39" s="87">
        <v>10</v>
      </c>
      <c r="BD39" s="88">
        <f t="shared" si="21"/>
        <v>33</v>
      </c>
      <c r="BE39" s="87">
        <v>42</v>
      </c>
      <c r="BF39" s="88">
        <f t="shared" si="22"/>
        <v>75</v>
      </c>
      <c r="BG39" s="85">
        <f t="shared" si="23"/>
        <v>6</v>
      </c>
      <c r="BH39" s="85" t="str">
        <f t="shared" si="24"/>
        <v>A1</v>
      </c>
      <c r="BI39" s="85" t="str">
        <f t="shared" si="25"/>
        <v>Excellent</v>
      </c>
      <c r="BJ39" s="36">
        <v>37</v>
      </c>
      <c r="BK39" s="77" t="str">
        <f>Data!B38</f>
        <v xml:space="preserve">JAPHETH MARTINA </v>
      </c>
      <c r="BL39" s="87">
        <v>8</v>
      </c>
      <c r="BM39" s="87">
        <v>9</v>
      </c>
      <c r="BN39" s="87">
        <v>6</v>
      </c>
      <c r="BO39" s="87">
        <v>10</v>
      </c>
      <c r="BP39" s="88">
        <f t="shared" si="26"/>
        <v>33</v>
      </c>
      <c r="BQ39" s="87">
        <v>42</v>
      </c>
      <c r="BR39" s="88">
        <f t="shared" si="27"/>
        <v>75</v>
      </c>
      <c r="BS39" s="86">
        <f t="shared" si="28"/>
        <v>6</v>
      </c>
      <c r="BT39" s="86" t="str">
        <f t="shared" si="29"/>
        <v>A1</v>
      </c>
      <c r="BU39" s="86" t="str">
        <f t="shared" si="30"/>
        <v>Excellent</v>
      </c>
      <c r="BV39">
        <v>37</v>
      </c>
      <c r="BW39" s="77" t="str">
        <f>Data!B38</f>
        <v xml:space="preserve">JAPHETH MARTINA </v>
      </c>
      <c r="BX39" s="87">
        <v>8</v>
      </c>
      <c r="BY39" s="87">
        <v>9</v>
      </c>
      <c r="BZ39" s="87">
        <v>6</v>
      </c>
      <c r="CA39" s="87">
        <v>10</v>
      </c>
      <c r="CB39" s="88">
        <f t="shared" si="31"/>
        <v>33</v>
      </c>
      <c r="CC39" s="87">
        <v>42</v>
      </c>
      <c r="CD39" s="88">
        <f t="shared" si="32"/>
        <v>75</v>
      </c>
      <c r="CE39" s="88">
        <f t="shared" si="33"/>
        <v>6</v>
      </c>
      <c r="CF39" s="88" t="str">
        <f t="shared" si="34"/>
        <v>A1</v>
      </c>
      <c r="CG39" s="88" t="str">
        <f t="shared" si="35"/>
        <v>Excellent</v>
      </c>
      <c r="CH39">
        <v>37</v>
      </c>
      <c r="CI39" s="77" t="str">
        <f>Data!B38</f>
        <v xml:space="preserve">JAPHETH MARTINA </v>
      </c>
      <c r="CJ39" s="78"/>
      <c r="CK39" s="78"/>
      <c r="CL39" s="78"/>
      <c r="CM39" s="78"/>
      <c r="CN39" s="89">
        <f t="shared" si="36"/>
        <v>0</v>
      </c>
      <c r="CO39" s="89"/>
      <c r="CP39" s="89">
        <f t="shared" si="37"/>
        <v>0</v>
      </c>
      <c r="CQ39" s="89" t="str">
        <f t="shared" si="38"/>
        <v/>
      </c>
      <c r="CR39" s="89" t="str">
        <f t="shared" si="39"/>
        <v/>
      </c>
      <c r="CS39" s="89" t="str">
        <f t="shared" si="40"/>
        <v/>
      </c>
      <c r="CT39">
        <v>37</v>
      </c>
      <c r="CU39" s="77" t="str">
        <f>Data!B38</f>
        <v xml:space="preserve">JAPHETH MARTINA </v>
      </c>
      <c r="CV39" s="12"/>
      <c r="CW39" s="12"/>
      <c r="CX39" s="12"/>
      <c r="CY39" s="12"/>
      <c r="CZ39" s="90">
        <f t="shared" si="41"/>
        <v>0</v>
      </c>
      <c r="DA39" s="12"/>
      <c r="DB39" s="90">
        <f t="shared" si="42"/>
        <v>0</v>
      </c>
      <c r="DC39" s="90" t="str">
        <f t="shared" si="43"/>
        <v/>
      </c>
      <c r="DD39" s="90" t="str">
        <f t="shared" si="44"/>
        <v/>
      </c>
      <c r="DE39" s="90" t="str">
        <f t="shared" si="45"/>
        <v/>
      </c>
      <c r="DF39">
        <v>37</v>
      </c>
      <c r="DG39" s="77" t="str">
        <f>Data!B38</f>
        <v xml:space="preserve">JAPHETH MARTINA </v>
      </c>
      <c r="DH39" s="78"/>
      <c r="DI39" s="78"/>
      <c r="DJ39" s="78"/>
      <c r="DK39" s="78"/>
      <c r="DL39" s="85">
        <f t="shared" si="46"/>
        <v>0</v>
      </c>
      <c r="DM39" s="84"/>
      <c r="DN39" s="85">
        <f t="shared" si="47"/>
        <v>0</v>
      </c>
      <c r="DO39" s="85" t="str">
        <f t="shared" si="48"/>
        <v/>
      </c>
      <c r="DP39" s="85" t="str">
        <f t="shared" si="49"/>
        <v/>
      </c>
      <c r="DQ39" s="85" t="str">
        <f t="shared" si="50"/>
        <v/>
      </c>
      <c r="DR39">
        <v>37</v>
      </c>
      <c r="DS39" s="77" t="str">
        <f>Data!B38</f>
        <v xml:space="preserve">JAPHETH MARTINA </v>
      </c>
      <c r="DT39" s="91"/>
      <c r="DU39" s="91"/>
      <c r="DV39" s="91"/>
      <c r="DW39" s="91"/>
      <c r="DX39" s="92">
        <f t="shared" si="51"/>
        <v>0</v>
      </c>
      <c r="DY39" s="93"/>
      <c r="DZ39" s="92">
        <f t="shared" si="52"/>
        <v>0</v>
      </c>
      <c r="EA39" s="92" t="str">
        <f t="shared" si="53"/>
        <v/>
      </c>
      <c r="EB39" s="92" t="str">
        <f t="shared" si="54"/>
        <v/>
      </c>
      <c r="EC39" s="92" t="str">
        <f t="shared" si="55"/>
        <v/>
      </c>
      <c r="ED39">
        <v>37</v>
      </c>
      <c r="EE39" s="77" t="str">
        <f>Data!B38</f>
        <v xml:space="preserve">JAPHETH MARTINA </v>
      </c>
      <c r="EF39" s="78"/>
      <c r="EG39" s="78"/>
      <c r="EH39" s="78"/>
      <c r="EI39" s="78"/>
      <c r="EJ39" s="94">
        <f t="shared" si="56"/>
        <v>0</v>
      </c>
      <c r="EK39" s="94"/>
      <c r="EL39" s="94">
        <f t="shared" si="57"/>
        <v>0</v>
      </c>
      <c r="EM39" s="94" t="str">
        <f t="shared" si="58"/>
        <v/>
      </c>
      <c r="EN39" s="94" t="str">
        <f t="shared" si="59"/>
        <v/>
      </c>
      <c r="EO39" s="94" t="str">
        <f t="shared" si="60"/>
        <v/>
      </c>
      <c r="EP39">
        <v>37</v>
      </c>
      <c r="EQ39" s="95" t="str">
        <f>Data!B38</f>
        <v xml:space="preserve">JAPHETH MARTINA </v>
      </c>
      <c r="ER39" s="78"/>
      <c r="ES39" s="78"/>
      <c r="ET39" s="78"/>
      <c r="EU39" s="78"/>
      <c r="EV39" s="90">
        <f t="shared" si="61"/>
        <v>0</v>
      </c>
      <c r="EW39" s="90"/>
      <c r="EX39" s="90">
        <f t="shared" si="62"/>
        <v>0</v>
      </c>
      <c r="EY39" s="90" t="str">
        <f t="shared" si="63"/>
        <v/>
      </c>
      <c r="EZ39" s="90" t="str">
        <f t="shared" si="64"/>
        <v/>
      </c>
      <c r="FA39" s="90" t="str">
        <f t="shared" si="65"/>
        <v/>
      </c>
      <c r="FB39">
        <v>37</v>
      </c>
      <c r="FC39" s="77" t="str">
        <f>Data!B38</f>
        <v xml:space="preserve">JAPHETH MARTINA </v>
      </c>
      <c r="FD39" s="78"/>
      <c r="FE39" s="78"/>
      <c r="FF39" s="78"/>
      <c r="FG39" s="78"/>
      <c r="FH39" s="96">
        <f t="shared" si="66"/>
        <v>0</v>
      </c>
      <c r="FI39" s="96"/>
      <c r="FJ39" s="96">
        <f t="shared" si="67"/>
        <v>0</v>
      </c>
      <c r="FK39" s="96" t="str">
        <f t="shared" si="68"/>
        <v/>
      </c>
      <c r="FL39" s="96" t="str">
        <f t="shared" si="69"/>
        <v/>
      </c>
      <c r="FM39" s="96" t="str">
        <f t="shared" si="70"/>
        <v/>
      </c>
      <c r="FN39">
        <v>37</v>
      </c>
      <c r="FO39" s="77" t="str">
        <f>Data!B38</f>
        <v xml:space="preserve">JAPHETH MARTINA </v>
      </c>
      <c r="FP39" s="78"/>
      <c r="FQ39" s="78"/>
      <c r="FR39" s="78"/>
      <c r="FS39" s="78"/>
      <c r="FT39" s="97">
        <f t="shared" si="71"/>
        <v>0</v>
      </c>
      <c r="FU39" s="97"/>
      <c r="FV39" s="97">
        <f t="shared" si="72"/>
        <v>0</v>
      </c>
      <c r="FW39" s="97" t="str">
        <f t="shared" si="73"/>
        <v/>
      </c>
      <c r="FX39" s="97" t="str">
        <f t="shared" si="74"/>
        <v/>
      </c>
      <c r="FY39" s="97" t="str">
        <f t="shared" si="75"/>
        <v/>
      </c>
      <c r="FZ39">
        <v>37</v>
      </c>
      <c r="GA39" s="77" t="str">
        <f>Data!B38</f>
        <v xml:space="preserve">JAPHETH MARTINA </v>
      </c>
      <c r="GB39" s="78"/>
      <c r="GC39" s="78"/>
      <c r="GD39" s="78"/>
      <c r="GE39" s="78"/>
      <c r="GF39" s="98">
        <f t="shared" si="76"/>
        <v>0</v>
      </c>
      <c r="GG39" s="98"/>
      <c r="GH39" s="98">
        <f t="shared" si="77"/>
        <v>0</v>
      </c>
      <c r="GI39" s="98" t="str">
        <f t="shared" si="78"/>
        <v/>
      </c>
      <c r="GJ39" s="98" t="str">
        <f t="shared" si="79"/>
        <v/>
      </c>
      <c r="GK39" s="98" t="str">
        <f t="shared" si="80"/>
        <v/>
      </c>
      <c r="GL39">
        <v>37</v>
      </c>
      <c r="GM39" s="77" t="str">
        <f>Data!B38</f>
        <v xml:space="preserve">JAPHETH MARTINA </v>
      </c>
      <c r="GN39" s="99"/>
      <c r="GO39" s="99"/>
      <c r="GP39" s="99"/>
      <c r="GQ39" s="99"/>
      <c r="GR39" s="100">
        <f t="shared" si="81"/>
        <v>0</v>
      </c>
      <c r="GS39" s="99"/>
      <c r="GT39" s="100">
        <f t="shared" si="82"/>
        <v>0</v>
      </c>
      <c r="GU39" s="100" t="str">
        <f t="shared" si="83"/>
        <v/>
      </c>
      <c r="GV39" s="100" t="str">
        <f t="shared" si="84"/>
        <v/>
      </c>
      <c r="GW39" s="100" t="str">
        <f t="shared" si="85"/>
        <v/>
      </c>
      <c r="GX39">
        <v>37</v>
      </c>
      <c r="GY39" s="77" t="str">
        <f>Data!B38</f>
        <v xml:space="preserve">JAPHETH MARTINA </v>
      </c>
      <c r="GZ39" s="78"/>
      <c r="HA39" s="78"/>
      <c r="HB39" s="78"/>
      <c r="HC39" s="78"/>
      <c r="HD39" s="86">
        <f t="shared" si="86"/>
        <v>0</v>
      </c>
      <c r="HE39" s="86"/>
      <c r="HF39" s="86">
        <f t="shared" si="87"/>
        <v>0</v>
      </c>
      <c r="HG39" s="86" t="str">
        <f t="shared" si="88"/>
        <v/>
      </c>
      <c r="HH39" s="86" t="str">
        <f t="shared" si="89"/>
        <v/>
      </c>
      <c r="HI39" s="86" t="str">
        <f t="shared" si="90"/>
        <v/>
      </c>
      <c r="HJ39">
        <v>37</v>
      </c>
      <c r="HK39" s="77" t="str">
        <f>Data!B38</f>
        <v xml:space="preserve">JAPHETH MARTINA </v>
      </c>
      <c r="HL39" s="111">
        <v>6</v>
      </c>
      <c r="HM39" s="112">
        <v>8</v>
      </c>
      <c r="HN39" s="112">
        <v>10</v>
      </c>
      <c r="HO39" s="112">
        <v>10</v>
      </c>
      <c r="HP39" s="103">
        <f t="shared" si="91"/>
        <v>34</v>
      </c>
      <c r="HQ39" s="111"/>
      <c r="HR39" s="103">
        <f t="shared" si="92"/>
        <v>34</v>
      </c>
      <c r="HS39" s="103">
        <f t="shared" si="93"/>
        <v>7</v>
      </c>
      <c r="HT39" s="103" t="str">
        <f t="shared" si="94"/>
        <v>F</v>
      </c>
      <c r="HU39" s="103" t="str">
        <f t="shared" si="95"/>
        <v>Fail</v>
      </c>
      <c r="HV39">
        <v>37</v>
      </c>
      <c r="HW39" s="77" t="str">
        <f>Data!B38</f>
        <v xml:space="preserve">JAPHETH MARTINA </v>
      </c>
      <c r="HX39" s="78"/>
      <c r="HY39" s="78"/>
      <c r="HZ39" s="78"/>
      <c r="IA39" s="78"/>
      <c r="IB39" s="85">
        <f t="shared" si="96"/>
        <v>0</v>
      </c>
      <c r="IC39" s="85"/>
      <c r="ID39" s="85">
        <f t="shared" si="97"/>
        <v>0</v>
      </c>
      <c r="IE39" s="85" t="str">
        <f t="shared" si="98"/>
        <v/>
      </c>
      <c r="IF39" s="85" t="str">
        <f t="shared" si="99"/>
        <v/>
      </c>
      <c r="IG39" s="85" t="str">
        <f t="shared" si="100"/>
        <v/>
      </c>
      <c r="IH39">
        <v>37</v>
      </c>
      <c r="II39" s="77" t="str">
        <f>Data!B38</f>
        <v xml:space="preserve">JAPHETH MARTINA </v>
      </c>
      <c r="IJ39" s="78"/>
      <c r="IK39" s="78"/>
      <c r="IL39" s="78"/>
      <c r="IM39" s="78"/>
      <c r="IN39" s="104">
        <f t="shared" si="101"/>
        <v>0</v>
      </c>
      <c r="IO39" s="104"/>
      <c r="IP39" s="104">
        <f t="shared" si="102"/>
        <v>0</v>
      </c>
      <c r="IQ39" s="104" t="str">
        <f t="shared" si="103"/>
        <v/>
      </c>
      <c r="IR39" s="104" t="str">
        <f t="shared" si="104"/>
        <v/>
      </c>
      <c r="IS39" s="104" t="str">
        <f t="shared" si="105"/>
        <v/>
      </c>
      <c r="IT39">
        <v>37</v>
      </c>
      <c r="IU39" s="77" t="str">
        <f t="shared" si="106"/>
        <v xml:space="preserve">JAPHETH MARTINA </v>
      </c>
      <c r="IV39" s="105"/>
      <c r="IW39" s="105"/>
      <c r="IX39" s="105"/>
      <c r="IY39" s="105"/>
      <c r="IZ39" s="98">
        <f t="shared" si="107"/>
        <v>0</v>
      </c>
      <c r="JA39" s="105"/>
      <c r="JB39" s="98">
        <f t="shared" si="108"/>
        <v>0</v>
      </c>
      <c r="JC39" s="98" t="str">
        <f t="shared" si="109"/>
        <v/>
      </c>
      <c r="JD39" s="98" t="str">
        <f t="shared" si="110"/>
        <v/>
      </c>
      <c r="JE39" s="98" t="str">
        <f t="shared" si="111"/>
        <v/>
      </c>
      <c r="JF39">
        <v>37</v>
      </c>
      <c r="JG39" s="77" t="str">
        <f t="shared" si="112"/>
        <v xml:space="preserve">JAPHETH MARTINA </v>
      </c>
      <c r="JH39" s="114"/>
      <c r="JI39" s="114"/>
      <c r="JJ39" s="114"/>
      <c r="JK39" s="114"/>
      <c r="JL39" s="82">
        <f t="shared" si="113"/>
        <v>0</v>
      </c>
      <c r="JM39" s="114"/>
      <c r="JN39" s="82">
        <f t="shared" si="114"/>
        <v>0</v>
      </c>
      <c r="JO39" s="82" t="str">
        <f t="shared" si="115"/>
        <v/>
      </c>
      <c r="JP39" s="82" t="str">
        <f t="shared" si="116"/>
        <v/>
      </c>
      <c r="JQ39" s="82" t="str">
        <f t="shared" si="117"/>
        <v/>
      </c>
      <c r="JR39">
        <v>37</v>
      </c>
      <c r="JS39" s="77" t="str">
        <f t="shared" si="118"/>
        <v xml:space="preserve">JAPHETH MARTINA </v>
      </c>
      <c r="JT39" s="107"/>
      <c r="JU39" s="107"/>
      <c r="JV39" s="107"/>
      <c r="JW39" s="107"/>
      <c r="JX39" s="80">
        <f t="shared" si="119"/>
        <v>0</v>
      </c>
      <c r="JY39" s="108"/>
      <c r="JZ39" s="80">
        <f t="shared" si="0"/>
        <v>0</v>
      </c>
      <c r="KA39" s="80" t="str">
        <f t="shared" si="120"/>
        <v/>
      </c>
      <c r="KB39" s="80" t="str">
        <f t="shared" si="121"/>
        <v/>
      </c>
      <c r="KC39" s="80" t="str">
        <f t="shared" si="122"/>
        <v/>
      </c>
      <c r="KE39" s="16"/>
      <c r="KF39" s="16"/>
      <c r="KG39" s="16"/>
      <c r="KH39" s="16"/>
      <c r="KI39" s="16"/>
      <c r="KJ39" s="16"/>
      <c r="KK39" s="16"/>
      <c r="KL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</row>
    <row r="40" spans="1:309" ht="23.25">
      <c r="A40" s="17">
        <v>38</v>
      </c>
      <c r="B40" s="186">
        <v>38</v>
      </c>
      <c r="C40" s="77" t="str">
        <f>Data!B39</f>
        <v>JOSEPH FAITH AKAN</v>
      </c>
      <c r="D40" s="87">
        <v>5</v>
      </c>
      <c r="E40" s="87">
        <v>5</v>
      </c>
      <c r="F40" s="87">
        <v>6</v>
      </c>
      <c r="G40" s="87">
        <v>9</v>
      </c>
      <c r="H40" s="88">
        <f t="shared" si="1"/>
        <v>25</v>
      </c>
      <c r="I40" s="87">
        <v>21</v>
      </c>
      <c r="J40" s="88">
        <f t="shared" si="2"/>
        <v>46</v>
      </c>
      <c r="K40" s="79">
        <f t="shared" si="3"/>
        <v>40</v>
      </c>
      <c r="L40" s="79" t="str">
        <f t="shared" si="4"/>
        <v>D7</v>
      </c>
      <c r="M40" s="79" t="str">
        <f t="shared" si="5"/>
        <v>Pass</v>
      </c>
      <c r="N40" s="17">
        <v>38</v>
      </c>
      <c r="O40" s="77" t="str">
        <f>Data!B39</f>
        <v>JOSEPH FAITH AKAN</v>
      </c>
      <c r="P40" s="78"/>
      <c r="Q40" s="78"/>
      <c r="R40" s="78"/>
      <c r="S40" s="78"/>
      <c r="T40" s="80">
        <f t="shared" si="6"/>
        <v>0</v>
      </c>
      <c r="U40" s="80"/>
      <c r="V40" s="80">
        <f t="shared" si="7"/>
        <v>0</v>
      </c>
      <c r="W40" s="80" t="str">
        <f t="shared" si="8"/>
        <v/>
      </c>
      <c r="X40" s="80" t="str">
        <f t="shared" si="9"/>
        <v/>
      </c>
      <c r="Y40" s="80" t="str">
        <f t="shared" si="10"/>
        <v/>
      </c>
      <c r="Z40" s="11">
        <v>38</v>
      </c>
      <c r="AA40" s="77" t="str">
        <f>Data!B39</f>
        <v>JOSEPH FAITH AKAN</v>
      </c>
      <c r="AB40" s="87">
        <v>5</v>
      </c>
      <c r="AC40" s="87">
        <v>5</v>
      </c>
      <c r="AD40" s="87">
        <v>6</v>
      </c>
      <c r="AE40" s="87">
        <v>9</v>
      </c>
      <c r="AF40" s="88">
        <f t="shared" si="11"/>
        <v>25</v>
      </c>
      <c r="AG40" s="87">
        <v>21</v>
      </c>
      <c r="AH40" s="88">
        <f t="shared" si="12"/>
        <v>46</v>
      </c>
      <c r="AI40" s="82">
        <f t="shared" si="13"/>
        <v>40</v>
      </c>
      <c r="AJ40" s="82" t="str">
        <f t="shared" si="14"/>
        <v>D7</v>
      </c>
      <c r="AK40" s="82" t="str">
        <f t="shared" si="15"/>
        <v>Pass</v>
      </c>
      <c r="AL40" s="11">
        <v>38</v>
      </c>
      <c r="AM40" s="77" t="str">
        <f>Data!B39</f>
        <v>JOSEPH FAITH AKAN</v>
      </c>
      <c r="AN40" s="87">
        <v>5</v>
      </c>
      <c r="AO40" s="87">
        <v>5</v>
      </c>
      <c r="AP40" s="87">
        <v>6</v>
      </c>
      <c r="AQ40" s="87">
        <v>9</v>
      </c>
      <c r="AR40" s="88">
        <f t="shared" si="16"/>
        <v>25</v>
      </c>
      <c r="AS40" s="87">
        <v>21</v>
      </c>
      <c r="AT40" s="88">
        <f t="shared" si="17"/>
        <v>46</v>
      </c>
      <c r="AU40" s="83">
        <f t="shared" si="18"/>
        <v>40</v>
      </c>
      <c r="AV40" s="83" t="str">
        <f t="shared" si="19"/>
        <v>D7</v>
      </c>
      <c r="AW40" s="83" t="str">
        <f t="shared" si="20"/>
        <v>Pass</v>
      </c>
      <c r="AX40" s="11">
        <v>38</v>
      </c>
      <c r="AY40" s="77" t="str">
        <f>Data!B39</f>
        <v>JOSEPH FAITH AKAN</v>
      </c>
      <c r="AZ40" s="87">
        <v>5</v>
      </c>
      <c r="BA40" s="87">
        <v>5</v>
      </c>
      <c r="BB40" s="87">
        <v>6</v>
      </c>
      <c r="BC40" s="87">
        <v>9</v>
      </c>
      <c r="BD40" s="88">
        <f t="shared" si="21"/>
        <v>25</v>
      </c>
      <c r="BE40" s="87">
        <v>21</v>
      </c>
      <c r="BF40" s="88">
        <f t="shared" si="22"/>
        <v>46</v>
      </c>
      <c r="BG40" s="85">
        <f t="shared" si="23"/>
        <v>40</v>
      </c>
      <c r="BH40" s="85" t="str">
        <f t="shared" si="24"/>
        <v>D7</v>
      </c>
      <c r="BI40" s="85" t="str">
        <f t="shared" si="25"/>
        <v>Pass</v>
      </c>
      <c r="BJ40" s="36">
        <v>38</v>
      </c>
      <c r="BK40" s="77" t="str">
        <f>Data!B39</f>
        <v>JOSEPH FAITH AKAN</v>
      </c>
      <c r="BL40" s="87">
        <v>5</v>
      </c>
      <c r="BM40" s="87">
        <v>5</v>
      </c>
      <c r="BN40" s="87">
        <v>6</v>
      </c>
      <c r="BO40" s="87">
        <v>9</v>
      </c>
      <c r="BP40" s="88">
        <f t="shared" si="26"/>
        <v>25</v>
      </c>
      <c r="BQ40" s="87">
        <v>21</v>
      </c>
      <c r="BR40" s="88">
        <f t="shared" si="27"/>
        <v>46</v>
      </c>
      <c r="BS40" s="86">
        <f t="shared" si="28"/>
        <v>40</v>
      </c>
      <c r="BT40" s="86" t="str">
        <f t="shared" si="29"/>
        <v>D7</v>
      </c>
      <c r="BU40" s="86" t="str">
        <f t="shared" si="30"/>
        <v>Pass</v>
      </c>
      <c r="BV40">
        <v>38</v>
      </c>
      <c r="BW40" s="77" t="str">
        <f>Data!B39</f>
        <v>JOSEPH FAITH AKAN</v>
      </c>
      <c r="BX40" s="87">
        <v>5</v>
      </c>
      <c r="BY40" s="87">
        <v>5</v>
      </c>
      <c r="BZ40" s="87">
        <v>6</v>
      </c>
      <c r="CA40" s="87">
        <v>9</v>
      </c>
      <c r="CB40" s="88">
        <f t="shared" si="31"/>
        <v>25</v>
      </c>
      <c r="CC40" s="87">
        <v>21</v>
      </c>
      <c r="CD40" s="88">
        <f t="shared" si="32"/>
        <v>46</v>
      </c>
      <c r="CE40" s="88">
        <f t="shared" si="33"/>
        <v>40</v>
      </c>
      <c r="CF40" s="88" t="str">
        <f t="shared" si="34"/>
        <v>D7</v>
      </c>
      <c r="CG40" s="88" t="str">
        <f t="shared" si="35"/>
        <v>Pass</v>
      </c>
      <c r="CH40">
        <v>38</v>
      </c>
      <c r="CI40" s="77" t="str">
        <f>Data!B39</f>
        <v>JOSEPH FAITH AKAN</v>
      </c>
      <c r="CJ40" s="78"/>
      <c r="CK40" s="78"/>
      <c r="CL40" s="78"/>
      <c r="CM40" s="78"/>
      <c r="CN40" s="89">
        <f t="shared" si="36"/>
        <v>0</v>
      </c>
      <c r="CO40" s="89"/>
      <c r="CP40" s="89">
        <f t="shared" si="37"/>
        <v>0</v>
      </c>
      <c r="CQ40" s="89" t="str">
        <f t="shared" si="38"/>
        <v/>
      </c>
      <c r="CR40" s="89" t="str">
        <f t="shared" si="39"/>
        <v/>
      </c>
      <c r="CS40" s="89" t="str">
        <f t="shared" si="40"/>
        <v/>
      </c>
      <c r="CT40">
        <v>38</v>
      </c>
      <c r="CU40" s="77" t="str">
        <f>Data!B39</f>
        <v>JOSEPH FAITH AKAN</v>
      </c>
      <c r="CV40" s="12"/>
      <c r="CW40" s="12"/>
      <c r="CX40" s="12"/>
      <c r="CY40" s="12"/>
      <c r="CZ40" s="90">
        <f t="shared" si="41"/>
        <v>0</v>
      </c>
      <c r="DA40" s="12"/>
      <c r="DB40" s="90">
        <f t="shared" si="42"/>
        <v>0</v>
      </c>
      <c r="DC40" s="90" t="str">
        <f t="shared" si="43"/>
        <v/>
      </c>
      <c r="DD40" s="90" t="str">
        <f t="shared" si="44"/>
        <v/>
      </c>
      <c r="DE40" s="90" t="str">
        <f t="shared" si="45"/>
        <v/>
      </c>
      <c r="DF40">
        <v>38</v>
      </c>
      <c r="DG40" s="77" t="str">
        <f>Data!B39</f>
        <v>JOSEPH FAITH AKAN</v>
      </c>
      <c r="DH40" s="78">
        <v>3</v>
      </c>
      <c r="DI40" s="78"/>
      <c r="DJ40" s="78"/>
      <c r="DK40" s="78"/>
      <c r="DL40" s="85">
        <f t="shared" si="46"/>
        <v>3</v>
      </c>
      <c r="DM40" s="84"/>
      <c r="DN40" s="85">
        <f t="shared" si="47"/>
        <v>3</v>
      </c>
      <c r="DO40" s="85" t="str">
        <f t="shared" si="48"/>
        <v/>
      </c>
      <c r="DP40" s="85" t="str">
        <f t="shared" si="49"/>
        <v/>
      </c>
      <c r="DQ40" s="85" t="str">
        <f t="shared" si="50"/>
        <v/>
      </c>
      <c r="DR40">
        <v>38</v>
      </c>
      <c r="DS40" s="77" t="str">
        <f>Data!B39</f>
        <v>JOSEPH FAITH AKAN</v>
      </c>
      <c r="DT40" s="91"/>
      <c r="DU40" s="91"/>
      <c r="DV40" s="91"/>
      <c r="DW40" s="91"/>
      <c r="DX40" s="92">
        <f t="shared" si="51"/>
        <v>0</v>
      </c>
      <c r="DY40" s="93"/>
      <c r="DZ40" s="92">
        <f t="shared" si="52"/>
        <v>0</v>
      </c>
      <c r="EA40" s="92" t="str">
        <f t="shared" si="53"/>
        <v/>
      </c>
      <c r="EB40" s="92" t="str">
        <f t="shared" si="54"/>
        <v/>
      </c>
      <c r="EC40" s="92" t="str">
        <f t="shared" si="55"/>
        <v/>
      </c>
      <c r="ED40">
        <v>38</v>
      </c>
      <c r="EE40" s="77" t="str">
        <f>Data!B39</f>
        <v>JOSEPH FAITH AKAN</v>
      </c>
      <c r="EF40" s="78"/>
      <c r="EG40" s="78"/>
      <c r="EH40" s="78"/>
      <c r="EI40" s="78"/>
      <c r="EJ40" s="94">
        <f t="shared" si="56"/>
        <v>0</v>
      </c>
      <c r="EK40" s="94"/>
      <c r="EL40" s="94">
        <f t="shared" si="57"/>
        <v>0</v>
      </c>
      <c r="EM40" s="94" t="str">
        <f t="shared" si="58"/>
        <v/>
      </c>
      <c r="EN40" s="94" t="str">
        <f t="shared" si="59"/>
        <v/>
      </c>
      <c r="EO40" s="94" t="str">
        <f t="shared" si="60"/>
        <v/>
      </c>
      <c r="EP40">
        <v>38</v>
      </c>
      <c r="EQ40" s="95" t="str">
        <f>Data!B39</f>
        <v>JOSEPH FAITH AKAN</v>
      </c>
      <c r="ER40" s="78"/>
      <c r="ES40" s="78"/>
      <c r="ET40" s="78"/>
      <c r="EU40" s="78"/>
      <c r="EV40" s="90">
        <f t="shared" si="61"/>
        <v>0</v>
      </c>
      <c r="EW40" s="90"/>
      <c r="EX40" s="90">
        <f t="shared" si="62"/>
        <v>0</v>
      </c>
      <c r="EY40" s="90" t="str">
        <f t="shared" si="63"/>
        <v/>
      </c>
      <c r="EZ40" s="90" t="str">
        <f t="shared" si="64"/>
        <v/>
      </c>
      <c r="FA40" s="90" t="str">
        <f t="shared" si="65"/>
        <v/>
      </c>
      <c r="FB40">
        <v>38</v>
      </c>
      <c r="FC40" s="77" t="str">
        <f>Data!B39</f>
        <v>JOSEPH FAITH AKAN</v>
      </c>
      <c r="FD40" s="78"/>
      <c r="FE40" s="78"/>
      <c r="FF40" s="78"/>
      <c r="FG40" s="78"/>
      <c r="FH40" s="96">
        <f t="shared" si="66"/>
        <v>0</v>
      </c>
      <c r="FI40" s="96"/>
      <c r="FJ40" s="96">
        <f t="shared" si="67"/>
        <v>0</v>
      </c>
      <c r="FK40" s="96" t="str">
        <f t="shared" si="68"/>
        <v/>
      </c>
      <c r="FL40" s="96" t="str">
        <f t="shared" si="69"/>
        <v/>
      </c>
      <c r="FM40" s="96" t="str">
        <f t="shared" si="70"/>
        <v/>
      </c>
      <c r="FN40">
        <v>38</v>
      </c>
      <c r="FO40" s="77" t="str">
        <f>Data!B39</f>
        <v>JOSEPH FAITH AKAN</v>
      </c>
      <c r="FP40" s="78"/>
      <c r="FQ40" s="78"/>
      <c r="FR40" s="78"/>
      <c r="FS40" s="78"/>
      <c r="FT40" s="97">
        <f t="shared" si="71"/>
        <v>0</v>
      </c>
      <c r="FU40" s="97"/>
      <c r="FV40" s="97">
        <f t="shared" si="72"/>
        <v>0</v>
      </c>
      <c r="FW40" s="97" t="str">
        <f t="shared" si="73"/>
        <v/>
      </c>
      <c r="FX40" s="97" t="str">
        <f t="shared" si="74"/>
        <v/>
      </c>
      <c r="FY40" s="97" t="str">
        <f t="shared" si="75"/>
        <v/>
      </c>
      <c r="FZ40">
        <v>38</v>
      </c>
      <c r="GA40" s="77" t="str">
        <f>Data!B39</f>
        <v>JOSEPH FAITH AKAN</v>
      </c>
      <c r="GB40" s="78"/>
      <c r="GC40" s="78"/>
      <c r="GD40" s="78"/>
      <c r="GE40" s="78"/>
      <c r="GF40" s="98">
        <f t="shared" si="76"/>
        <v>0</v>
      </c>
      <c r="GG40" s="98"/>
      <c r="GH40" s="98">
        <f t="shared" si="77"/>
        <v>0</v>
      </c>
      <c r="GI40" s="98" t="str">
        <f t="shared" si="78"/>
        <v/>
      </c>
      <c r="GJ40" s="98" t="str">
        <f t="shared" si="79"/>
        <v/>
      </c>
      <c r="GK40" s="98" t="str">
        <f t="shared" si="80"/>
        <v/>
      </c>
      <c r="GL40">
        <v>38</v>
      </c>
      <c r="GM40" s="77" t="str">
        <f>Data!B39</f>
        <v>JOSEPH FAITH AKAN</v>
      </c>
      <c r="GN40" s="99"/>
      <c r="GO40" s="99"/>
      <c r="GP40" s="99"/>
      <c r="GQ40" s="99"/>
      <c r="GR40" s="100">
        <f t="shared" si="81"/>
        <v>0</v>
      </c>
      <c r="GS40" s="99"/>
      <c r="GT40" s="100">
        <f t="shared" si="82"/>
        <v>0</v>
      </c>
      <c r="GU40" s="100" t="str">
        <f t="shared" si="83"/>
        <v/>
      </c>
      <c r="GV40" s="100" t="str">
        <f t="shared" si="84"/>
        <v/>
      </c>
      <c r="GW40" s="100" t="str">
        <f t="shared" si="85"/>
        <v/>
      </c>
      <c r="GX40">
        <v>38</v>
      </c>
      <c r="GY40" s="77" t="str">
        <f>Data!B39</f>
        <v>JOSEPH FAITH AKAN</v>
      </c>
      <c r="GZ40" s="78"/>
      <c r="HA40" s="78"/>
      <c r="HB40" s="78"/>
      <c r="HC40" s="78"/>
      <c r="HD40" s="86">
        <f t="shared" si="86"/>
        <v>0</v>
      </c>
      <c r="HE40" s="86"/>
      <c r="HF40" s="86">
        <f t="shared" si="87"/>
        <v>0</v>
      </c>
      <c r="HG40" s="86" t="str">
        <f t="shared" si="88"/>
        <v/>
      </c>
      <c r="HH40" s="86" t="str">
        <f t="shared" si="89"/>
        <v/>
      </c>
      <c r="HI40" s="86" t="str">
        <f t="shared" si="90"/>
        <v/>
      </c>
      <c r="HJ40">
        <v>38</v>
      </c>
      <c r="HK40" s="77" t="str">
        <f>Data!B39</f>
        <v>JOSEPH FAITH AKAN</v>
      </c>
      <c r="HL40" s="111"/>
      <c r="HM40" s="112"/>
      <c r="HN40" s="112"/>
      <c r="HO40" s="112"/>
      <c r="HP40" s="103">
        <f t="shared" si="91"/>
        <v>0</v>
      </c>
      <c r="HQ40" s="111"/>
      <c r="HR40" s="103">
        <f t="shared" si="92"/>
        <v>0</v>
      </c>
      <c r="HS40" s="103" t="str">
        <f t="shared" si="93"/>
        <v/>
      </c>
      <c r="HT40" s="103" t="str">
        <f t="shared" si="94"/>
        <v/>
      </c>
      <c r="HU40" s="103" t="str">
        <f t="shared" si="95"/>
        <v/>
      </c>
      <c r="HV40">
        <v>38</v>
      </c>
      <c r="HW40" s="77" t="str">
        <f>Data!B39</f>
        <v>JOSEPH FAITH AKAN</v>
      </c>
      <c r="HX40" s="78"/>
      <c r="HY40" s="78"/>
      <c r="HZ40" s="78"/>
      <c r="IA40" s="78"/>
      <c r="IB40" s="85">
        <f t="shared" si="96"/>
        <v>0</v>
      </c>
      <c r="IC40" s="85"/>
      <c r="ID40" s="85">
        <f t="shared" si="97"/>
        <v>0</v>
      </c>
      <c r="IE40" s="85" t="str">
        <f t="shared" si="98"/>
        <v/>
      </c>
      <c r="IF40" s="85" t="str">
        <f t="shared" si="99"/>
        <v/>
      </c>
      <c r="IG40" s="85" t="str">
        <f t="shared" si="100"/>
        <v/>
      </c>
      <c r="IH40">
        <v>38</v>
      </c>
      <c r="II40" s="77" t="str">
        <f>Data!B39</f>
        <v>JOSEPH FAITH AKAN</v>
      </c>
      <c r="IJ40" s="78"/>
      <c r="IK40" s="78"/>
      <c r="IL40" s="78"/>
      <c r="IM40" s="78"/>
      <c r="IN40" s="104">
        <f t="shared" si="101"/>
        <v>0</v>
      </c>
      <c r="IO40" s="104"/>
      <c r="IP40" s="104">
        <f t="shared" si="102"/>
        <v>0</v>
      </c>
      <c r="IQ40" s="104" t="str">
        <f t="shared" si="103"/>
        <v/>
      </c>
      <c r="IR40" s="104" t="str">
        <f t="shared" si="104"/>
        <v/>
      </c>
      <c r="IS40" s="104" t="str">
        <f t="shared" si="105"/>
        <v/>
      </c>
      <c r="IT40">
        <v>38</v>
      </c>
      <c r="IU40" s="77" t="str">
        <f t="shared" si="106"/>
        <v>JOSEPH FAITH AKAN</v>
      </c>
      <c r="IV40" s="105"/>
      <c r="IW40" s="105"/>
      <c r="IX40" s="105"/>
      <c r="IY40" s="105"/>
      <c r="IZ40" s="98">
        <f t="shared" si="107"/>
        <v>0</v>
      </c>
      <c r="JA40" s="105"/>
      <c r="JB40" s="98">
        <f t="shared" si="108"/>
        <v>0</v>
      </c>
      <c r="JC40" s="98" t="str">
        <f t="shared" si="109"/>
        <v/>
      </c>
      <c r="JD40" s="98" t="str">
        <f t="shared" si="110"/>
        <v/>
      </c>
      <c r="JE40" s="98" t="str">
        <f t="shared" si="111"/>
        <v/>
      </c>
      <c r="JF40">
        <v>38</v>
      </c>
      <c r="JG40" s="77" t="str">
        <f t="shared" si="112"/>
        <v>JOSEPH FAITH AKAN</v>
      </c>
      <c r="JH40" s="114"/>
      <c r="JI40" s="114"/>
      <c r="JJ40" s="114"/>
      <c r="JK40" s="114"/>
      <c r="JL40" s="82">
        <f t="shared" si="113"/>
        <v>0</v>
      </c>
      <c r="JM40" s="114"/>
      <c r="JN40" s="82">
        <f t="shared" si="114"/>
        <v>0</v>
      </c>
      <c r="JO40" s="82" t="str">
        <f t="shared" si="115"/>
        <v/>
      </c>
      <c r="JP40" s="82" t="str">
        <f t="shared" si="116"/>
        <v/>
      </c>
      <c r="JQ40" s="82" t="str">
        <f t="shared" si="117"/>
        <v/>
      </c>
      <c r="JR40">
        <v>38</v>
      </c>
      <c r="JS40" s="77" t="str">
        <f t="shared" si="118"/>
        <v>JOSEPH FAITH AKAN</v>
      </c>
      <c r="JT40" s="107"/>
      <c r="JU40" s="107"/>
      <c r="JV40" s="107"/>
      <c r="JW40" s="107"/>
      <c r="JX40" s="80">
        <f t="shared" si="119"/>
        <v>0</v>
      </c>
      <c r="JY40" s="108"/>
      <c r="JZ40" s="80">
        <f t="shared" si="0"/>
        <v>0</v>
      </c>
      <c r="KA40" s="80" t="str">
        <f t="shared" si="120"/>
        <v/>
      </c>
      <c r="KB40" s="80" t="str">
        <f t="shared" si="121"/>
        <v/>
      </c>
      <c r="KC40" s="80" t="str">
        <f t="shared" si="122"/>
        <v/>
      </c>
      <c r="KE40" s="16"/>
      <c r="KF40" s="16"/>
      <c r="KG40" s="16"/>
      <c r="KH40" s="16"/>
      <c r="KI40" s="16"/>
      <c r="KJ40" s="16"/>
      <c r="KK40" s="16"/>
      <c r="KL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</row>
    <row r="41" spans="1:309" ht="23.25">
      <c r="A41" s="17">
        <v>39</v>
      </c>
      <c r="B41" s="186">
        <v>39</v>
      </c>
      <c r="C41" s="77" t="str">
        <f>Data!B40</f>
        <v xml:space="preserve">LAWAN NGAMA AMINA </v>
      </c>
      <c r="D41" s="87">
        <v>6</v>
      </c>
      <c r="E41" s="87">
        <v>8</v>
      </c>
      <c r="F41" s="87">
        <v>7</v>
      </c>
      <c r="G41" s="87">
        <v>10</v>
      </c>
      <c r="H41" s="88">
        <f t="shared" si="1"/>
        <v>31</v>
      </c>
      <c r="I41" s="87">
        <v>34</v>
      </c>
      <c r="J41" s="88">
        <f t="shared" si="2"/>
        <v>65</v>
      </c>
      <c r="K41" s="79">
        <f t="shared" si="3"/>
        <v>11</v>
      </c>
      <c r="L41" s="79" t="str">
        <f t="shared" si="4"/>
        <v>B3</v>
      </c>
      <c r="M41" s="79" t="str">
        <f t="shared" si="5"/>
        <v>Good</v>
      </c>
      <c r="N41" s="17">
        <v>39</v>
      </c>
      <c r="O41" s="77" t="str">
        <f>Data!B40</f>
        <v xml:space="preserve">LAWAN NGAMA AMINA </v>
      </c>
      <c r="P41" s="78"/>
      <c r="Q41" s="78"/>
      <c r="R41" s="78"/>
      <c r="S41" s="78"/>
      <c r="T41" s="80">
        <f t="shared" si="6"/>
        <v>0</v>
      </c>
      <c r="U41" s="80"/>
      <c r="V41" s="80">
        <f t="shared" si="7"/>
        <v>0</v>
      </c>
      <c r="W41" s="80" t="str">
        <f t="shared" si="8"/>
        <v/>
      </c>
      <c r="X41" s="80" t="str">
        <f t="shared" si="9"/>
        <v/>
      </c>
      <c r="Y41" s="80" t="str">
        <f t="shared" si="10"/>
        <v/>
      </c>
      <c r="Z41" s="11">
        <v>39</v>
      </c>
      <c r="AA41" s="77" t="str">
        <f>Data!B40</f>
        <v xml:space="preserve">LAWAN NGAMA AMINA </v>
      </c>
      <c r="AB41" s="87">
        <v>6</v>
      </c>
      <c r="AC41" s="87">
        <v>8</v>
      </c>
      <c r="AD41" s="87">
        <v>7</v>
      </c>
      <c r="AE41" s="87">
        <v>10</v>
      </c>
      <c r="AF41" s="88">
        <f t="shared" si="11"/>
        <v>31</v>
      </c>
      <c r="AG41" s="87">
        <v>34</v>
      </c>
      <c r="AH41" s="88">
        <f t="shared" si="12"/>
        <v>65</v>
      </c>
      <c r="AI41" s="82">
        <f t="shared" si="13"/>
        <v>11</v>
      </c>
      <c r="AJ41" s="82" t="str">
        <f t="shared" si="14"/>
        <v>B3</v>
      </c>
      <c r="AK41" s="82" t="str">
        <f t="shared" si="15"/>
        <v>Good</v>
      </c>
      <c r="AL41" s="11">
        <v>39</v>
      </c>
      <c r="AM41" s="77" t="str">
        <f>Data!B40</f>
        <v xml:space="preserve">LAWAN NGAMA AMINA </v>
      </c>
      <c r="AN41" s="87">
        <v>6</v>
      </c>
      <c r="AO41" s="87">
        <v>8</v>
      </c>
      <c r="AP41" s="87">
        <v>7</v>
      </c>
      <c r="AQ41" s="87">
        <v>10</v>
      </c>
      <c r="AR41" s="88">
        <f t="shared" si="16"/>
        <v>31</v>
      </c>
      <c r="AS41" s="87">
        <v>34</v>
      </c>
      <c r="AT41" s="88">
        <f t="shared" si="17"/>
        <v>65</v>
      </c>
      <c r="AU41" s="83">
        <f t="shared" si="18"/>
        <v>11</v>
      </c>
      <c r="AV41" s="83" t="str">
        <f t="shared" si="19"/>
        <v>B3</v>
      </c>
      <c r="AW41" s="83" t="str">
        <f t="shared" si="20"/>
        <v>Good</v>
      </c>
      <c r="AX41" s="11">
        <v>39</v>
      </c>
      <c r="AY41" s="77" t="str">
        <f>Data!B40</f>
        <v xml:space="preserve">LAWAN NGAMA AMINA </v>
      </c>
      <c r="AZ41" s="87">
        <v>6</v>
      </c>
      <c r="BA41" s="87">
        <v>8</v>
      </c>
      <c r="BB41" s="87">
        <v>7</v>
      </c>
      <c r="BC41" s="87">
        <v>10</v>
      </c>
      <c r="BD41" s="88">
        <f t="shared" si="21"/>
        <v>31</v>
      </c>
      <c r="BE41" s="87">
        <v>34</v>
      </c>
      <c r="BF41" s="88">
        <f t="shared" si="22"/>
        <v>65</v>
      </c>
      <c r="BG41" s="85">
        <f t="shared" si="23"/>
        <v>11</v>
      </c>
      <c r="BH41" s="85" t="str">
        <f t="shared" si="24"/>
        <v>B3</v>
      </c>
      <c r="BI41" s="85" t="str">
        <f t="shared" si="25"/>
        <v>Good</v>
      </c>
      <c r="BJ41" s="36">
        <v>39</v>
      </c>
      <c r="BK41" s="77" t="str">
        <f>Data!B40</f>
        <v xml:space="preserve">LAWAN NGAMA AMINA </v>
      </c>
      <c r="BL41" s="87">
        <v>6</v>
      </c>
      <c r="BM41" s="87">
        <v>8</v>
      </c>
      <c r="BN41" s="87">
        <v>7</v>
      </c>
      <c r="BO41" s="87">
        <v>10</v>
      </c>
      <c r="BP41" s="88">
        <f t="shared" si="26"/>
        <v>31</v>
      </c>
      <c r="BQ41" s="87">
        <v>34</v>
      </c>
      <c r="BR41" s="88">
        <f t="shared" si="27"/>
        <v>65</v>
      </c>
      <c r="BS41" s="86">
        <f t="shared" si="28"/>
        <v>11</v>
      </c>
      <c r="BT41" s="86" t="str">
        <f t="shared" si="29"/>
        <v>B3</v>
      </c>
      <c r="BU41" s="86" t="str">
        <f t="shared" si="30"/>
        <v>Good</v>
      </c>
      <c r="BV41">
        <v>39</v>
      </c>
      <c r="BW41" s="77" t="str">
        <f>Data!B40</f>
        <v xml:space="preserve">LAWAN NGAMA AMINA </v>
      </c>
      <c r="BX41" s="87">
        <v>6</v>
      </c>
      <c r="BY41" s="87">
        <v>8</v>
      </c>
      <c r="BZ41" s="87">
        <v>7</v>
      </c>
      <c r="CA41" s="87">
        <v>10</v>
      </c>
      <c r="CB41" s="88">
        <f t="shared" si="31"/>
        <v>31</v>
      </c>
      <c r="CC41" s="87">
        <v>34</v>
      </c>
      <c r="CD41" s="88">
        <f t="shared" si="32"/>
        <v>65</v>
      </c>
      <c r="CE41" s="88">
        <f t="shared" si="33"/>
        <v>11</v>
      </c>
      <c r="CF41" s="88" t="str">
        <f t="shared" si="34"/>
        <v>B3</v>
      </c>
      <c r="CG41" s="88" t="str">
        <f t="shared" si="35"/>
        <v>Good</v>
      </c>
      <c r="CH41">
        <v>39</v>
      </c>
      <c r="CI41" s="77" t="str">
        <f>Data!B40</f>
        <v xml:space="preserve">LAWAN NGAMA AMINA </v>
      </c>
      <c r="CJ41" s="78"/>
      <c r="CK41" s="78"/>
      <c r="CL41" s="78"/>
      <c r="CM41" s="78"/>
      <c r="CN41" s="89">
        <f t="shared" si="36"/>
        <v>0</v>
      </c>
      <c r="CO41" s="89"/>
      <c r="CP41" s="89">
        <f t="shared" si="37"/>
        <v>0</v>
      </c>
      <c r="CQ41" s="89" t="str">
        <f t="shared" si="38"/>
        <v/>
      </c>
      <c r="CR41" s="89" t="str">
        <f t="shared" si="39"/>
        <v/>
      </c>
      <c r="CS41" s="89" t="str">
        <f t="shared" si="40"/>
        <v/>
      </c>
      <c r="CT41">
        <v>39</v>
      </c>
      <c r="CU41" s="77" t="str">
        <f>Data!B40</f>
        <v xml:space="preserve">LAWAN NGAMA AMINA </v>
      </c>
      <c r="CV41" s="12"/>
      <c r="CW41" s="12"/>
      <c r="CX41" s="12"/>
      <c r="CY41" s="12"/>
      <c r="CZ41" s="90">
        <f t="shared" si="41"/>
        <v>0</v>
      </c>
      <c r="DA41" s="12"/>
      <c r="DB41" s="90">
        <f t="shared" si="42"/>
        <v>0</v>
      </c>
      <c r="DC41" s="90" t="str">
        <f t="shared" si="43"/>
        <v/>
      </c>
      <c r="DD41" s="90" t="str">
        <f t="shared" si="44"/>
        <v/>
      </c>
      <c r="DE41" s="90" t="str">
        <f t="shared" si="45"/>
        <v/>
      </c>
      <c r="DF41">
        <v>39</v>
      </c>
      <c r="DG41" s="77" t="str">
        <f>Data!B40</f>
        <v xml:space="preserve">LAWAN NGAMA AMINA </v>
      </c>
      <c r="DH41" s="78">
        <v>9</v>
      </c>
      <c r="DI41" s="78">
        <v>7</v>
      </c>
      <c r="DJ41" s="78">
        <v>10</v>
      </c>
      <c r="DK41" s="78">
        <v>10</v>
      </c>
      <c r="DL41" s="85">
        <f t="shared" si="46"/>
        <v>36</v>
      </c>
      <c r="DM41" s="84">
        <v>23</v>
      </c>
      <c r="DN41" s="85">
        <f t="shared" si="47"/>
        <v>59</v>
      </c>
      <c r="DO41" s="85">
        <f t="shared" si="48"/>
        <v>2</v>
      </c>
      <c r="DP41" s="85" t="str">
        <f t="shared" si="49"/>
        <v>C5</v>
      </c>
      <c r="DQ41" s="85" t="str">
        <f t="shared" si="50"/>
        <v>Credit</v>
      </c>
      <c r="DR41">
        <v>39</v>
      </c>
      <c r="DS41" s="77" t="str">
        <f>Data!B40</f>
        <v xml:space="preserve">LAWAN NGAMA AMINA </v>
      </c>
      <c r="DT41" s="91"/>
      <c r="DU41" s="91"/>
      <c r="DV41" s="91"/>
      <c r="DW41" s="91"/>
      <c r="DX41" s="92">
        <f t="shared" si="51"/>
        <v>0</v>
      </c>
      <c r="DY41" s="93"/>
      <c r="DZ41" s="92">
        <f t="shared" si="52"/>
        <v>0</v>
      </c>
      <c r="EA41" s="92" t="str">
        <f t="shared" si="53"/>
        <v/>
      </c>
      <c r="EB41" s="92" t="str">
        <f t="shared" si="54"/>
        <v/>
      </c>
      <c r="EC41" s="92" t="str">
        <f t="shared" si="55"/>
        <v/>
      </c>
      <c r="ED41">
        <v>39</v>
      </c>
      <c r="EE41" s="77" t="str">
        <f>Data!B40</f>
        <v xml:space="preserve">LAWAN NGAMA AMINA </v>
      </c>
      <c r="EF41" s="78"/>
      <c r="EG41" s="78"/>
      <c r="EH41" s="78"/>
      <c r="EI41" s="78"/>
      <c r="EJ41" s="94">
        <f t="shared" si="56"/>
        <v>0</v>
      </c>
      <c r="EK41" s="94"/>
      <c r="EL41" s="94">
        <f t="shared" si="57"/>
        <v>0</v>
      </c>
      <c r="EM41" s="94" t="str">
        <f t="shared" si="58"/>
        <v/>
      </c>
      <c r="EN41" s="94" t="str">
        <f t="shared" si="59"/>
        <v/>
      </c>
      <c r="EO41" s="94" t="str">
        <f t="shared" si="60"/>
        <v/>
      </c>
      <c r="EP41">
        <v>39</v>
      </c>
      <c r="EQ41" s="95" t="str">
        <f>Data!B40</f>
        <v xml:space="preserve">LAWAN NGAMA AMINA </v>
      </c>
      <c r="ER41" s="78"/>
      <c r="ES41" s="78"/>
      <c r="ET41" s="78"/>
      <c r="EU41" s="78"/>
      <c r="EV41" s="90">
        <f t="shared" si="61"/>
        <v>0</v>
      </c>
      <c r="EW41" s="90"/>
      <c r="EX41" s="90">
        <f t="shared" si="62"/>
        <v>0</v>
      </c>
      <c r="EY41" s="90" t="str">
        <f t="shared" si="63"/>
        <v/>
      </c>
      <c r="EZ41" s="90" t="str">
        <f t="shared" si="64"/>
        <v/>
      </c>
      <c r="FA41" s="90" t="str">
        <f t="shared" si="65"/>
        <v/>
      </c>
      <c r="FB41">
        <v>39</v>
      </c>
      <c r="FC41" s="77" t="str">
        <f>Data!B40</f>
        <v xml:space="preserve">LAWAN NGAMA AMINA </v>
      </c>
      <c r="FD41" s="78"/>
      <c r="FE41" s="78"/>
      <c r="FF41" s="78"/>
      <c r="FG41" s="78"/>
      <c r="FH41" s="96">
        <f t="shared" si="66"/>
        <v>0</v>
      </c>
      <c r="FI41" s="96"/>
      <c r="FJ41" s="96">
        <f t="shared" si="67"/>
        <v>0</v>
      </c>
      <c r="FK41" s="96" t="str">
        <f t="shared" si="68"/>
        <v/>
      </c>
      <c r="FL41" s="96" t="str">
        <f t="shared" si="69"/>
        <v/>
      </c>
      <c r="FM41" s="96" t="str">
        <f t="shared" si="70"/>
        <v/>
      </c>
      <c r="FN41">
        <v>39</v>
      </c>
      <c r="FO41" s="77" t="str">
        <f>Data!B40</f>
        <v xml:space="preserve">LAWAN NGAMA AMINA </v>
      </c>
      <c r="FP41" s="78"/>
      <c r="FQ41" s="78"/>
      <c r="FR41" s="78"/>
      <c r="FS41" s="78"/>
      <c r="FT41" s="97">
        <f t="shared" si="71"/>
        <v>0</v>
      </c>
      <c r="FU41" s="97"/>
      <c r="FV41" s="97">
        <f t="shared" si="72"/>
        <v>0</v>
      </c>
      <c r="FW41" s="97" t="str">
        <f t="shared" si="73"/>
        <v/>
      </c>
      <c r="FX41" s="97" t="str">
        <f t="shared" si="74"/>
        <v/>
      </c>
      <c r="FY41" s="97" t="str">
        <f t="shared" si="75"/>
        <v/>
      </c>
      <c r="FZ41">
        <v>39</v>
      </c>
      <c r="GA41" s="77" t="str">
        <f>Data!B40</f>
        <v xml:space="preserve">LAWAN NGAMA AMINA </v>
      </c>
      <c r="GB41" s="78"/>
      <c r="GC41" s="78"/>
      <c r="GD41" s="78"/>
      <c r="GE41" s="78"/>
      <c r="GF41" s="98">
        <f t="shared" si="76"/>
        <v>0</v>
      </c>
      <c r="GG41" s="98"/>
      <c r="GH41" s="98">
        <f t="shared" si="77"/>
        <v>0</v>
      </c>
      <c r="GI41" s="98" t="str">
        <f t="shared" si="78"/>
        <v/>
      </c>
      <c r="GJ41" s="98" t="str">
        <f t="shared" si="79"/>
        <v/>
      </c>
      <c r="GK41" s="98" t="str">
        <f t="shared" si="80"/>
        <v/>
      </c>
      <c r="GL41">
        <v>39</v>
      </c>
      <c r="GM41" s="77" t="str">
        <f>Data!B40</f>
        <v xml:space="preserve">LAWAN NGAMA AMINA </v>
      </c>
      <c r="GN41" s="99"/>
      <c r="GO41" s="99"/>
      <c r="GP41" s="99"/>
      <c r="GQ41" s="99"/>
      <c r="GR41" s="100">
        <f t="shared" si="81"/>
        <v>0</v>
      </c>
      <c r="GS41" s="99"/>
      <c r="GT41" s="100">
        <f t="shared" si="82"/>
        <v>0</v>
      </c>
      <c r="GU41" s="100" t="str">
        <f t="shared" si="83"/>
        <v/>
      </c>
      <c r="GV41" s="100" t="str">
        <f t="shared" si="84"/>
        <v/>
      </c>
      <c r="GW41" s="100" t="str">
        <f t="shared" si="85"/>
        <v/>
      </c>
      <c r="GX41">
        <v>39</v>
      </c>
      <c r="GY41" s="77" t="str">
        <f>Data!B40</f>
        <v xml:space="preserve">LAWAN NGAMA AMINA </v>
      </c>
      <c r="GZ41" s="78"/>
      <c r="HA41" s="78"/>
      <c r="HB41" s="78"/>
      <c r="HC41" s="78"/>
      <c r="HD41" s="86">
        <f t="shared" si="86"/>
        <v>0</v>
      </c>
      <c r="HE41" s="86"/>
      <c r="HF41" s="86">
        <f t="shared" si="87"/>
        <v>0</v>
      </c>
      <c r="HG41" s="86" t="str">
        <f t="shared" si="88"/>
        <v/>
      </c>
      <c r="HH41" s="86" t="str">
        <f t="shared" si="89"/>
        <v/>
      </c>
      <c r="HI41" s="86" t="str">
        <f t="shared" si="90"/>
        <v/>
      </c>
      <c r="HJ41">
        <v>39</v>
      </c>
      <c r="HK41" s="77" t="str">
        <f>Data!B40</f>
        <v xml:space="preserve">LAWAN NGAMA AMINA </v>
      </c>
      <c r="HL41" s="111"/>
      <c r="HM41" s="112"/>
      <c r="HN41" s="112"/>
      <c r="HO41" s="112"/>
      <c r="HP41" s="103">
        <f t="shared" si="91"/>
        <v>0</v>
      </c>
      <c r="HQ41" s="111"/>
      <c r="HR41" s="103">
        <f t="shared" si="92"/>
        <v>0</v>
      </c>
      <c r="HS41" s="103" t="str">
        <f t="shared" si="93"/>
        <v/>
      </c>
      <c r="HT41" s="103" t="str">
        <f t="shared" si="94"/>
        <v/>
      </c>
      <c r="HU41" s="103" t="str">
        <f t="shared" si="95"/>
        <v/>
      </c>
      <c r="HV41">
        <v>39</v>
      </c>
      <c r="HW41" s="77" t="str">
        <f>Data!B40</f>
        <v xml:space="preserve">LAWAN NGAMA AMINA </v>
      </c>
      <c r="HX41" s="78"/>
      <c r="HY41" s="78"/>
      <c r="HZ41" s="78"/>
      <c r="IA41" s="78"/>
      <c r="IB41" s="85">
        <f t="shared" si="96"/>
        <v>0</v>
      </c>
      <c r="IC41" s="85"/>
      <c r="ID41" s="85">
        <f t="shared" si="97"/>
        <v>0</v>
      </c>
      <c r="IE41" s="85" t="str">
        <f t="shared" si="98"/>
        <v/>
      </c>
      <c r="IF41" s="85" t="str">
        <f t="shared" si="99"/>
        <v/>
      </c>
      <c r="IG41" s="85" t="str">
        <f t="shared" si="100"/>
        <v/>
      </c>
      <c r="IH41">
        <v>39</v>
      </c>
      <c r="II41" s="77" t="str">
        <f>Data!B40</f>
        <v xml:space="preserve">LAWAN NGAMA AMINA </v>
      </c>
      <c r="IJ41" s="78"/>
      <c r="IK41" s="78"/>
      <c r="IL41" s="78"/>
      <c r="IM41" s="78"/>
      <c r="IN41" s="104">
        <f t="shared" si="101"/>
        <v>0</v>
      </c>
      <c r="IO41" s="104"/>
      <c r="IP41" s="104">
        <f t="shared" si="102"/>
        <v>0</v>
      </c>
      <c r="IQ41" s="104" t="str">
        <f t="shared" si="103"/>
        <v/>
      </c>
      <c r="IR41" s="104" t="str">
        <f t="shared" si="104"/>
        <v/>
      </c>
      <c r="IS41" s="104" t="str">
        <f t="shared" si="105"/>
        <v/>
      </c>
      <c r="IT41">
        <v>39</v>
      </c>
      <c r="IU41" s="77" t="str">
        <f t="shared" si="106"/>
        <v xml:space="preserve">LAWAN NGAMA AMINA </v>
      </c>
      <c r="IV41" s="105"/>
      <c r="IW41" s="105"/>
      <c r="IX41" s="105"/>
      <c r="IY41" s="105"/>
      <c r="IZ41" s="98">
        <f t="shared" si="107"/>
        <v>0</v>
      </c>
      <c r="JA41" s="105"/>
      <c r="JB41" s="98">
        <f t="shared" si="108"/>
        <v>0</v>
      </c>
      <c r="JC41" s="98" t="str">
        <f t="shared" si="109"/>
        <v/>
      </c>
      <c r="JD41" s="98" t="str">
        <f t="shared" si="110"/>
        <v/>
      </c>
      <c r="JE41" s="98" t="str">
        <f t="shared" si="111"/>
        <v/>
      </c>
      <c r="JF41">
        <v>39</v>
      </c>
      <c r="JG41" s="77" t="str">
        <f t="shared" si="112"/>
        <v xml:space="preserve">LAWAN NGAMA AMINA </v>
      </c>
      <c r="JH41" s="114"/>
      <c r="JI41" s="114"/>
      <c r="JJ41" s="114"/>
      <c r="JK41" s="114"/>
      <c r="JL41" s="82">
        <f t="shared" si="113"/>
        <v>0</v>
      </c>
      <c r="JM41" s="114"/>
      <c r="JN41" s="82">
        <f t="shared" si="114"/>
        <v>0</v>
      </c>
      <c r="JO41" s="82" t="str">
        <f t="shared" si="115"/>
        <v/>
      </c>
      <c r="JP41" s="82" t="str">
        <f t="shared" si="116"/>
        <v/>
      </c>
      <c r="JQ41" s="82" t="str">
        <f t="shared" si="117"/>
        <v/>
      </c>
      <c r="JR41">
        <v>39</v>
      </c>
      <c r="JS41" s="77" t="str">
        <f t="shared" si="118"/>
        <v xml:space="preserve">LAWAN NGAMA AMINA </v>
      </c>
      <c r="JT41" s="107"/>
      <c r="JU41" s="107"/>
      <c r="JV41" s="107"/>
      <c r="JW41" s="107"/>
      <c r="JX41" s="80">
        <f t="shared" si="119"/>
        <v>0</v>
      </c>
      <c r="JY41" s="108"/>
      <c r="JZ41" s="80">
        <f t="shared" si="0"/>
        <v>0</v>
      </c>
      <c r="KA41" s="80" t="str">
        <f t="shared" si="120"/>
        <v/>
      </c>
      <c r="KB41" s="80" t="str">
        <f t="shared" si="121"/>
        <v/>
      </c>
      <c r="KC41" s="80" t="str">
        <f t="shared" si="122"/>
        <v/>
      </c>
      <c r="KE41" s="16"/>
      <c r="KF41" s="16"/>
      <c r="KG41" s="16"/>
      <c r="KH41" s="16"/>
      <c r="KI41" s="16"/>
      <c r="KJ41" s="16"/>
      <c r="KK41" s="16"/>
      <c r="KL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</row>
    <row r="42" spans="1:309" ht="23.25">
      <c r="A42" s="17">
        <v>40</v>
      </c>
      <c r="B42" s="186">
        <v>40</v>
      </c>
      <c r="C42" s="77" t="str">
        <f>Data!B41</f>
        <v xml:space="preserve">SAMSON CHIEMEZUO PRECIOUS  </v>
      </c>
      <c r="D42" s="87">
        <v>2</v>
      </c>
      <c r="E42" s="87">
        <v>6</v>
      </c>
      <c r="F42" s="87">
        <v>8</v>
      </c>
      <c r="G42" s="87">
        <v>6</v>
      </c>
      <c r="H42" s="88">
        <f t="shared" si="1"/>
        <v>22</v>
      </c>
      <c r="I42" s="87">
        <v>33</v>
      </c>
      <c r="J42" s="88">
        <f t="shared" si="2"/>
        <v>55</v>
      </c>
      <c r="K42" s="79">
        <f t="shared" si="3"/>
        <v>27</v>
      </c>
      <c r="L42" s="79" t="str">
        <f t="shared" si="4"/>
        <v>C5</v>
      </c>
      <c r="M42" s="79" t="str">
        <f t="shared" si="5"/>
        <v>Credit</v>
      </c>
      <c r="N42" s="17">
        <v>40</v>
      </c>
      <c r="O42" s="77" t="str">
        <f>Data!B41</f>
        <v xml:space="preserve">SAMSON CHIEMEZUO PRECIOUS  </v>
      </c>
      <c r="P42" s="78"/>
      <c r="Q42" s="78"/>
      <c r="R42" s="78"/>
      <c r="S42" s="78"/>
      <c r="T42" s="80">
        <f t="shared" si="6"/>
        <v>0</v>
      </c>
      <c r="U42" s="80"/>
      <c r="V42" s="80">
        <f t="shared" si="7"/>
        <v>0</v>
      </c>
      <c r="W42" s="80" t="str">
        <f t="shared" si="8"/>
        <v/>
      </c>
      <c r="X42" s="80" t="str">
        <f t="shared" si="9"/>
        <v/>
      </c>
      <c r="Y42" s="80" t="str">
        <f t="shared" si="10"/>
        <v/>
      </c>
      <c r="Z42" s="11">
        <v>40</v>
      </c>
      <c r="AA42" s="77" t="str">
        <f>Data!B41</f>
        <v xml:space="preserve">SAMSON CHIEMEZUO PRECIOUS  </v>
      </c>
      <c r="AB42" s="87">
        <v>2</v>
      </c>
      <c r="AC42" s="87">
        <v>6</v>
      </c>
      <c r="AD42" s="87">
        <v>8</v>
      </c>
      <c r="AE42" s="87">
        <v>6</v>
      </c>
      <c r="AF42" s="88">
        <f t="shared" si="11"/>
        <v>22</v>
      </c>
      <c r="AG42" s="87">
        <v>33</v>
      </c>
      <c r="AH42" s="88">
        <f t="shared" si="12"/>
        <v>55</v>
      </c>
      <c r="AI42" s="82">
        <f t="shared" si="13"/>
        <v>27</v>
      </c>
      <c r="AJ42" s="82" t="str">
        <f t="shared" si="14"/>
        <v>C5</v>
      </c>
      <c r="AK42" s="82" t="str">
        <f t="shared" si="15"/>
        <v>Credit</v>
      </c>
      <c r="AL42" s="11">
        <v>40</v>
      </c>
      <c r="AM42" s="77" t="str">
        <f>Data!B41</f>
        <v xml:space="preserve">SAMSON CHIEMEZUO PRECIOUS  </v>
      </c>
      <c r="AN42" s="87">
        <v>2</v>
      </c>
      <c r="AO42" s="87">
        <v>6</v>
      </c>
      <c r="AP42" s="87">
        <v>8</v>
      </c>
      <c r="AQ42" s="87">
        <v>6</v>
      </c>
      <c r="AR42" s="88">
        <f t="shared" si="16"/>
        <v>22</v>
      </c>
      <c r="AS42" s="87">
        <v>33</v>
      </c>
      <c r="AT42" s="88">
        <f t="shared" si="17"/>
        <v>55</v>
      </c>
      <c r="AU42" s="83">
        <f t="shared" si="18"/>
        <v>27</v>
      </c>
      <c r="AV42" s="83" t="str">
        <f t="shared" si="19"/>
        <v>C5</v>
      </c>
      <c r="AW42" s="83" t="str">
        <f t="shared" si="20"/>
        <v>Credit</v>
      </c>
      <c r="AX42" s="11">
        <v>40</v>
      </c>
      <c r="AY42" s="77" t="str">
        <f>Data!B41</f>
        <v xml:space="preserve">SAMSON CHIEMEZUO PRECIOUS  </v>
      </c>
      <c r="AZ42" s="87">
        <v>2</v>
      </c>
      <c r="BA42" s="87">
        <v>6</v>
      </c>
      <c r="BB42" s="87">
        <v>8</v>
      </c>
      <c r="BC42" s="87">
        <v>6</v>
      </c>
      <c r="BD42" s="88">
        <f t="shared" si="21"/>
        <v>22</v>
      </c>
      <c r="BE42" s="87">
        <v>33</v>
      </c>
      <c r="BF42" s="88">
        <f t="shared" si="22"/>
        <v>55</v>
      </c>
      <c r="BG42" s="85">
        <f t="shared" si="23"/>
        <v>27</v>
      </c>
      <c r="BH42" s="85" t="str">
        <f t="shared" si="24"/>
        <v>C5</v>
      </c>
      <c r="BI42" s="85" t="str">
        <f t="shared" si="25"/>
        <v>Credit</v>
      </c>
      <c r="BJ42" s="36">
        <v>40</v>
      </c>
      <c r="BK42" s="77" t="str">
        <f>Data!B41</f>
        <v xml:space="preserve">SAMSON CHIEMEZUO PRECIOUS  </v>
      </c>
      <c r="BL42" s="87">
        <v>2</v>
      </c>
      <c r="BM42" s="87">
        <v>6</v>
      </c>
      <c r="BN42" s="87">
        <v>8</v>
      </c>
      <c r="BO42" s="87">
        <v>6</v>
      </c>
      <c r="BP42" s="88">
        <f t="shared" si="26"/>
        <v>22</v>
      </c>
      <c r="BQ42" s="87">
        <v>33</v>
      </c>
      <c r="BR42" s="88">
        <f t="shared" si="27"/>
        <v>55</v>
      </c>
      <c r="BS42" s="86">
        <f t="shared" si="28"/>
        <v>27</v>
      </c>
      <c r="BT42" s="86" t="str">
        <f t="shared" si="29"/>
        <v>C5</v>
      </c>
      <c r="BU42" s="86" t="str">
        <f t="shared" si="30"/>
        <v>Credit</v>
      </c>
      <c r="BV42">
        <v>40</v>
      </c>
      <c r="BW42" s="77" t="str">
        <f>Data!B41</f>
        <v xml:space="preserve">SAMSON CHIEMEZUO PRECIOUS  </v>
      </c>
      <c r="BX42" s="87">
        <v>2</v>
      </c>
      <c r="BY42" s="87">
        <v>6</v>
      </c>
      <c r="BZ42" s="87">
        <v>8</v>
      </c>
      <c r="CA42" s="87">
        <v>6</v>
      </c>
      <c r="CB42" s="88">
        <f t="shared" si="31"/>
        <v>22</v>
      </c>
      <c r="CC42" s="87">
        <v>33</v>
      </c>
      <c r="CD42" s="88">
        <f t="shared" si="32"/>
        <v>55</v>
      </c>
      <c r="CE42" s="88">
        <f t="shared" si="33"/>
        <v>27</v>
      </c>
      <c r="CF42" s="88" t="str">
        <f t="shared" si="34"/>
        <v>C5</v>
      </c>
      <c r="CG42" s="88" t="str">
        <f t="shared" si="35"/>
        <v>Credit</v>
      </c>
      <c r="CH42">
        <v>40</v>
      </c>
      <c r="CI42" s="77" t="str">
        <f>Data!B41</f>
        <v xml:space="preserve">SAMSON CHIEMEZUO PRECIOUS  </v>
      </c>
      <c r="CJ42" s="78"/>
      <c r="CK42" s="78"/>
      <c r="CL42" s="78"/>
      <c r="CM42" s="78"/>
      <c r="CN42" s="89">
        <f t="shared" si="36"/>
        <v>0</v>
      </c>
      <c r="CO42" s="89"/>
      <c r="CP42" s="89">
        <f t="shared" si="37"/>
        <v>0</v>
      </c>
      <c r="CQ42" s="89" t="str">
        <f t="shared" si="38"/>
        <v/>
      </c>
      <c r="CR42" s="89" t="str">
        <f t="shared" si="39"/>
        <v/>
      </c>
      <c r="CS42" s="89" t="str">
        <f t="shared" si="40"/>
        <v/>
      </c>
      <c r="CT42">
        <v>40</v>
      </c>
      <c r="CU42" s="77" t="str">
        <f>Data!B41</f>
        <v xml:space="preserve">SAMSON CHIEMEZUO PRECIOUS  </v>
      </c>
      <c r="CV42" s="12"/>
      <c r="CW42" s="12"/>
      <c r="CX42" s="12"/>
      <c r="CY42" s="12"/>
      <c r="CZ42" s="90">
        <f t="shared" si="41"/>
        <v>0</v>
      </c>
      <c r="DA42" s="12"/>
      <c r="DB42" s="90">
        <f t="shared" si="42"/>
        <v>0</v>
      </c>
      <c r="DC42" s="90" t="str">
        <f t="shared" si="43"/>
        <v/>
      </c>
      <c r="DD42" s="90" t="str">
        <f t="shared" si="44"/>
        <v/>
      </c>
      <c r="DE42" s="90" t="str">
        <f t="shared" si="45"/>
        <v/>
      </c>
      <c r="DF42">
        <v>40</v>
      </c>
      <c r="DG42" s="77" t="str">
        <f>Data!B41</f>
        <v xml:space="preserve">SAMSON CHIEMEZUO PRECIOUS  </v>
      </c>
      <c r="DH42" s="78"/>
      <c r="DI42" s="78"/>
      <c r="DJ42" s="78"/>
      <c r="DK42" s="78"/>
      <c r="DL42" s="85">
        <f t="shared" si="46"/>
        <v>0</v>
      </c>
      <c r="DM42" s="84"/>
      <c r="DN42" s="85">
        <f t="shared" si="47"/>
        <v>0</v>
      </c>
      <c r="DO42" s="85" t="str">
        <f t="shared" si="48"/>
        <v/>
      </c>
      <c r="DP42" s="85" t="str">
        <f t="shared" si="49"/>
        <v/>
      </c>
      <c r="DQ42" s="85" t="str">
        <f t="shared" si="50"/>
        <v/>
      </c>
      <c r="DR42">
        <v>40</v>
      </c>
      <c r="DS42" s="77" t="str">
        <f>Data!B41</f>
        <v xml:space="preserve">SAMSON CHIEMEZUO PRECIOUS  </v>
      </c>
      <c r="DT42" s="91"/>
      <c r="DU42" s="91"/>
      <c r="DV42" s="91"/>
      <c r="DW42" s="91"/>
      <c r="DX42" s="92">
        <f t="shared" si="51"/>
        <v>0</v>
      </c>
      <c r="DY42" s="93"/>
      <c r="DZ42" s="92">
        <f t="shared" si="52"/>
        <v>0</v>
      </c>
      <c r="EA42" s="92" t="str">
        <f t="shared" si="53"/>
        <v/>
      </c>
      <c r="EB42" s="92" t="str">
        <f t="shared" si="54"/>
        <v/>
      </c>
      <c r="EC42" s="92" t="str">
        <f t="shared" si="55"/>
        <v/>
      </c>
      <c r="ED42">
        <v>40</v>
      </c>
      <c r="EE42" s="77" t="str">
        <f>Data!B41</f>
        <v xml:space="preserve">SAMSON CHIEMEZUO PRECIOUS  </v>
      </c>
      <c r="EF42" s="78"/>
      <c r="EG42" s="78"/>
      <c r="EH42" s="78"/>
      <c r="EI42" s="78"/>
      <c r="EJ42" s="94">
        <f t="shared" si="56"/>
        <v>0</v>
      </c>
      <c r="EK42" s="94"/>
      <c r="EL42" s="94">
        <f t="shared" si="57"/>
        <v>0</v>
      </c>
      <c r="EM42" s="94" t="str">
        <f t="shared" si="58"/>
        <v/>
      </c>
      <c r="EN42" s="94" t="str">
        <f t="shared" si="59"/>
        <v/>
      </c>
      <c r="EO42" s="94" t="str">
        <f t="shared" si="60"/>
        <v/>
      </c>
      <c r="EP42">
        <v>40</v>
      </c>
      <c r="EQ42" s="95" t="str">
        <f>Data!B41</f>
        <v xml:space="preserve">SAMSON CHIEMEZUO PRECIOUS  </v>
      </c>
      <c r="ER42" s="78"/>
      <c r="ES42" s="78"/>
      <c r="ET42" s="78"/>
      <c r="EU42" s="78"/>
      <c r="EV42" s="90">
        <f t="shared" si="61"/>
        <v>0</v>
      </c>
      <c r="EW42" s="90"/>
      <c r="EX42" s="90">
        <f t="shared" si="62"/>
        <v>0</v>
      </c>
      <c r="EY42" s="90" t="str">
        <f t="shared" si="63"/>
        <v/>
      </c>
      <c r="EZ42" s="90" t="str">
        <f t="shared" si="64"/>
        <v/>
      </c>
      <c r="FA42" s="90" t="str">
        <f t="shared" si="65"/>
        <v/>
      </c>
      <c r="FB42">
        <v>40</v>
      </c>
      <c r="FC42" s="77" t="str">
        <f>Data!B41</f>
        <v xml:space="preserve">SAMSON CHIEMEZUO PRECIOUS  </v>
      </c>
      <c r="FD42" s="78"/>
      <c r="FE42" s="78"/>
      <c r="FF42" s="78"/>
      <c r="FG42" s="78"/>
      <c r="FH42" s="96">
        <f t="shared" si="66"/>
        <v>0</v>
      </c>
      <c r="FI42" s="96"/>
      <c r="FJ42" s="96">
        <f t="shared" si="67"/>
        <v>0</v>
      </c>
      <c r="FK42" s="96" t="str">
        <f t="shared" si="68"/>
        <v/>
      </c>
      <c r="FL42" s="96" t="str">
        <f t="shared" si="69"/>
        <v/>
      </c>
      <c r="FM42" s="96" t="str">
        <f t="shared" si="70"/>
        <v/>
      </c>
      <c r="FN42">
        <v>40</v>
      </c>
      <c r="FO42" s="77" t="str">
        <f>Data!B41</f>
        <v xml:space="preserve">SAMSON CHIEMEZUO PRECIOUS  </v>
      </c>
      <c r="FP42" s="78"/>
      <c r="FQ42" s="78"/>
      <c r="FR42" s="78"/>
      <c r="FS42" s="78"/>
      <c r="FT42" s="97">
        <f t="shared" si="71"/>
        <v>0</v>
      </c>
      <c r="FU42" s="97"/>
      <c r="FV42" s="97">
        <f t="shared" si="72"/>
        <v>0</v>
      </c>
      <c r="FW42" s="97" t="str">
        <f t="shared" si="73"/>
        <v/>
      </c>
      <c r="FX42" s="97" t="str">
        <f t="shared" si="74"/>
        <v/>
      </c>
      <c r="FY42" s="97" t="str">
        <f t="shared" si="75"/>
        <v/>
      </c>
      <c r="FZ42">
        <v>40</v>
      </c>
      <c r="GA42" s="77" t="str">
        <f>Data!B41</f>
        <v xml:space="preserve">SAMSON CHIEMEZUO PRECIOUS  </v>
      </c>
      <c r="GB42" s="78"/>
      <c r="GC42" s="78"/>
      <c r="GD42" s="78"/>
      <c r="GE42" s="78"/>
      <c r="GF42" s="98">
        <f t="shared" si="76"/>
        <v>0</v>
      </c>
      <c r="GG42" s="98"/>
      <c r="GH42" s="98">
        <f t="shared" si="77"/>
        <v>0</v>
      </c>
      <c r="GI42" s="98" t="str">
        <f t="shared" si="78"/>
        <v/>
      </c>
      <c r="GJ42" s="98" t="str">
        <f t="shared" si="79"/>
        <v/>
      </c>
      <c r="GK42" s="98" t="str">
        <f t="shared" si="80"/>
        <v/>
      </c>
      <c r="GL42">
        <v>40</v>
      </c>
      <c r="GM42" s="77" t="str">
        <f>Data!B41</f>
        <v xml:space="preserve">SAMSON CHIEMEZUO PRECIOUS  </v>
      </c>
      <c r="GN42" s="99"/>
      <c r="GO42" s="99"/>
      <c r="GP42" s="99"/>
      <c r="GQ42" s="99"/>
      <c r="GR42" s="100">
        <f t="shared" si="81"/>
        <v>0</v>
      </c>
      <c r="GS42" s="99"/>
      <c r="GT42" s="100">
        <f t="shared" si="82"/>
        <v>0</v>
      </c>
      <c r="GU42" s="100" t="str">
        <f t="shared" si="83"/>
        <v/>
      </c>
      <c r="GV42" s="100" t="str">
        <f t="shared" si="84"/>
        <v/>
      </c>
      <c r="GW42" s="100" t="str">
        <f t="shared" si="85"/>
        <v/>
      </c>
      <c r="GX42">
        <v>40</v>
      </c>
      <c r="GY42" s="77" t="str">
        <f>Data!B41</f>
        <v xml:space="preserve">SAMSON CHIEMEZUO PRECIOUS  </v>
      </c>
      <c r="GZ42" s="78"/>
      <c r="HA42" s="78"/>
      <c r="HB42" s="78"/>
      <c r="HC42" s="78"/>
      <c r="HD42" s="86">
        <f t="shared" si="86"/>
        <v>0</v>
      </c>
      <c r="HE42" s="86"/>
      <c r="HF42" s="86">
        <f t="shared" si="87"/>
        <v>0</v>
      </c>
      <c r="HG42" s="86" t="str">
        <f t="shared" si="88"/>
        <v/>
      </c>
      <c r="HH42" s="86" t="str">
        <f t="shared" si="89"/>
        <v/>
      </c>
      <c r="HI42" s="86" t="str">
        <f t="shared" si="90"/>
        <v/>
      </c>
      <c r="HJ42">
        <v>40</v>
      </c>
      <c r="HK42" s="77" t="str">
        <f>Data!B41</f>
        <v xml:space="preserve">SAMSON CHIEMEZUO PRECIOUS  </v>
      </c>
      <c r="HL42" s="111">
        <v>6</v>
      </c>
      <c r="HM42" s="112">
        <v>6</v>
      </c>
      <c r="HN42" s="112">
        <v>10</v>
      </c>
      <c r="HO42" s="112">
        <v>10</v>
      </c>
      <c r="HP42" s="103">
        <f t="shared" si="91"/>
        <v>32</v>
      </c>
      <c r="HQ42" s="111"/>
      <c r="HR42" s="103">
        <f t="shared" si="92"/>
        <v>32</v>
      </c>
      <c r="HS42" s="103">
        <f t="shared" si="93"/>
        <v>11</v>
      </c>
      <c r="HT42" s="103" t="str">
        <f t="shared" si="94"/>
        <v>F</v>
      </c>
      <c r="HU42" s="103" t="str">
        <f t="shared" si="95"/>
        <v>Fail</v>
      </c>
      <c r="HV42">
        <v>40</v>
      </c>
      <c r="HW42" s="77" t="str">
        <f>Data!B41</f>
        <v xml:space="preserve">SAMSON CHIEMEZUO PRECIOUS  </v>
      </c>
      <c r="HX42" s="78"/>
      <c r="HY42" s="78"/>
      <c r="HZ42" s="78"/>
      <c r="IA42" s="78"/>
      <c r="IB42" s="85">
        <f t="shared" si="96"/>
        <v>0</v>
      </c>
      <c r="IC42" s="85"/>
      <c r="ID42" s="85">
        <f t="shared" si="97"/>
        <v>0</v>
      </c>
      <c r="IE42" s="85" t="str">
        <f t="shared" si="98"/>
        <v/>
      </c>
      <c r="IF42" s="85" t="str">
        <f t="shared" si="99"/>
        <v/>
      </c>
      <c r="IG42" s="85" t="str">
        <f t="shared" si="100"/>
        <v/>
      </c>
      <c r="IH42">
        <v>40</v>
      </c>
      <c r="II42" s="77" t="str">
        <f>Data!B41</f>
        <v xml:space="preserve">SAMSON CHIEMEZUO PRECIOUS  </v>
      </c>
      <c r="IJ42" s="78"/>
      <c r="IK42" s="78"/>
      <c r="IL42" s="78"/>
      <c r="IM42" s="78"/>
      <c r="IN42" s="104">
        <f t="shared" si="101"/>
        <v>0</v>
      </c>
      <c r="IO42" s="104"/>
      <c r="IP42" s="104">
        <f t="shared" si="102"/>
        <v>0</v>
      </c>
      <c r="IQ42" s="104" t="str">
        <f t="shared" si="103"/>
        <v/>
      </c>
      <c r="IR42" s="104" t="str">
        <f t="shared" si="104"/>
        <v/>
      </c>
      <c r="IS42" s="104" t="str">
        <f t="shared" si="105"/>
        <v/>
      </c>
      <c r="IT42">
        <v>40</v>
      </c>
      <c r="IU42" s="77" t="str">
        <f t="shared" si="106"/>
        <v xml:space="preserve">SAMSON CHIEMEZUO PRECIOUS  </v>
      </c>
      <c r="IV42" s="105"/>
      <c r="IW42" s="105"/>
      <c r="IX42" s="105"/>
      <c r="IY42" s="105"/>
      <c r="IZ42" s="98">
        <f t="shared" si="107"/>
        <v>0</v>
      </c>
      <c r="JA42" s="105"/>
      <c r="JB42" s="98">
        <f t="shared" si="108"/>
        <v>0</v>
      </c>
      <c r="JC42" s="98" t="str">
        <f t="shared" si="109"/>
        <v/>
      </c>
      <c r="JD42" s="98" t="str">
        <f t="shared" si="110"/>
        <v/>
      </c>
      <c r="JE42" s="98" t="str">
        <f t="shared" si="111"/>
        <v/>
      </c>
      <c r="JF42">
        <v>40</v>
      </c>
      <c r="JG42" s="77" t="str">
        <f t="shared" si="112"/>
        <v xml:space="preserve">SAMSON CHIEMEZUO PRECIOUS  </v>
      </c>
      <c r="JH42" s="114"/>
      <c r="JI42" s="114"/>
      <c r="JJ42" s="114"/>
      <c r="JK42" s="114"/>
      <c r="JL42" s="82">
        <f t="shared" si="113"/>
        <v>0</v>
      </c>
      <c r="JM42" s="114"/>
      <c r="JN42" s="82">
        <f t="shared" si="114"/>
        <v>0</v>
      </c>
      <c r="JO42" s="82" t="str">
        <f t="shared" si="115"/>
        <v/>
      </c>
      <c r="JP42" s="82" t="str">
        <f t="shared" si="116"/>
        <v/>
      </c>
      <c r="JQ42" s="82" t="str">
        <f t="shared" si="117"/>
        <v/>
      </c>
      <c r="JR42">
        <v>40</v>
      </c>
      <c r="JS42" s="77" t="str">
        <f t="shared" si="118"/>
        <v xml:space="preserve">SAMSON CHIEMEZUO PRECIOUS  </v>
      </c>
      <c r="JT42" s="107"/>
      <c r="JU42" s="107"/>
      <c r="JV42" s="107"/>
      <c r="JW42" s="107"/>
      <c r="JX42" s="80">
        <f t="shared" si="119"/>
        <v>0</v>
      </c>
      <c r="JY42" s="108"/>
      <c r="JZ42" s="80">
        <f t="shared" si="0"/>
        <v>0</v>
      </c>
      <c r="KA42" s="80" t="str">
        <f t="shared" si="120"/>
        <v/>
      </c>
      <c r="KB42" s="80" t="str">
        <f t="shared" si="121"/>
        <v/>
      </c>
      <c r="KC42" s="80" t="str">
        <f t="shared" si="122"/>
        <v/>
      </c>
      <c r="KE42" s="16"/>
      <c r="KF42" s="16"/>
      <c r="KG42" s="16"/>
      <c r="KH42" s="16"/>
      <c r="KI42" s="16"/>
      <c r="KJ42" s="16"/>
      <c r="KK42" s="16"/>
      <c r="KL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</row>
    <row r="43" spans="1:309" ht="23.25">
      <c r="A43" s="17">
        <v>41</v>
      </c>
      <c r="B43" s="186">
        <v>41</v>
      </c>
      <c r="C43" s="77" t="str">
        <f>Data!B42</f>
        <v>ABDULMUMINU MUHAMMAD USMAN</v>
      </c>
      <c r="D43" s="87">
        <v>9</v>
      </c>
      <c r="E43" s="87">
        <v>6</v>
      </c>
      <c r="F43" s="87">
        <v>6</v>
      </c>
      <c r="G43" s="87">
        <v>10</v>
      </c>
      <c r="H43" s="88">
        <f t="shared" si="1"/>
        <v>31</v>
      </c>
      <c r="I43" s="87">
        <v>32</v>
      </c>
      <c r="J43" s="88">
        <f t="shared" si="2"/>
        <v>63</v>
      </c>
      <c r="K43" s="79">
        <f t="shared" si="3"/>
        <v>15</v>
      </c>
      <c r="L43" s="79" t="str">
        <f t="shared" si="4"/>
        <v>C4</v>
      </c>
      <c r="M43" s="79" t="str">
        <f t="shared" si="5"/>
        <v>Credit</v>
      </c>
      <c r="N43" s="17">
        <v>41</v>
      </c>
      <c r="O43" s="77" t="str">
        <f>Data!B42</f>
        <v>ABDULMUMINU MUHAMMAD USMAN</v>
      </c>
      <c r="P43" s="78"/>
      <c r="Q43" s="78"/>
      <c r="R43" s="78"/>
      <c r="S43" s="78"/>
      <c r="T43" s="80">
        <f t="shared" si="6"/>
        <v>0</v>
      </c>
      <c r="U43" s="80"/>
      <c r="V43" s="80">
        <f t="shared" si="7"/>
        <v>0</v>
      </c>
      <c r="W43" s="80" t="str">
        <f t="shared" si="8"/>
        <v/>
      </c>
      <c r="X43" s="80" t="str">
        <f t="shared" si="9"/>
        <v/>
      </c>
      <c r="Y43" s="80" t="str">
        <f t="shared" si="10"/>
        <v/>
      </c>
      <c r="Z43" s="11">
        <v>41</v>
      </c>
      <c r="AA43" s="77" t="str">
        <f>Data!B42</f>
        <v>ABDULMUMINU MUHAMMAD USMAN</v>
      </c>
      <c r="AB43" s="87">
        <v>9</v>
      </c>
      <c r="AC43" s="87">
        <v>6</v>
      </c>
      <c r="AD43" s="87">
        <v>6</v>
      </c>
      <c r="AE43" s="87">
        <v>10</v>
      </c>
      <c r="AF43" s="88">
        <f t="shared" si="11"/>
        <v>31</v>
      </c>
      <c r="AG43" s="87">
        <v>32</v>
      </c>
      <c r="AH43" s="88">
        <f t="shared" si="12"/>
        <v>63</v>
      </c>
      <c r="AI43" s="82">
        <f t="shared" si="13"/>
        <v>15</v>
      </c>
      <c r="AJ43" s="82" t="str">
        <f t="shared" si="14"/>
        <v>C4</v>
      </c>
      <c r="AK43" s="82" t="str">
        <f t="shared" si="15"/>
        <v>Credit</v>
      </c>
      <c r="AL43" s="11">
        <v>41</v>
      </c>
      <c r="AM43" s="77" t="str">
        <f>Data!B42</f>
        <v>ABDULMUMINU MUHAMMAD USMAN</v>
      </c>
      <c r="AN43" s="87">
        <v>9</v>
      </c>
      <c r="AO43" s="87">
        <v>6</v>
      </c>
      <c r="AP43" s="87">
        <v>6</v>
      </c>
      <c r="AQ43" s="87">
        <v>10</v>
      </c>
      <c r="AR43" s="88">
        <f t="shared" si="16"/>
        <v>31</v>
      </c>
      <c r="AS43" s="87">
        <v>32</v>
      </c>
      <c r="AT43" s="88">
        <f t="shared" si="17"/>
        <v>63</v>
      </c>
      <c r="AU43" s="83">
        <f t="shared" si="18"/>
        <v>15</v>
      </c>
      <c r="AV43" s="83" t="str">
        <f t="shared" si="19"/>
        <v>C4</v>
      </c>
      <c r="AW43" s="83" t="str">
        <f t="shared" si="20"/>
        <v>Credit</v>
      </c>
      <c r="AX43" s="11">
        <v>41</v>
      </c>
      <c r="AY43" s="77" t="str">
        <f>Data!B42</f>
        <v>ABDULMUMINU MUHAMMAD USMAN</v>
      </c>
      <c r="AZ43" s="87">
        <v>9</v>
      </c>
      <c r="BA43" s="87">
        <v>6</v>
      </c>
      <c r="BB43" s="87">
        <v>6</v>
      </c>
      <c r="BC43" s="87">
        <v>10</v>
      </c>
      <c r="BD43" s="88">
        <f t="shared" si="21"/>
        <v>31</v>
      </c>
      <c r="BE43" s="87">
        <v>32</v>
      </c>
      <c r="BF43" s="88">
        <f t="shared" si="22"/>
        <v>63</v>
      </c>
      <c r="BG43" s="85">
        <f t="shared" si="23"/>
        <v>15</v>
      </c>
      <c r="BH43" s="85" t="str">
        <f t="shared" si="24"/>
        <v>C4</v>
      </c>
      <c r="BI43" s="85" t="str">
        <f t="shared" si="25"/>
        <v>Credit</v>
      </c>
      <c r="BJ43" s="36">
        <v>41</v>
      </c>
      <c r="BK43" s="77" t="str">
        <f>Data!B42</f>
        <v>ABDULMUMINU MUHAMMAD USMAN</v>
      </c>
      <c r="BL43" s="87">
        <v>9</v>
      </c>
      <c r="BM43" s="87">
        <v>6</v>
      </c>
      <c r="BN43" s="87">
        <v>6</v>
      </c>
      <c r="BO43" s="87">
        <v>10</v>
      </c>
      <c r="BP43" s="88">
        <f t="shared" si="26"/>
        <v>31</v>
      </c>
      <c r="BQ43" s="87">
        <v>32</v>
      </c>
      <c r="BR43" s="88">
        <f t="shared" si="27"/>
        <v>63</v>
      </c>
      <c r="BS43" s="86">
        <f t="shared" si="28"/>
        <v>15</v>
      </c>
      <c r="BT43" s="86" t="str">
        <f t="shared" si="29"/>
        <v>C4</v>
      </c>
      <c r="BU43" s="86" t="str">
        <f t="shared" si="30"/>
        <v>Credit</v>
      </c>
      <c r="BV43">
        <v>41</v>
      </c>
      <c r="BW43" s="77" t="str">
        <f>Data!B42</f>
        <v>ABDULMUMINU MUHAMMAD USMAN</v>
      </c>
      <c r="BX43" s="87">
        <v>9</v>
      </c>
      <c r="BY43" s="87">
        <v>6</v>
      </c>
      <c r="BZ43" s="87">
        <v>6</v>
      </c>
      <c r="CA43" s="87">
        <v>10</v>
      </c>
      <c r="CB43" s="88">
        <f t="shared" si="31"/>
        <v>31</v>
      </c>
      <c r="CC43" s="87">
        <v>32</v>
      </c>
      <c r="CD43" s="88">
        <f t="shared" si="32"/>
        <v>63</v>
      </c>
      <c r="CE43" s="88">
        <f t="shared" si="33"/>
        <v>15</v>
      </c>
      <c r="CF43" s="88" t="str">
        <f t="shared" si="34"/>
        <v>C4</v>
      </c>
      <c r="CG43" s="88" t="str">
        <f t="shared" si="35"/>
        <v>Credit</v>
      </c>
      <c r="CH43">
        <v>41</v>
      </c>
      <c r="CI43" s="77" t="str">
        <f>Data!B42</f>
        <v>ABDULMUMINU MUHAMMAD USMAN</v>
      </c>
      <c r="CJ43" s="78"/>
      <c r="CK43" s="78"/>
      <c r="CL43" s="78"/>
      <c r="CM43" s="78"/>
      <c r="CN43" s="89">
        <f t="shared" si="36"/>
        <v>0</v>
      </c>
      <c r="CO43" s="89"/>
      <c r="CP43" s="89">
        <f t="shared" si="37"/>
        <v>0</v>
      </c>
      <c r="CQ43" s="89" t="str">
        <f t="shared" si="38"/>
        <v/>
      </c>
      <c r="CR43" s="89" t="str">
        <f t="shared" si="39"/>
        <v/>
      </c>
      <c r="CS43" s="89" t="str">
        <f t="shared" si="40"/>
        <v/>
      </c>
      <c r="CT43">
        <v>41</v>
      </c>
      <c r="CU43" s="77" t="str">
        <f>Data!B42</f>
        <v>ABDULMUMINU MUHAMMAD USMAN</v>
      </c>
      <c r="CV43" s="12"/>
      <c r="CW43" s="12"/>
      <c r="CX43" s="12"/>
      <c r="CY43" s="12"/>
      <c r="CZ43" s="90">
        <f t="shared" si="41"/>
        <v>0</v>
      </c>
      <c r="DA43" s="12"/>
      <c r="DB43" s="90">
        <f t="shared" si="42"/>
        <v>0</v>
      </c>
      <c r="DC43" s="90" t="str">
        <f t="shared" si="43"/>
        <v/>
      </c>
      <c r="DD43" s="90" t="str">
        <f t="shared" si="44"/>
        <v/>
      </c>
      <c r="DE43" s="90" t="str">
        <f t="shared" si="45"/>
        <v/>
      </c>
      <c r="DF43">
        <v>41</v>
      </c>
      <c r="DG43" s="77" t="str">
        <f>Data!B42</f>
        <v>ABDULMUMINU MUHAMMAD USMAN</v>
      </c>
      <c r="DH43" s="78"/>
      <c r="DI43" s="78"/>
      <c r="DJ43" s="78"/>
      <c r="DK43" s="78"/>
      <c r="DL43" s="85">
        <f t="shared" si="46"/>
        <v>0</v>
      </c>
      <c r="DM43" s="84"/>
      <c r="DN43" s="85">
        <f t="shared" si="47"/>
        <v>0</v>
      </c>
      <c r="DO43" s="85" t="str">
        <f t="shared" si="48"/>
        <v/>
      </c>
      <c r="DP43" s="85" t="str">
        <f t="shared" si="49"/>
        <v/>
      </c>
      <c r="DQ43" s="85" t="str">
        <f t="shared" si="50"/>
        <v/>
      </c>
      <c r="DR43">
        <v>41</v>
      </c>
      <c r="DS43" s="77" t="str">
        <f>Data!B42</f>
        <v>ABDULMUMINU MUHAMMAD USMAN</v>
      </c>
      <c r="DT43" s="91"/>
      <c r="DU43" s="91"/>
      <c r="DV43" s="91"/>
      <c r="DW43" s="91"/>
      <c r="DX43" s="92">
        <f t="shared" si="51"/>
        <v>0</v>
      </c>
      <c r="DY43" s="93"/>
      <c r="DZ43" s="92">
        <f t="shared" si="52"/>
        <v>0</v>
      </c>
      <c r="EA43" s="92" t="str">
        <f t="shared" si="53"/>
        <v/>
      </c>
      <c r="EB43" s="92" t="str">
        <f t="shared" si="54"/>
        <v/>
      </c>
      <c r="EC43" s="92" t="str">
        <f t="shared" si="55"/>
        <v/>
      </c>
      <c r="ED43">
        <v>41</v>
      </c>
      <c r="EE43" s="77" t="str">
        <f>Data!B42</f>
        <v>ABDULMUMINU MUHAMMAD USMAN</v>
      </c>
      <c r="EF43" s="78"/>
      <c r="EG43" s="78"/>
      <c r="EH43" s="78"/>
      <c r="EI43" s="78"/>
      <c r="EJ43" s="94">
        <f t="shared" si="56"/>
        <v>0</v>
      </c>
      <c r="EK43" s="94"/>
      <c r="EL43" s="94">
        <f t="shared" si="57"/>
        <v>0</v>
      </c>
      <c r="EM43" s="94" t="str">
        <f t="shared" si="58"/>
        <v/>
      </c>
      <c r="EN43" s="94" t="str">
        <f t="shared" si="59"/>
        <v/>
      </c>
      <c r="EO43" s="94" t="str">
        <f t="shared" si="60"/>
        <v/>
      </c>
      <c r="EP43">
        <v>41</v>
      </c>
      <c r="EQ43" s="95" t="str">
        <f>Data!B42</f>
        <v>ABDULMUMINU MUHAMMAD USMAN</v>
      </c>
      <c r="ER43" s="78"/>
      <c r="ES43" s="78"/>
      <c r="ET43" s="78"/>
      <c r="EU43" s="78"/>
      <c r="EV43" s="90">
        <f t="shared" si="61"/>
        <v>0</v>
      </c>
      <c r="EW43" s="90"/>
      <c r="EX43" s="90">
        <f t="shared" si="62"/>
        <v>0</v>
      </c>
      <c r="EY43" s="90" t="str">
        <f t="shared" si="63"/>
        <v/>
      </c>
      <c r="EZ43" s="90" t="str">
        <f t="shared" si="64"/>
        <v/>
      </c>
      <c r="FA43" s="90" t="str">
        <f t="shared" si="65"/>
        <v/>
      </c>
      <c r="FB43">
        <v>41</v>
      </c>
      <c r="FC43" s="77" t="str">
        <f>Data!B42</f>
        <v>ABDULMUMINU MUHAMMAD USMAN</v>
      </c>
      <c r="FD43" s="78"/>
      <c r="FE43" s="78"/>
      <c r="FF43" s="78"/>
      <c r="FG43" s="78"/>
      <c r="FH43" s="96">
        <f t="shared" si="66"/>
        <v>0</v>
      </c>
      <c r="FI43" s="96"/>
      <c r="FJ43" s="96">
        <f t="shared" si="67"/>
        <v>0</v>
      </c>
      <c r="FK43" s="96" t="str">
        <f t="shared" si="68"/>
        <v/>
      </c>
      <c r="FL43" s="96" t="str">
        <f t="shared" si="69"/>
        <v/>
      </c>
      <c r="FM43" s="96" t="str">
        <f t="shared" si="70"/>
        <v/>
      </c>
      <c r="FN43">
        <v>41</v>
      </c>
      <c r="FO43" s="77" t="str">
        <f>Data!B42</f>
        <v>ABDULMUMINU MUHAMMAD USMAN</v>
      </c>
      <c r="FP43" s="78"/>
      <c r="FQ43" s="78"/>
      <c r="FR43" s="78"/>
      <c r="FS43" s="78"/>
      <c r="FT43" s="97">
        <f t="shared" si="71"/>
        <v>0</v>
      </c>
      <c r="FU43" s="97"/>
      <c r="FV43" s="97">
        <f t="shared" si="72"/>
        <v>0</v>
      </c>
      <c r="FW43" s="97" t="str">
        <f t="shared" si="73"/>
        <v/>
      </c>
      <c r="FX43" s="97" t="str">
        <f t="shared" si="74"/>
        <v/>
      </c>
      <c r="FY43" s="97" t="str">
        <f t="shared" si="75"/>
        <v/>
      </c>
      <c r="FZ43">
        <v>41</v>
      </c>
      <c r="GA43" s="77" t="str">
        <f>Data!B42</f>
        <v>ABDULMUMINU MUHAMMAD USMAN</v>
      </c>
      <c r="GB43" s="78"/>
      <c r="GC43" s="78"/>
      <c r="GD43" s="78"/>
      <c r="GE43" s="78"/>
      <c r="GF43" s="98">
        <f t="shared" si="76"/>
        <v>0</v>
      </c>
      <c r="GG43" s="98"/>
      <c r="GH43" s="98">
        <f t="shared" si="77"/>
        <v>0</v>
      </c>
      <c r="GI43" s="98" t="str">
        <f t="shared" si="78"/>
        <v/>
      </c>
      <c r="GJ43" s="98" t="str">
        <f t="shared" si="79"/>
        <v/>
      </c>
      <c r="GK43" s="98" t="str">
        <f t="shared" si="80"/>
        <v/>
      </c>
      <c r="GL43">
        <v>41</v>
      </c>
      <c r="GM43" s="77" t="str">
        <f>Data!B42</f>
        <v>ABDULMUMINU MUHAMMAD USMAN</v>
      </c>
      <c r="GN43" s="99"/>
      <c r="GO43" s="99"/>
      <c r="GP43" s="99"/>
      <c r="GQ43" s="99"/>
      <c r="GR43" s="100">
        <f t="shared" si="81"/>
        <v>0</v>
      </c>
      <c r="GS43" s="99"/>
      <c r="GT43" s="100">
        <f t="shared" si="82"/>
        <v>0</v>
      </c>
      <c r="GU43" s="100" t="str">
        <f t="shared" si="83"/>
        <v/>
      </c>
      <c r="GV43" s="100" t="str">
        <f t="shared" si="84"/>
        <v/>
      </c>
      <c r="GW43" s="100" t="str">
        <f t="shared" si="85"/>
        <v/>
      </c>
      <c r="GX43">
        <v>41</v>
      </c>
      <c r="GY43" s="77" t="str">
        <f>Data!B42</f>
        <v>ABDULMUMINU MUHAMMAD USMAN</v>
      </c>
      <c r="GZ43" s="78"/>
      <c r="HA43" s="78"/>
      <c r="HB43" s="78"/>
      <c r="HC43" s="78"/>
      <c r="HD43" s="86">
        <f t="shared" si="86"/>
        <v>0</v>
      </c>
      <c r="HE43" s="86"/>
      <c r="HF43" s="86">
        <f t="shared" si="87"/>
        <v>0</v>
      </c>
      <c r="HG43" s="86" t="str">
        <f t="shared" si="88"/>
        <v/>
      </c>
      <c r="HH43" s="86" t="str">
        <f t="shared" si="89"/>
        <v/>
      </c>
      <c r="HI43" s="86" t="str">
        <f t="shared" si="90"/>
        <v/>
      </c>
      <c r="HJ43">
        <v>41</v>
      </c>
      <c r="HK43" s="77" t="str">
        <f>Data!B42</f>
        <v>ABDULMUMINU MUHAMMAD USMAN</v>
      </c>
      <c r="HL43" s="111">
        <v>10</v>
      </c>
      <c r="HM43" s="112">
        <v>6</v>
      </c>
      <c r="HN43" s="112">
        <v>10</v>
      </c>
      <c r="HO43" s="112">
        <v>10</v>
      </c>
      <c r="HP43" s="103">
        <f t="shared" si="91"/>
        <v>36</v>
      </c>
      <c r="HQ43" s="111"/>
      <c r="HR43" s="103">
        <f t="shared" si="92"/>
        <v>36</v>
      </c>
      <c r="HS43" s="103">
        <f t="shared" si="93"/>
        <v>2</v>
      </c>
      <c r="HT43" s="103" t="str">
        <f t="shared" si="94"/>
        <v>F</v>
      </c>
      <c r="HU43" s="103" t="str">
        <f t="shared" si="95"/>
        <v>Fail</v>
      </c>
      <c r="HV43">
        <v>41</v>
      </c>
      <c r="HW43" s="77" t="str">
        <f>Data!B42</f>
        <v>ABDULMUMINU MUHAMMAD USMAN</v>
      </c>
      <c r="HX43" s="78"/>
      <c r="HY43" s="78"/>
      <c r="HZ43" s="78"/>
      <c r="IA43" s="78"/>
      <c r="IB43" s="85">
        <f t="shared" si="96"/>
        <v>0</v>
      </c>
      <c r="IC43" s="85"/>
      <c r="ID43" s="85">
        <f t="shared" si="97"/>
        <v>0</v>
      </c>
      <c r="IE43" s="85" t="str">
        <f t="shared" si="98"/>
        <v/>
      </c>
      <c r="IF43" s="85" t="str">
        <f t="shared" si="99"/>
        <v/>
      </c>
      <c r="IG43" s="85" t="str">
        <f t="shared" si="100"/>
        <v/>
      </c>
      <c r="IH43">
        <v>41</v>
      </c>
      <c r="II43" s="77" t="str">
        <f>Data!B42</f>
        <v>ABDULMUMINU MUHAMMAD USMAN</v>
      </c>
      <c r="IJ43" s="78"/>
      <c r="IK43" s="78"/>
      <c r="IL43" s="78"/>
      <c r="IM43" s="78"/>
      <c r="IN43" s="104">
        <f t="shared" si="101"/>
        <v>0</v>
      </c>
      <c r="IO43" s="104"/>
      <c r="IP43" s="104">
        <f t="shared" si="102"/>
        <v>0</v>
      </c>
      <c r="IQ43" s="104" t="str">
        <f t="shared" si="103"/>
        <v/>
      </c>
      <c r="IR43" s="104" t="str">
        <f t="shared" si="104"/>
        <v/>
      </c>
      <c r="IS43" s="104" t="str">
        <f t="shared" si="105"/>
        <v/>
      </c>
      <c r="IT43">
        <v>41</v>
      </c>
      <c r="IU43" s="77" t="str">
        <f t="shared" si="106"/>
        <v>ABDULMUMINU MUHAMMAD USMAN</v>
      </c>
      <c r="IV43" s="105"/>
      <c r="IW43" s="105"/>
      <c r="IX43" s="105"/>
      <c r="IY43" s="105"/>
      <c r="IZ43" s="98">
        <f t="shared" si="107"/>
        <v>0</v>
      </c>
      <c r="JA43" s="105"/>
      <c r="JB43" s="98">
        <f t="shared" si="108"/>
        <v>0</v>
      </c>
      <c r="JC43" s="98" t="str">
        <f t="shared" si="109"/>
        <v/>
      </c>
      <c r="JD43" s="98" t="str">
        <f t="shared" si="110"/>
        <v/>
      </c>
      <c r="JE43" s="98" t="str">
        <f t="shared" si="111"/>
        <v/>
      </c>
      <c r="JF43">
        <v>41</v>
      </c>
      <c r="JG43" s="77" t="str">
        <f t="shared" si="112"/>
        <v>ABDULMUMINU MUHAMMAD USMAN</v>
      </c>
      <c r="JH43" s="114"/>
      <c r="JI43" s="114"/>
      <c r="JJ43" s="114"/>
      <c r="JK43" s="114"/>
      <c r="JL43" s="82">
        <f t="shared" si="113"/>
        <v>0</v>
      </c>
      <c r="JM43" s="114"/>
      <c r="JN43" s="82">
        <f t="shared" si="114"/>
        <v>0</v>
      </c>
      <c r="JO43" s="82" t="str">
        <f t="shared" si="115"/>
        <v/>
      </c>
      <c r="JP43" s="82" t="str">
        <f t="shared" si="116"/>
        <v/>
      </c>
      <c r="JQ43" s="82" t="str">
        <f t="shared" si="117"/>
        <v/>
      </c>
      <c r="JR43">
        <v>41</v>
      </c>
      <c r="JS43" s="77" t="str">
        <f t="shared" si="118"/>
        <v>ABDULMUMINU MUHAMMAD USMAN</v>
      </c>
      <c r="JT43" s="107"/>
      <c r="JU43" s="107"/>
      <c r="JV43" s="107"/>
      <c r="JW43" s="107"/>
      <c r="JX43" s="80">
        <f t="shared" si="119"/>
        <v>0</v>
      </c>
      <c r="JY43" s="108"/>
      <c r="JZ43" s="80">
        <f t="shared" si="0"/>
        <v>0</v>
      </c>
      <c r="KA43" s="80" t="str">
        <f t="shared" si="120"/>
        <v/>
      </c>
      <c r="KB43" s="80" t="str">
        <f t="shared" si="121"/>
        <v/>
      </c>
      <c r="KC43" s="80" t="str">
        <f t="shared" si="122"/>
        <v/>
      </c>
      <c r="KE43" s="16"/>
      <c r="KF43" s="16"/>
      <c r="KG43" s="16"/>
      <c r="KH43" s="16"/>
      <c r="KI43" s="16"/>
      <c r="KJ43" s="16"/>
      <c r="KK43" s="16"/>
      <c r="KL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</row>
    <row r="44" spans="1:309" ht="23.25">
      <c r="A44" s="17">
        <v>42</v>
      </c>
      <c r="B44" s="186">
        <v>42</v>
      </c>
      <c r="C44" s="77" t="str">
        <f>Data!B43</f>
        <v>Maryam Abba Tijjani</v>
      </c>
      <c r="D44" s="87">
        <v>2</v>
      </c>
      <c r="E44" s="87">
        <v>4</v>
      </c>
      <c r="F44" s="87">
        <v>6</v>
      </c>
      <c r="G44" s="87">
        <v>6</v>
      </c>
      <c r="H44" s="88">
        <f t="shared" si="1"/>
        <v>18</v>
      </c>
      <c r="I44" s="87">
        <v>20</v>
      </c>
      <c r="J44" s="88">
        <f t="shared" si="2"/>
        <v>38</v>
      </c>
      <c r="K44" s="79">
        <f t="shared" si="3"/>
        <v>47</v>
      </c>
      <c r="L44" s="79" t="str">
        <f t="shared" si="4"/>
        <v>F</v>
      </c>
      <c r="M44" s="79" t="str">
        <f t="shared" si="5"/>
        <v>Fail</v>
      </c>
      <c r="N44" s="17">
        <v>42</v>
      </c>
      <c r="O44" s="77" t="str">
        <f>Data!B43</f>
        <v>Maryam Abba Tijjani</v>
      </c>
      <c r="P44" s="78"/>
      <c r="Q44" s="78"/>
      <c r="R44" s="78"/>
      <c r="S44" s="78"/>
      <c r="T44" s="80">
        <f t="shared" si="6"/>
        <v>0</v>
      </c>
      <c r="U44" s="80"/>
      <c r="V44" s="80">
        <f t="shared" si="7"/>
        <v>0</v>
      </c>
      <c r="W44" s="80" t="str">
        <f t="shared" si="8"/>
        <v/>
      </c>
      <c r="X44" s="80" t="str">
        <f t="shared" si="9"/>
        <v/>
      </c>
      <c r="Y44" s="80" t="str">
        <f t="shared" si="10"/>
        <v/>
      </c>
      <c r="Z44" s="11">
        <v>42</v>
      </c>
      <c r="AA44" s="77" t="str">
        <f>Data!B43</f>
        <v>Maryam Abba Tijjani</v>
      </c>
      <c r="AB44" s="87">
        <v>2</v>
      </c>
      <c r="AC44" s="87">
        <v>4</v>
      </c>
      <c r="AD44" s="87">
        <v>6</v>
      </c>
      <c r="AE44" s="87">
        <v>6</v>
      </c>
      <c r="AF44" s="88">
        <f t="shared" si="11"/>
        <v>18</v>
      </c>
      <c r="AG44" s="87">
        <v>20</v>
      </c>
      <c r="AH44" s="88">
        <f t="shared" si="12"/>
        <v>38</v>
      </c>
      <c r="AI44" s="82">
        <f t="shared" si="13"/>
        <v>47</v>
      </c>
      <c r="AJ44" s="82" t="str">
        <f t="shared" si="14"/>
        <v>F</v>
      </c>
      <c r="AK44" s="82" t="str">
        <f t="shared" si="15"/>
        <v>Fail</v>
      </c>
      <c r="AL44" s="11">
        <v>42</v>
      </c>
      <c r="AM44" s="77" t="str">
        <f>Data!B43</f>
        <v>Maryam Abba Tijjani</v>
      </c>
      <c r="AN44" s="87">
        <v>2</v>
      </c>
      <c r="AO44" s="87">
        <v>4</v>
      </c>
      <c r="AP44" s="87">
        <v>6</v>
      </c>
      <c r="AQ44" s="87">
        <v>6</v>
      </c>
      <c r="AR44" s="88">
        <f t="shared" si="16"/>
        <v>18</v>
      </c>
      <c r="AS44" s="87">
        <v>20</v>
      </c>
      <c r="AT44" s="88">
        <f t="shared" si="17"/>
        <v>38</v>
      </c>
      <c r="AU44" s="83">
        <f t="shared" si="18"/>
        <v>47</v>
      </c>
      <c r="AV44" s="83" t="str">
        <f t="shared" si="19"/>
        <v>F</v>
      </c>
      <c r="AW44" s="83" t="str">
        <f t="shared" si="20"/>
        <v>Fail</v>
      </c>
      <c r="AX44" s="11">
        <v>42</v>
      </c>
      <c r="AY44" s="77" t="str">
        <f>Data!B43</f>
        <v>Maryam Abba Tijjani</v>
      </c>
      <c r="AZ44" s="87">
        <v>2</v>
      </c>
      <c r="BA44" s="87">
        <v>4</v>
      </c>
      <c r="BB44" s="87">
        <v>6</v>
      </c>
      <c r="BC44" s="87">
        <v>6</v>
      </c>
      <c r="BD44" s="88">
        <f t="shared" si="21"/>
        <v>18</v>
      </c>
      <c r="BE44" s="87">
        <v>20</v>
      </c>
      <c r="BF44" s="88">
        <f t="shared" si="22"/>
        <v>38</v>
      </c>
      <c r="BG44" s="85">
        <f t="shared" si="23"/>
        <v>47</v>
      </c>
      <c r="BH44" s="85" t="str">
        <f t="shared" si="24"/>
        <v>F</v>
      </c>
      <c r="BI44" s="85" t="str">
        <f t="shared" si="25"/>
        <v>Fail</v>
      </c>
      <c r="BJ44" s="36">
        <v>42</v>
      </c>
      <c r="BK44" s="77" t="str">
        <f>Data!B43</f>
        <v>Maryam Abba Tijjani</v>
      </c>
      <c r="BL44" s="87">
        <v>2</v>
      </c>
      <c r="BM44" s="87">
        <v>4</v>
      </c>
      <c r="BN44" s="87">
        <v>6</v>
      </c>
      <c r="BO44" s="87">
        <v>6</v>
      </c>
      <c r="BP44" s="88">
        <f t="shared" si="26"/>
        <v>18</v>
      </c>
      <c r="BQ44" s="87">
        <v>20</v>
      </c>
      <c r="BR44" s="88">
        <f t="shared" si="27"/>
        <v>38</v>
      </c>
      <c r="BS44" s="86">
        <f t="shared" si="28"/>
        <v>47</v>
      </c>
      <c r="BT44" s="86" t="str">
        <f t="shared" si="29"/>
        <v>F</v>
      </c>
      <c r="BU44" s="86" t="str">
        <f t="shared" si="30"/>
        <v>Fail</v>
      </c>
      <c r="BV44">
        <v>42</v>
      </c>
      <c r="BW44" s="77" t="str">
        <f>Data!B43</f>
        <v>Maryam Abba Tijjani</v>
      </c>
      <c r="BX44" s="87">
        <v>2</v>
      </c>
      <c r="BY44" s="87">
        <v>4</v>
      </c>
      <c r="BZ44" s="87">
        <v>6</v>
      </c>
      <c r="CA44" s="87">
        <v>6</v>
      </c>
      <c r="CB44" s="88">
        <f t="shared" si="31"/>
        <v>18</v>
      </c>
      <c r="CC44" s="87">
        <v>20</v>
      </c>
      <c r="CD44" s="88">
        <f t="shared" si="32"/>
        <v>38</v>
      </c>
      <c r="CE44" s="88">
        <f t="shared" si="33"/>
        <v>47</v>
      </c>
      <c r="CF44" s="88" t="str">
        <f t="shared" si="34"/>
        <v>F</v>
      </c>
      <c r="CG44" s="88" t="str">
        <f t="shared" si="35"/>
        <v>Fail</v>
      </c>
      <c r="CH44">
        <v>42</v>
      </c>
      <c r="CI44" s="77" t="str">
        <f>Data!B43</f>
        <v>Maryam Abba Tijjani</v>
      </c>
      <c r="CJ44" s="78"/>
      <c r="CK44" s="78"/>
      <c r="CL44" s="78"/>
      <c r="CM44" s="78"/>
      <c r="CN44" s="89">
        <f t="shared" si="36"/>
        <v>0</v>
      </c>
      <c r="CO44" s="89"/>
      <c r="CP44" s="89">
        <f t="shared" si="37"/>
        <v>0</v>
      </c>
      <c r="CQ44" s="89" t="str">
        <f t="shared" si="38"/>
        <v/>
      </c>
      <c r="CR44" s="89" t="str">
        <f t="shared" si="39"/>
        <v/>
      </c>
      <c r="CS44" s="89" t="str">
        <f t="shared" si="40"/>
        <v/>
      </c>
      <c r="CT44">
        <v>42</v>
      </c>
      <c r="CU44" s="77" t="str">
        <f>Data!B43</f>
        <v>Maryam Abba Tijjani</v>
      </c>
      <c r="CV44" s="78"/>
      <c r="CW44" s="78"/>
      <c r="CX44" s="78"/>
      <c r="CY44" s="78"/>
      <c r="CZ44" s="90">
        <f t="shared" si="41"/>
        <v>0</v>
      </c>
      <c r="DA44" s="117"/>
      <c r="DB44" s="90">
        <f t="shared" si="42"/>
        <v>0</v>
      </c>
      <c r="DC44" s="90" t="str">
        <f t="shared" si="43"/>
        <v/>
      </c>
      <c r="DD44" s="90" t="str">
        <f t="shared" si="44"/>
        <v/>
      </c>
      <c r="DE44" s="90" t="str">
        <f t="shared" si="45"/>
        <v/>
      </c>
      <c r="DF44">
        <v>42</v>
      </c>
      <c r="DG44" s="77" t="str">
        <f>Data!B43</f>
        <v>Maryam Abba Tijjani</v>
      </c>
      <c r="DH44" s="78"/>
      <c r="DI44" s="78"/>
      <c r="DJ44" s="78"/>
      <c r="DK44" s="78"/>
      <c r="DL44" s="85">
        <f t="shared" si="46"/>
        <v>0</v>
      </c>
      <c r="DM44" s="84"/>
      <c r="DN44" s="85">
        <f t="shared" si="47"/>
        <v>0</v>
      </c>
      <c r="DO44" s="85" t="str">
        <f t="shared" si="48"/>
        <v/>
      </c>
      <c r="DP44" s="85" t="str">
        <f t="shared" si="49"/>
        <v/>
      </c>
      <c r="DQ44" s="85" t="str">
        <f t="shared" si="50"/>
        <v/>
      </c>
      <c r="DR44">
        <v>42</v>
      </c>
      <c r="DS44" s="77" t="str">
        <f>Data!B43</f>
        <v>Maryam Abba Tijjani</v>
      </c>
      <c r="DT44" s="91"/>
      <c r="DU44" s="91"/>
      <c r="DV44" s="91"/>
      <c r="DW44" s="91"/>
      <c r="DX44" s="92">
        <f t="shared" si="51"/>
        <v>0</v>
      </c>
      <c r="DY44" s="93"/>
      <c r="DZ44" s="92">
        <f t="shared" si="52"/>
        <v>0</v>
      </c>
      <c r="EA44" s="92" t="str">
        <f t="shared" si="53"/>
        <v/>
      </c>
      <c r="EB44" s="92" t="str">
        <f t="shared" si="54"/>
        <v/>
      </c>
      <c r="EC44" s="92" t="str">
        <f t="shared" si="55"/>
        <v/>
      </c>
      <c r="ED44">
        <v>42</v>
      </c>
      <c r="EE44" s="77" t="str">
        <f>Data!B43</f>
        <v>Maryam Abba Tijjani</v>
      </c>
      <c r="EF44" s="78"/>
      <c r="EG44" s="78"/>
      <c r="EH44" s="78"/>
      <c r="EI44" s="78"/>
      <c r="EJ44" s="94">
        <f t="shared" si="56"/>
        <v>0</v>
      </c>
      <c r="EK44" s="94"/>
      <c r="EL44" s="94">
        <f t="shared" si="57"/>
        <v>0</v>
      </c>
      <c r="EM44" s="94" t="str">
        <f t="shared" si="58"/>
        <v/>
      </c>
      <c r="EN44" s="94" t="str">
        <f t="shared" si="59"/>
        <v/>
      </c>
      <c r="EO44" s="94" t="str">
        <f t="shared" si="60"/>
        <v/>
      </c>
      <c r="EP44">
        <v>42</v>
      </c>
      <c r="EQ44" s="95" t="str">
        <f>Data!B43</f>
        <v>Maryam Abba Tijjani</v>
      </c>
      <c r="ER44" s="78"/>
      <c r="ES44" s="78"/>
      <c r="ET44" s="78"/>
      <c r="EU44" s="78"/>
      <c r="EV44" s="90">
        <f t="shared" si="61"/>
        <v>0</v>
      </c>
      <c r="EW44" s="90"/>
      <c r="EX44" s="90">
        <f t="shared" si="62"/>
        <v>0</v>
      </c>
      <c r="EY44" s="90" t="str">
        <f t="shared" si="63"/>
        <v/>
      </c>
      <c r="EZ44" s="90" t="str">
        <f t="shared" si="64"/>
        <v/>
      </c>
      <c r="FA44" s="90" t="str">
        <f t="shared" si="65"/>
        <v/>
      </c>
      <c r="FB44">
        <v>42</v>
      </c>
      <c r="FC44" s="77" t="str">
        <f>Data!B43</f>
        <v>Maryam Abba Tijjani</v>
      </c>
      <c r="FD44" s="78"/>
      <c r="FE44" s="78"/>
      <c r="FF44" s="78"/>
      <c r="FG44" s="78"/>
      <c r="FH44" s="96">
        <f t="shared" si="66"/>
        <v>0</v>
      </c>
      <c r="FI44" s="96"/>
      <c r="FJ44" s="96">
        <f t="shared" si="67"/>
        <v>0</v>
      </c>
      <c r="FK44" s="96" t="str">
        <f t="shared" si="68"/>
        <v/>
      </c>
      <c r="FL44" s="96" t="str">
        <f t="shared" si="69"/>
        <v/>
      </c>
      <c r="FM44" s="96" t="str">
        <f t="shared" si="70"/>
        <v/>
      </c>
      <c r="FN44">
        <v>42</v>
      </c>
      <c r="FO44" s="77" t="str">
        <f>Data!B43</f>
        <v>Maryam Abba Tijjani</v>
      </c>
      <c r="FP44" s="78"/>
      <c r="FQ44" s="78"/>
      <c r="FR44" s="78"/>
      <c r="FS44" s="78"/>
      <c r="FT44" s="97">
        <f t="shared" si="71"/>
        <v>0</v>
      </c>
      <c r="FU44" s="97"/>
      <c r="FV44" s="97">
        <f t="shared" si="72"/>
        <v>0</v>
      </c>
      <c r="FW44" s="97" t="str">
        <f t="shared" si="73"/>
        <v/>
      </c>
      <c r="FX44" s="97" t="str">
        <f t="shared" si="74"/>
        <v/>
      </c>
      <c r="FY44" s="97" t="str">
        <f t="shared" si="75"/>
        <v/>
      </c>
      <c r="FZ44">
        <v>42</v>
      </c>
      <c r="GA44" s="77" t="str">
        <f>Data!B43</f>
        <v>Maryam Abba Tijjani</v>
      </c>
      <c r="GB44" s="78"/>
      <c r="GC44" s="78"/>
      <c r="GD44" s="78"/>
      <c r="GE44" s="78"/>
      <c r="GF44" s="98">
        <f t="shared" si="76"/>
        <v>0</v>
      </c>
      <c r="GG44" s="98"/>
      <c r="GH44" s="98">
        <f t="shared" si="77"/>
        <v>0</v>
      </c>
      <c r="GI44" s="98" t="str">
        <f t="shared" si="78"/>
        <v/>
      </c>
      <c r="GJ44" s="98" t="str">
        <f t="shared" si="79"/>
        <v/>
      </c>
      <c r="GK44" s="98" t="str">
        <f t="shared" si="80"/>
        <v/>
      </c>
      <c r="GL44">
        <v>42</v>
      </c>
      <c r="GM44" s="77" t="str">
        <f>Data!B43</f>
        <v>Maryam Abba Tijjani</v>
      </c>
      <c r="GN44" s="99"/>
      <c r="GO44" s="99"/>
      <c r="GP44" s="99"/>
      <c r="GQ44" s="99"/>
      <c r="GR44" s="100">
        <f t="shared" si="81"/>
        <v>0</v>
      </c>
      <c r="GS44" s="99"/>
      <c r="GT44" s="100">
        <f t="shared" si="82"/>
        <v>0</v>
      </c>
      <c r="GU44" s="100" t="str">
        <f t="shared" si="83"/>
        <v/>
      </c>
      <c r="GV44" s="100" t="str">
        <f t="shared" si="84"/>
        <v/>
      </c>
      <c r="GW44" s="100" t="str">
        <f t="shared" si="85"/>
        <v/>
      </c>
      <c r="GX44">
        <v>42</v>
      </c>
      <c r="GY44" s="77" t="str">
        <f>Data!B43</f>
        <v>Maryam Abba Tijjani</v>
      </c>
      <c r="GZ44" s="78"/>
      <c r="HA44" s="78"/>
      <c r="HB44" s="78"/>
      <c r="HC44" s="78"/>
      <c r="HD44" s="86">
        <f t="shared" si="86"/>
        <v>0</v>
      </c>
      <c r="HE44" s="86"/>
      <c r="HF44" s="86">
        <f t="shared" si="87"/>
        <v>0</v>
      </c>
      <c r="HG44" s="86" t="str">
        <f t="shared" si="88"/>
        <v/>
      </c>
      <c r="HH44" s="86" t="str">
        <f t="shared" si="89"/>
        <v/>
      </c>
      <c r="HI44" s="86" t="str">
        <f t="shared" si="90"/>
        <v/>
      </c>
      <c r="HJ44">
        <v>42</v>
      </c>
      <c r="HK44" s="77" t="str">
        <f>Data!B43</f>
        <v>Maryam Abba Tijjani</v>
      </c>
      <c r="HL44" s="111">
        <v>3</v>
      </c>
      <c r="HM44" s="112">
        <v>2</v>
      </c>
      <c r="HN44" s="112">
        <v>9</v>
      </c>
      <c r="HO44" s="112">
        <v>10</v>
      </c>
      <c r="HP44" s="103">
        <f t="shared" si="91"/>
        <v>24</v>
      </c>
      <c r="HQ44" s="111"/>
      <c r="HR44" s="103">
        <f t="shared" si="92"/>
        <v>24</v>
      </c>
      <c r="HS44" s="103">
        <f t="shared" si="93"/>
        <v>19</v>
      </c>
      <c r="HT44" s="103" t="str">
        <f t="shared" si="94"/>
        <v>F</v>
      </c>
      <c r="HU44" s="103" t="str">
        <f t="shared" si="95"/>
        <v>Fail</v>
      </c>
      <c r="HV44">
        <v>42</v>
      </c>
      <c r="HW44" s="77" t="str">
        <f>Data!B43</f>
        <v>Maryam Abba Tijjani</v>
      </c>
      <c r="HX44" s="78"/>
      <c r="HY44" s="78"/>
      <c r="HZ44" s="78"/>
      <c r="IA44" s="78"/>
      <c r="IB44" s="85">
        <f t="shared" si="96"/>
        <v>0</v>
      </c>
      <c r="IC44" s="85"/>
      <c r="ID44" s="85">
        <f t="shared" si="97"/>
        <v>0</v>
      </c>
      <c r="IE44" s="85" t="str">
        <f t="shared" si="98"/>
        <v/>
      </c>
      <c r="IF44" s="85" t="str">
        <f t="shared" si="99"/>
        <v/>
      </c>
      <c r="IG44" s="85" t="str">
        <f t="shared" si="100"/>
        <v/>
      </c>
      <c r="IH44">
        <v>42</v>
      </c>
      <c r="II44" s="77" t="str">
        <f>Data!B43</f>
        <v>Maryam Abba Tijjani</v>
      </c>
      <c r="IJ44" s="78"/>
      <c r="IK44" s="78"/>
      <c r="IL44" s="78"/>
      <c r="IM44" s="78"/>
      <c r="IN44" s="104">
        <f t="shared" si="101"/>
        <v>0</v>
      </c>
      <c r="IO44" s="104"/>
      <c r="IP44" s="104">
        <f t="shared" si="102"/>
        <v>0</v>
      </c>
      <c r="IQ44" s="104" t="str">
        <f t="shared" si="103"/>
        <v/>
      </c>
      <c r="IR44" s="104" t="str">
        <f t="shared" si="104"/>
        <v/>
      </c>
      <c r="IS44" s="104" t="str">
        <f t="shared" si="105"/>
        <v/>
      </c>
      <c r="IT44">
        <v>42</v>
      </c>
      <c r="IU44" s="77" t="str">
        <f t="shared" si="106"/>
        <v>Maryam Abba Tijjani</v>
      </c>
      <c r="IV44" s="116"/>
      <c r="IW44" s="116"/>
      <c r="IX44" s="116"/>
      <c r="IY44" s="116"/>
      <c r="IZ44" s="98">
        <f t="shared" si="107"/>
        <v>0</v>
      </c>
      <c r="JA44" s="105"/>
      <c r="JB44" s="98">
        <f t="shared" si="108"/>
        <v>0</v>
      </c>
      <c r="JC44" s="98" t="str">
        <f t="shared" si="109"/>
        <v/>
      </c>
      <c r="JD44" s="98" t="str">
        <f t="shared" si="110"/>
        <v/>
      </c>
      <c r="JE44" s="98" t="str">
        <f t="shared" si="111"/>
        <v/>
      </c>
      <c r="JF44">
        <v>42</v>
      </c>
      <c r="JG44" s="77" t="str">
        <f t="shared" si="112"/>
        <v>Maryam Abba Tijjani</v>
      </c>
      <c r="JH44" s="114"/>
      <c r="JI44" s="114"/>
      <c r="JJ44" s="114"/>
      <c r="JK44" s="114"/>
      <c r="JL44" s="82">
        <f t="shared" si="113"/>
        <v>0</v>
      </c>
      <c r="JM44" s="114"/>
      <c r="JN44" s="82">
        <f t="shared" si="114"/>
        <v>0</v>
      </c>
      <c r="JO44" s="82" t="str">
        <f t="shared" si="115"/>
        <v/>
      </c>
      <c r="JP44" s="82" t="str">
        <f t="shared" si="116"/>
        <v/>
      </c>
      <c r="JQ44" s="82" t="str">
        <f t="shared" si="117"/>
        <v/>
      </c>
      <c r="JR44">
        <v>42</v>
      </c>
      <c r="JS44" s="77" t="str">
        <f t="shared" si="118"/>
        <v>Maryam Abba Tijjani</v>
      </c>
      <c r="JT44" s="107"/>
      <c r="JU44" s="107"/>
      <c r="JV44" s="107"/>
      <c r="JW44" s="107"/>
      <c r="JX44" s="80">
        <f t="shared" si="119"/>
        <v>0</v>
      </c>
      <c r="JY44" s="108"/>
      <c r="JZ44" s="80">
        <f t="shared" si="0"/>
        <v>0</v>
      </c>
      <c r="KA44" s="80" t="str">
        <f t="shared" si="120"/>
        <v/>
      </c>
      <c r="KB44" s="80" t="str">
        <f t="shared" si="121"/>
        <v/>
      </c>
      <c r="KC44" s="80" t="str">
        <f t="shared" si="122"/>
        <v/>
      </c>
      <c r="KE44" s="16"/>
      <c r="KF44" s="16"/>
      <c r="KG44" s="16"/>
      <c r="KH44" s="16"/>
      <c r="KI44" s="16"/>
      <c r="KJ44" s="16"/>
      <c r="KK44" s="16"/>
      <c r="KL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</row>
    <row r="45" spans="1:309" ht="23.25">
      <c r="A45" s="17">
        <v>43</v>
      </c>
      <c r="B45" s="186">
        <v>43</v>
      </c>
      <c r="C45" s="77" t="str">
        <f>Data!B44</f>
        <v>Maryam Kadafur</v>
      </c>
      <c r="D45" s="87">
        <v>2</v>
      </c>
      <c r="E45" s="87">
        <v>5</v>
      </c>
      <c r="F45" s="87">
        <v>10</v>
      </c>
      <c r="G45" s="87">
        <v>10</v>
      </c>
      <c r="H45" s="88">
        <f t="shared" si="1"/>
        <v>27</v>
      </c>
      <c r="I45" s="87">
        <v>30</v>
      </c>
      <c r="J45" s="88">
        <f t="shared" si="2"/>
        <v>57</v>
      </c>
      <c r="K45" s="79">
        <f t="shared" si="3"/>
        <v>23</v>
      </c>
      <c r="L45" s="79" t="str">
        <f t="shared" si="4"/>
        <v>C5</v>
      </c>
      <c r="M45" s="79" t="str">
        <f t="shared" si="5"/>
        <v>Credit</v>
      </c>
      <c r="N45" s="17">
        <v>43</v>
      </c>
      <c r="O45" s="77" t="str">
        <f>Data!B44</f>
        <v>Maryam Kadafur</v>
      </c>
      <c r="P45" s="78"/>
      <c r="Q45" s="78"/>
      <c r="R45" s="78"/>
      <c r="S45" s="78"/>
      <c r="T45" s="80">
        <f t="shared" si="6"/>
        <v>0</v>
      </c>
      <c r="U45" s="80"/>
      <c r="V45" s="80">
        <f t="shared" si="7"/>
        <v>0</v>
      </c>
      <c r="W45" s="80" t="str">
        <f t="shared" si="8"/>
        <v/>
      </c>
      <c r="X45" s="80" t="str">
        <f t="shared" si="9"/>
        <v/>
      </c>
      <c r="Y45" s="80" t="str">
        <f t="shared" si="10"/>
        <v/>
      </c>
      <c r="Z45" s="11">
        <v>43</v>
      </c>
      <c r="AA45" s="77" t="str">
        <f>Data!B44</f>
        <v>Maryam Kadafur</v>
      </c>
      <c r="AB45" s="87">
        <v>2</v>
      </c>
      <c r="AC45" s="87">
        <v>5</v>
      </c>
      <c r="AD45" s="87">
        <v>10</v>
      </c>
      <c r="AE45" s="87">
        <v>10</v>
      </c>
      <c r="AF45" s="88">
        <f t="shared" si="11"/>
        <v>27</v>
      </c>
      <c r="AG45" s="87">
        <v>30</v>
      </c>
      <c r="AH45" s="88">
        <f t="shared" si="12"/>
        <v>57</v>
      </c>
      <c r="AI45" s="82">
        <f t="shared" si="13"/>
        <v>23</v>
      </c>
      <c r="AJ45" s="82" t="str">
        <f t="shared" si="14"/>
        <v>C5</v>
      </c>
      <c r="AK45" s="82" t="str">
        <f t="shared" si="15"/>
        <v>Credit</v>
      </c>
      <c r="AL45" s="11">
        <v>43</v>
      </c>
      <c r="AM45" s="77" t="str">
        <f>Data!B44</f>
        <v>Maryam Kadafur</v>
      </c>
      <c r="AN45" s="87">
        <v>2</v>
      </c>
      <c r="AO45" s="87">
        <v>5</v>
      </c>
      <c r="AP45" s="87">
        <v>10</v>
      </c>
      <c r="AQ45" s="87">
        <v>10</v>
      </c>
      <c r="AR45" s="88">
        <f t="shared" si="16"/>
        <v>27</v>
      </c>
      <c r="AS45" s="87">
        <v>30</v>
      </c>
      <c r="AT45" s="88">
        <f t="shared" si="17"/>
        <v>57</v>
      </c>
      <c r="AU45" s="83">
        <f t="shared" si="18"/>
        <v>23</v>
      </c>
      <c r="AV45" s="83" t="str">
        <f t="shared" si="19"/>
        <v>C5</v>
      </c>
      <c r="AW45" s="83" t="str">
        <f t="shared" si="20"/>
        <v>Credit</v>
      </c>
      <c r="AX45" s="11">
        <v>43</v>
      </c>
      <c r="AY45" s="77" t="str">
        <f>Data!B44</f>
        <v>Maryam Kadafur</v>
      </c>
      <c r="AZ45" s="87">
        <v>2</v>
      </c>
      <c r="BA45" s="87">
        <v>5</v>
      </c>
      <c r="BB45" s="87">
        <v>10</v>
      </c>
      <c r="BC45" s="87">
        <v>10</v>
      </c>
      <c r="BD45" s="88">
        <f t="shared" si="21"/>
        <v>27</v>
      </c>
      <c r="BE45" s="87">
        <v>30</v>
      </c>
      <c r="BF45" s="88">
        <f t="shared" si="22"/>
        <v>57</v>
      </c>
      <c r="BG45" s="85">
        <f t="shared" si="23"/>
        <v>23</v>
      </c>
      <c r="BH45" s="85" t="str">
        <f t="shared" si="24"/>
        <v>C5</v>
      </c>
      <c r="BI45" s="85" t="str">
        <f t="shared" si="25"/>
        <v>Credit</v>
      </c>
      <c r="BJ45" s="36">
        <v>43</v>
      </c>
      <c r="BK45" s="77" t="str">
        <f>Data!B44</f>
        <v>Maryam Kadafur</v>
      </c>
      <c r="BL45" s="87">
        <v>2</v>
      </c>
      <c r="BM45" s="87">
        <v>5</v>
      </c>
      <c r="BN45" s="87">
        <v>10</v>
      </c>
      <c r="BO45" s="87">
        <v>10</v>
      </c>
      <c r="BP45" s="88">
        <f t="shared" si="26"/>
        <v>27</v>
      </c>
      <c r="BQ45" s="87">
        <v>30</v>
      </c>
      <c r="BR45" s="88">
        <f t="shared" si="27"/>
        <v>57</v>
      </c>
      <c r="BS45" s="86">
        <f t="shared" si="28"/>
        <v>23</v>
      </c>
      <c r="BT45" s="86" t="str">
        <f t="shared" si="29"/>
        <v>C5</v>
      </c>
      <c r="BU45" s="86" t="str">
        <f t="shared" si="30"/>
        <v>Credit</v>
      </c>
      <c r="BV45">
        <v>43</v>
      </c>
      <c r="BW45" s="77" t="str">
        <f>Data!B44</f>
        <v>Maryam Kadafur</v>
      </c>
      <c r="BX45" s="87">
        <v>2</v>
      </c>
      <c r="BY45" s="87">
        <v>5</v>
      </c>
      <c r="BZ45" s="87">
        <v>10</v>
      </c>
      <c r="CA45" s="87">
        <v>10</v>
      </c>
      <c r="CB45" s="88">
        <f t="shared" si="31"/>
        <v>27</v>
      </c>
      <c r="CC45" s="87">
        <v>30</v>
      </c>
      <c r="CD45" s="88">
        <f t="shared" si="32"/>
        <v>57</v>
      </c>
      <c r="CE45" s="88">
        <f t="shared" si="33"/>
        <v>23</v>
      </c>
      <c r="CF45" s="88" t="str">
        <f t="shared" si="34"/>
        <v>C5</v>
      </c>
      <c r="CG45" s="88" t="str">
        <f t="shared" si="35"/>
        <v>Credit</v>
      </c>
      <c r="CH45">
        <v>43</v>
      </c>
      <c r="CI45" s="77" t="str">
        <f>Data!B44</f>
        <v>Maryam Kadafur</v>
      </c>
      <c r="CJ45" s="78"/>
      <c r="CK45" s="78"/>
      <c r="CL45" s="78"/>
      <c r="CM45" s="78"/>
      <c r="CN45" s="89">
        <f t="shared" si="36"/>
        <v>0</v>
      </c>
      <c r="CO45" s="89"/>
      <c r="CP45" s="89">
        <f t="shared" si="37"/>
        <v>0</v>
      </c>
      <c r="CQ45" s="89" t="str">
        <f t="shared" si="38"/>
        <v/>
      </c>
      <c r="CR45" s="89" t="str">
        <f t="shared" si="39"/>
        <v/>
      </c>
      <c r="CS45" s="89" t="str">
        <f t="shared" si="40"/>
        <v/>
      </c>
      <c r="CT45">
        <v>43</v>
      </c>
      <c r="CU45" s="77" t="str">
        <f>Data!B44</f>
        <v>Maryam Kadafur</v>
      </c>
      <c r="CV45" s="78"/>
      <c r="CW45" s="78"/>
      <c r="CX45" s="78"/>
      <c r="CY45" s="78"/>
      <c r="CZ45" s="90">
        <f t="shared" si="41"/>
        <v>0</v>
      </c>
      <c r="DA45" s="117"/>
      <c r="DB45" s="90">
        <f t="shared" si="42"/>
        <v>0</v>
      </c>
      <c r="DC45" s="90" t="str">
        <f t="shared" si="43"/>
        <v/>
      </c>
      <c r="DD45" s="90" t="str">
        <f t="shared" si="44"/>
        <v/>
      </c>
      <c r="DE45" s="90" t="str">
        <f t="shared" si="45"/>
        <v/>
      </c>
      <c r="DF45">
        <v>43</v>
      </c>
      <c r="DG45" s="77" t="str">
        <f>Data!B44</f>
        <v>Maryam Kadafur</v>
      </c>
      <c r="DH45" s="78"/>
      <c r="DI45" s="78"/>
      <c r="DJ45" s="78"/>
      <c r="DK45" s="78"/>
      <c r="DL45" s="85">
        <f t="shared" si="46"/>
        <v>0</v>
      </c>
      <c r="DM45" s="84"/>
      <c r="DN45" s="85">
        <f t="shared" si="47"/>
        <v>0</v>
      </c>
      <c r="DO45" s="85" t="str">
        <f t="shared" si="48"/>
        <v/>
      </c>
      <c r="DP45" s="85" t="str">
        <f t="shared" si="49"/>
        <v/>
      </c>
      <c r="DQ45" s="85" t="str">
        <f t="shared" si="50"/>
        <v/>
      </c>
      <c r="DR45">
        <v>43</v>
      </c>
      <c r="DS45" s="77" t="str">
        <f>Data!B44</f>
        <v>Maryam Kadafur</v>
      </c>
      <c r="DT45" s="118"/>
      <c r="DU45" s="118"/>
      <c r="DV45" s="118"/>
      <c r="DW45" s="118"/>
      <c r="DX45" s="92">
        <f t="shared" si="51"/>
        <v>0</v>
      </c>
      <c r="DY45" s="119"/>
      <c r="DZ45" s="92">
        <f t="shared" si="52"/>
        <v>0</v>
      </c>
      <c r="EA45" s="92" t="str">
        <f t="shared" si="53"/>
        <v/>
      </c>
      <c r="EB45" s="92" t="str">
        <f t="shared" si="54"/>
        <v/>
      </c>
      <c r="EC45" s="92" t="str">
        <f t="shared" si="55"/>
        <v/>
      </c>
      <c r="ED45">
        <v>43</v>
      </c>
      <c r="EE45" s="77" t="str">
        <f>Data!B44</f>
        <v>Maryam Kadafur</v>
      </c>
      <c r="EF45" s="78"/>
      <c r="EG45" s="78"/>
      <c r="EH45" s="78"/>
      <c r="EI45" s="78"/>
      <c r="EJ45" s="94">
        <f t="shared" si="56"/>
        <v>0</v>
      </c>
      <c r="EK45" s="94"/>
      <c r="EL45" s="94">
        <f t="shared" si="57"/>
        <v>0</v>
      </c>
      <c r="EM45" s="94" t="str">
        <f t="shared" si="58"/>
        <v/>
      </c>
      <c r="EN45" s="94" t="str">
        <f t="shared" si="59"/>
        <v/>
      </c>
      <c r="EO45" s="94" t="str">
        <f t="shared" si="60"/>
        <v/>
      </c>
      <c r="EP45">
        <v>43</v>
      </c>
      <c r="EQ45" s="95" t="str">
        <f>Data!B44</f>
        <v>Maryam Kadafur</v>
      </c>
      <c r="ER45" s="78"/>
      <c r="ES45" s="78"/>
      <c r="ET45" s="78"/>
      <c r="EU45" s="78"/>
      <c r="EV45" s="90">
        <f t="shared" si="61"/>
        <v>0</v>
      </c>
      <c r="EW45" s="90"/>
      <c r="EX45" s="90">
        <f t="shared" si="62"/>
        <v>0</v>
      </c>
      <c r="EY45" s="90" t="str">
        <f t="shared" si="63"/>
        <v/>
      </c>
      <c r="EZ45" s="90" t="str">
        <f t="shared" si="64"/>
        <v/>
      </c>
      <c r="FA45" s="90" t="str">
        <f t="shared" si="65"/>
        <v/>
      </c>
      <c r="FB45">
        <v>43</v>
      </c>
      <c r="FC45" s="77" t="str">
        <f>Data!B44</f>
        <v>Maryam Kadafur</v>
      </c>
      <c r="FD45" s="78"/>
      <c r="FE45" s="78"/>
      <c r="FF45" s="78"/>
      <c r="FG45" s="78"/>
      <c r="FH45" s="96">
        <f t="shared" si="66"/>
        <v>0</v>
      </c>
      <c r="FI45" s="96"/>
      <c r="FJ45" s="96">
        <f t="shared" si="67"/>
        <v>0</v>
      </c>
      <c r="FK45" s="96" t="str">
        <f t="shared" si="68"/>
        <v/>
      </c>
      <c r="FL45" s="96" t="str">
        <f t="shared" si="69"/>
        <v/>
      </c>
      <c r="FM45" s="96" t="str">
        <f t="shared" si="70"/>
        <v/>
      </c>
      <c r="FN45">
        <v>43</v>
      </c>
      <c r="FO45" s="77" t="str">
        <f>Data!B44</f>
        <v>Maryam Kadafur</v>
      </c>
      <c r="FP45" s="78"/>
      <c r="FQ45" s="78"/>
      <c r="FR45" s="78"/>
      <c r="FS45" s="78"/>
      <c r="FT45" s="97">
        <f t="shared" si="71"/>
        <v>0</v>
      </c>
      <c r="FU45" s="97"/>
      <c r="FV45" s="97">
        <f t="shared" si="72"/>
        <v>0</v>
      </c>
      <c r="FW45" s="97" t="str">
        <f t="shared" si="73"/>
        <v/>
      </c>
      <c r="FX45" s="97" t="str">
        <f t="shared" si="74"/>
        <v/>
      </c>
      <c r="FY45" s="97" t="str">
        <f t="shared" si="75"/>
        <v/>
      </c>
      <c r="FZ45">
        <v>43</v>
      </c>
      <c r="GA45" s="77" t="str">
        <f>Data!B44</f>
        <v>Maryam Kadafur</v>
      </c>
      <c r="GB45" s="78"/>
      <c r="GC45" s="78"/>
      <c r="GD45" s="78"/>
      <c r="GE45" s="78"/>
      <c r="GF45" s="98">
        <f t="shared" si="76"/>
        <v>0</v>
      </c>
      <c r="GG45" s="98"/>
      <c r="GH45" s="98">
        <f t="shared" si="77"/>
        <v>0</v>
      </c>
      <c r="GI45" s="98" t="str">
        <f t="shared" si="78"/>
        <v/>
      </c>
      <c r="GJ45" s="98" t="str">
        <f t="shared" si="79"/>
        <v/>
      </c>
      <c r="GK45" s="98" t="str">
        <f t="shared" si="80"/>
        <v/>
      </c>
      <c r="GL45">
        <v>43</v>
      </c>
      <c r="GM45" s="77" t="str">
        <f>Data!B44</f>
        <v>Maryam Kadafur</v>
      </c>
      <c r="GN45" s="99"/>
      <c r="GO45" s="99"/>
      <c r="GP45" s="99"/>
      <c r="GQ45" s="99"/>
      <c r="GR45" s="100">
        <f t="shared" si="81"/>
        <v>0</v>
      </c>
      <c r="GS45" s="99"/>
      <c r="GT45" s="100">
        <f t="shared" si="82"/>
        <v>0</v>
      </c>
      <c r="GU45" s="100" t="str">
        <f t="shared" si="83"/>
        <v/>
      </c>
      <c r="GV45" s="100" t="str">
        <f t="shared" si="84"/>
        <v/>
      </c>
      <c r="GW45" s="100" t="str">
        <f t="shared" si="85"/>
        <v/>
      </c>
      <c r="GX45">
        <v>43</v>
      </c>
      <c r="GY45" s="77" t="str">
        <f>Data!B44</f>
        <v>Maryam Kadafur</v>
      </c>
      <c r="GZ45" s="78"/>
      <c r="HA45" s="78"/>
      <c r="HB45" s="78"/>
      <c r="HC45" s="78"/>
      <c r="HD45" s="86">
        <f t="shared" si="86"/>
        <v>0</v>
      </c>
      <c r="HE45" s="86"/>
      <c r="HF45" s="86">
        <f t="shared" si="87"/>
        <v>0</v>
      </c>
      <c r="HG45" s="86" t="str">
        <f t="shared" si="88"/>
        <v/>
      </c>
      <c r="HH45" s="86" t="str">
        <f t="shared" si="89"/>
        <v/>
      </c>
      <c r="HI45" s="86" t="str">
        <f t="shared" si="90"/>
        <v/>
      </c>
      <c r="HJ45">
        <v>43</v>
      </c>
      <c r="HK45" s="77" t="str">
        <f>Data!B44</f>
        <v>Maryam Kadafur</v>
      </c>
      <c r="HL45" s="111">
        <v>5</v>
      </c>
      <c r="HM45" s="112">
        <v>4</v>
      </c>
      <c r="HN45" s="112">
        <v>10</v>
      </c>
      <c r="HO45" s="112">
        <v>10</v>
      </c>
      <c r="HP45" s="103">
        <f t="shared" si="91"/>
        <v>29</v>
      </c>
      <c r="HQ45" s="111"/>
      <c r="HR45" s="103">
        <f t="shared" si="92"/>
        <v>29</v>
      </c>
      <c r="HS45" s="103">
        <f t="shared" si="93"/>
        <v>15</v>
      </c>
      <c r="HT45" s="103" t="str">
        <f t="shared" si="94"/>
        <v>F</v>
      </c>
      <c r="HU45" s="103" t="str">
        <f t="shared" si="95"/>
        <v>Fail</v>
      </c>
      <c r="HV45">
        <v>43</v>
      </c>
      <c r="HW45" s="77" t="str">
        <f>Data!B44</f>
        <v>Maryam Kadafur</v>
      </c>
      <c r="HX45" s="78"/>
      <c r="HY45" s="78"/>
      <c r="HZ45" s="78"/>
      <c r="IA45" s="78"/>
      <c r="IB45" s="85">
        <f t="shared" si="96"/>
        <v>0</v>
      </c>
      <c r="IC45" s="85"/>
      <c r="ID45" s="85">
        <f t="shared" si="97"/>
        <v>0</v>
      </c>
      <c r="IE45" s="85" t="str">
        <f t="shared" si="98"/>
        <v/>
      </c>
      <c r="IF45" s="85" t="str">
        <f t="shared" si="99"/>
        <v/>
      </c>
      <c r="IG45" s="85" t="str">
        <f t="shared" si="100"/>
        <v/>
      </c>
      <c r="IH45">
        <v>43</v>
      </c>
      <c r="II45" s="77" t="str">
        <f>Data!B44</f>
        <v>Maryam Kadafur</v>
      </c>
      <c r="IJ45" s="78"/>
      <c r="IK45" s="78"/>
      <c r="IL45" s="78"/>
      <c r="IM45" s="78"/>
      <c r="IN45" s="104">
        <f t="shared" si="101"/>
        <v>0</v>
      </c>
      <c r="IO45" s="104"/>
      <c r="IP45" s="104">
        <f t="shared" si="102"/>
        <v>0</v>
      </c>
      <c r="IQ45" s="104" t="str">
        <f t="shared" si="103"/>
        <v/>
      </c>
      <c r="IR45" s="104" t="str">
        <f t="shared" si="104"/>
        <v/>
      </c>
      <c r="IS45" s="104" t="str">
        <f t="shared" si="105"/>
        <v/>
      </c>
      <c r="IT45">
        <v>43</v>
      </c>
      <c r="IU45" s="77" t="str">
        <f t="shared" si="106"/>
        <v>Maryam Kadafur</v>
      </c>
      <c r="IV45" s="116"/>
      <c r="IW45" s="116"/>
      <c r="IX45" s="116"/>
      <c r="IY45" s="116"/>
      <c r="IZ45" s="98">
        <f t="shared" si="107"/>
        <v>0</v>
      </c>
      <c r="JA45" s="105"/>
      <c r="JB45" s="98">
        <f t="shared" si="108"/>
        <v>0</v>
      </c>
      <c r="JC45" s="98" t="str">
        <f t="shared" si="109"/>
        <v/>
      </c>
      <c r="JD45" s="98" t="str">
        <f t="shared" si="110"/>
        <v/>
      </c>
      <c r="JE45" s="98" t="str">
        <f t="shared" si="111"/>
        <v/>
      </c>
      <c r="JF45">
        <v>43</v>
      </c>
      <c r="JG45" s="77" t="str">
        <f t="shared" si="112"/>
        <v>Maryam Kadafur</v>
      </c>
      <c r="JH45" s="114"/>
      <c r="JI45" s="114"/>
      <c r="JJ45" s="114"/>
      <c r="JK45" s="114"/>
      <c r="JL45" s="82">
        <f t="shared" si="113"/>
        <v>0</v>
      </c>
      <c r="JM45" s="114"/>
      <c r="JN45" s="82">
        <f t="shared" si="114"/>
        <v>0</v>
      </c>
      <c r="JO45" s="82" t="str">
        <f t="shared" si="115"/>
        <v/>
      </c>
      <c r="JP45" s="82" t="str">
        <f t="shared" si="116"/>
        <v/>
      </c>
      <c r="JQ45" s="82" t="str">
        <f t="shared" si="117"/>
        <v/>
      </c>
      <c r="JR45">
        <v>43</v>
      </c>
      <c r="JS45" s="77" t="str">
        <f t="shared" si="118"/>
        <v>Maryam Kadafur</v>
      </c>
      <c r="JT45" s="107"/>
      <c r="JU45" s="107"/>
      <c r="JV45" s="107"/>
      <c r="JW45" s="107"/>
      <c r="JX45" s="80">
        <f t="shared" si="119"/>
        <v>0</v>
      </c>
      <c r="JY45" s="108"/>
      <c r="JZ45" s="80">
        <f t="shared" si="0"/>
        <v>0</v>
      </c>
      <c r="KA45" s="80" t="str">
        <f t="shared" si="120"/>
        <v/>
      </c>
      <c r="KB45" s="80" t="str">
        <f t="shared" si="121"/>
        <v/>
      </c>
      <c r="KC45" s="80" t="str">
        <f t="shared" si="122"/>
        <v/>
      </c>
      <c r="KE45" s="16"/>
      <c r="KF45" s="16"/>
      <c r="KG45" s="16"/>
      <c r="KH45" s="16"/>
      <c r="KI45" s="16"/>
      <c r="KJ45" s="16"/>
      <c r="KK45" s="16"/>
      <c r="KL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</row>
    <row r="46" spans="1:309" ht="23.25">
      <c r="A46" s="17">
        <v>44</v>
      </c>
      <c r="B46" s="186">
        <v>44</v>
      </c>
      <c r="C46" s="77" t="str">
        <f>Data!B45</f>
        <v>Mercy Ebuwoluwa Abraham</v>
      </c>
      <c r="D46" s="87">
        <v>9</v>
      </c>
      <c r="E46" s="87">
        <v>7</v>
      </c>
      <c r="F46" s="87">
        <v>10</v>
      </c>
      <c r="G46" s="87">
        <v>10</v>
      </c>
      <c r="H46" s="88">
        <f t="shared" si="1"/>
        <v>36</v>
      </c>
      <c r="I46" s="87">
        <v>52</v>
      </c>
      <c r="J46" s="88">
        <f t="shared" si="2"/>
        <v>88</v>
      </c>
      <c r="K46" s="79">
        <f t="shared" si="3"/>
        <v>1</v>
      </c>
      <c r="L46" s="79" t="str">
        <f t="shared" si="4"/>
        <v>A1</v>
      </c>
      <c r="M46" s="79" t="str">
        <f t="shared" si="5"/>
        <v>Excellent</v>
      </c>
      <c r="N46" s="17">
        <v>44</v>
      </c>
      <c r="O46" s="77" t="str">
        <f>Data!B45</f>
        <v>Mercy Ebuwoluwa Abraham</v>
      </c>
      <c r="P46" s="78"/>
      <c r="Q46" s="78"/>
      <c r="R46" s="78"/>
      <c r="S46" s="78"/>
      <c r="T46" s="80">
        <f t="shared" si="6"/>
        <v>0</v>
      </c>
      <c r="U46" s="80"/>
      <c r="V46" s="80">
        <f t="shared" si="7"/>
        <v>0</v>
      </c>
      <c r="W46" s="80" t="str">
        <f t="shared" si="8"/>
        <v/>
      </c>
      <c r="X46" s="80" t="str">
        <f t="shared" si="9"/>
        <v/>
      </c>
      <c r="Y46" s="80" t="str">
        <f t="shared" si="10"/>
        <v/>
      </c>
      <c r="Z46" s="11">
        <v>44</v>
      </c>
      <c r="AA46" s="77" t="str">
        <f>Data!B45</f>
        <v>Mercy Ebuwoluwa Abraham</v>
      </c>
      <c r="AB46" s="87">
        <v>9</v>
      </c>
      <c r="AC46" s="87">
        <v>7</v>
      </c>
      <c r="AD46" s="87">
        <v>10</v>
      </c>
      <c r="AE46" s="87">
        <v>10</v>
      </c>
      <c r="AF46" s="88">
        <f t="shared" si="11"/>
        <v>36</v>
      </c>
      <c r="AG46" s="87">
        <v>52</v>
      </c>
      <c r="AH46" s="88">
        <f t="shared" si="12"/>
        <v>88</v>
      </c>
      <c r="AI46" s="82">
        <f t="shared" si="13"/>
        <v>1</v>
      </c>
      <c r="AJ46" s="82" t="str">
        <f t="shared" si="14"/>
        <v>A1</v>
      </c>
      <c r="AK46" s="82" t="str">
        <f t="shared" si="15"/>
        <v>Excellent</v>
      </c>
      <c r="AL46" s="11">
        <v>44</v>
      </c>
      <c r="AM46" s="77" t="str">
        <f>Data!B45</f>
        <v>Mercy Ebuwoluwa Abraham</v>
      </c>
      <c r="AN46" s="87">
        <v>9</v>
      </c>
      <c r="AO46" s="87">
        <v>7</v>
      </c>
      <c r="AP46" s="87">
        <v>10</v>
      </c>
      <c r="AQ46" s="87">
        <v>10</v>
      </c>
      <c r="AR46" s="88">
        <f t="shared" si="16"/>
        <v>36</v>
      </c>
      <c r="AS46" s="87">
        <v>52</v>
      </c>
      <c r="AT46" s="88">
        <f t="shared" si="17"/>
        <v>88</v>
      </c>
      <c r="AU46" s="83">
        <f t="shared" si="18"/>
        <v>1</v>
      </c>
      <c r="AV46" s="83" t="str">
        <f t="shared" si="19"/>
        <v>A1</v>
      </c>
      <c r="AW46" s="83" t="str">
        <f t="shared" si="20"/>
        <v>Excellent</v>
      </c>
      <c r="AX46" s="11">
        <v>44</v>
      </c>
      <c r="AY46" s="77" t="str">
        <f>Data!B45</f>
        <v>Mercy Ebuwoluwa Abraham</v>
      </c>
      <c r="AZ46" s="87">
        <v>9</v>
      </c>
      <c r="BA46" s="87">
        <v>7</v>
      </c>
      <c r="BB46" s="87">
        <v>10</v>
      </c>
      <c r="BC46" s="87">
        <v>10</v>
      </c>
      <c r="BD46" s="88">
        <f t="shared" si="21"/>
        <v>36</v>
      </c>
      <c r="BE46" s="87">
        <v>52</v>
      </c>
      <c r="BF46" s="88">
        <f t="shared" si="22"/>
        <v>88</v>
      </c>
      <c r="BG46" s="85">
        <f t="shared" si="23"/>
        <v>1</v>
      </c>
      <c r="BH46" s="85" t="str">
        <f t="shared" si="24"/>
        <v>A1</v>
      </c>
      <c r="BI46" s="85" t="str">
        <f t="shared" si="25"/>
        <v>Excellent</v>
      </c>
      <c r="BJ46" s="36">
        <v>44</v>
      </c>
      <c r="BK46" s="77" t="str">
        <f>Data!B45</f>
        <v>Mercy Ebuwoluwa Abraham</v>
      </c>
      <c r="BL46" s="87">
        <v>9</v>
      </c>
      <c r="BM46" s="87">
        <v>7</v>
      </c>
      <c r="BN46" s="87">
        <v>10</v>
      </c>
      <c r="BO46" s="87">
        <v>10</v>
      </c>
      <c r="BP46" s="88">
        <f t="shared" si="26"/>
        <v>36</v>
      </c>
      <c r="BQ46" s="87">
        <v>52</v>
      </c>
      <c r="BR46" s="88">
        <f t="shared" si="27"/>
        <v>88</v>
      </c>
      <c r="BS46" s="86">
        <f t="shared" si="28"/>
        <v>1</v>
      </c>
      <c r="BT46" s="86" t="str">
        <f t="shared" si="29"/>
        <v>A1</v>
      </c>
      <c r="BU46" s="86" t="str">
        <f t="shared" si="30"/>
        <v>Excellent</v>
      </c>
      <c r="BV46">
        <v>44</v>
      </c>
      <c r="BW46" s="77" t="str">
        <f>Data!B45</f>
        <v>Mercy Ebuwoluwa Abraham</v>
      </c>
      <c r="BX46" s="87">
        <v>9</v>
      </c>
      <c r="BY46" s="87">
        <v>7</v>
      </c>
      <c r="BZ46" s="87">
        <v>10</v>
      </c>
      <c r="CA46" s="87">
        <v>10</v>
      </c>
      <c r="CB46" s="88">
        <f t="shared" si="31"/>
        <v>36</v>
      </c>
      <c r="CC46" s="87">
        <v>52</v>
      </c>
      <c r="CD46" s="88">
        <f t="shared" si="32"/>
        <v>88</v>
      </c>
      <c r="CE46" s="88">
        <f t="shared" si="33"/>
        <v>1</v>
      </c>
      <c r="CF46" s="88" t="str">
        <f t="shared" si="34"/>
        <v>A1</v>
      </c>
      <c r="CG46" s="88" t="str">
        <f t="shared" si="35"/>
        <v>Excellent</v>
      </c>
      <c r="CH46">
        <v>44</v>
      </c>
      <c r="CI46" s="77" t="str">
        <f>Data!B45</f>
        <v>Mercy Ebuwoluwa Abraham</v>
      </c>
      <c r="CJ46" s="78"/>
      <c r="CK46" s="78"/>
      <c r="CL46" s="78"/>
      <c r="CM46" s="78"/>
      <c r="CN46" s="89">
        <f t="shared" si="36"/>
        <v>0</v>
      </c>
      <c r="CO46" s="89"/>
      <c r="CP46" s="89">
        <f t="shared" si="37"/>
        <v>0</v>
      </c>
      <c r="CQ46" s="89" t="str">
        <f t="shared" si="38"/>
        <v/>
      </c>
      <c r="CR46" s="89" t="str">
        <f t="shared" si="39"/>
        <v/>
      </c>
      <c r="CS46" s="89" t="str">
        <f t="shared" si="40"/>
        <v/>
      </c>
      <c r="CT46">
        <v>44</v>
      </c>
      <c r="CU46" s="77" t="str">
        <f>Data!B45</f>
        <v>Mercy Ebuwoluwa Abraham</v>
      </c>
      <c r="CV46" s="78"/>
      <c r="CW46" s="78"/>
      <c r="CX46" s="78"/>
      <c r="CY46" s="78"/>
      <c r="CZ46" s="90">
        <f t="shared" si="41"/>
        <v>0</v>
      </c>
      <c r="DA46" s="117"/>
      <c r="DB46" s="90">
        <f t="shared" si="42"/>
        <v>0</v>
      </c>
      <c r="DC46" s="90" t="str">
        <f t="shared" si="43"/>
        <v/>
      </c>
      <c r="DD46" s="90" t="str">
        <f t="shared" si="44"/>
        <v/>
      </c>
      <c r="DE46" s="90" t="str">
        <f t="shared" si="45"/>
        <v/>
      </c>
      <c r="DF46">
        <v>44</v>
      </c>
      <c r="DG46" s="77" t="str">
        <f>Data!B45</f>
        <v>Mercy Ebuwoluwa Abraham</v>
      </c>
      <c r="DH46" s="78"/>
      <c r="DI46" s="78"/>
      <c r="DJ46" s="78"/>
      <c r="DK46" s="78"/>
      <c r="DL46" s="85">
        <f t="shared" si="46"/>
        <v>0</v>
      </c>
      <c r="DM46" s="85"/>
      <c r="DN46" s="85">
        <f t="shared" si="47"/>
        <v>0</v>
      </c>
      <c r="DO46" s="85" t="str">
        <f t="shared" si="48"/>
        <v/>
      </c>
      <c r="DP46" s="85" t="str">
        <f t="shared" si="49"/>
        <v/>
      </c>
      <c r="DQ46" s="85" t="str">
        <f t="shared" si="50"/>
        <v/>
      </c>
      <c r="DR46">
        <v>44</v>
      </c>
      <c r="DS46" s="77" t="str">
        <f>Data!B45</f>
        <v>Mercy Ebuwoluwa Abraham</v>
      </c>
      <c r="DT46" s="118"/>
      <c r="DU46" s="118"/>
      <c r="DV46" s="118"/>
      <c r="DW46" s="118"/>
      <c r="DX46" s="92">
        <f t="shared" si="51"/>
        <v>0</v>
      </c>
      <c r="DY46" s="119"/>
      <c r="DZ46" s="92">
        <f t="shared" si="52"/>
        <v>0</v>
      </c>
      <c r="EA46" s="92" t="str">
        <f t="shared" si="53"/>
        <v/>
      </c>
      <c r="EB46" s="92" t="str">
        <f t="shared" si="54"/>
        <v/>
      </c>
      <c r="EC46" s="92" t="str">
        <f t="shared" si="55"/>
        <v/>
      </c>
      <c r="ED46">
        <v>44</v>
      </c>
      <c r="EE46" s="77" t="str">
        <f>Data!B45</f>
        <v>Mercy Ebuwoluwa Abraham</v>
      </c>
      <c r="EF46" s="78"/>
      <c r="EG46" s="78"/>
      <c r="EH46" s="78"/>
      <c r="EI46" s="78"/>
      <c r="EJ46" s="94">
        <f t="shared" si="56"/>
        <v>0</v>
      </c>
      <c r="EK46" s="94"/>
      <c r="EL46" s="94">
        <f t="shared" si="57"/>
        <v>0</v>
      </c>
      <c r="EM46" s="94" t="str">
        <f t="shared" si="58"/>
        <v/>
      </c>
      <c r="EN46" s="94" t="str">
        <f t="shared" si="59"/>
        <v/>
      </c>
      <c r="EO46" s="94" t="str">
        <f t="shared" si="60"/>
        <v/>
      </c>
      <c r="EP46">
        <v>44</v>
      </c>
      <c r="EQ46" s="95" t="str">
        <f>Data!B45</f>
        <v>Mercy Ebuwoluwa Abraham</v>
      </c>
      <c r="ER46" s="78"/>
      <c r="ES46" s="78"/>
      <c r="ET46" s="78"/>
      <c r="EU46" s="78"/>
      <c r="EV46" s="90">
        <f t="shared" si="61"/>
        <v>0</v>
      </c>
      <c r="EW46" s="90"/>
      <c r="EX46" s="90">
        <f t="shared" si="62"/>
        <v>0</v>
      </c>
      <c r="EY46" s="90" t="str">
        <f t="shared" si="63"/>
        <v/>
      </c>
      <c r="EZ46" s="90" t="str">
        <f t="shared" si="64"/>
        <v/>
      </c>
      <c r="FA46" s="90" t="str">
        <f t="shared" si="65"/>
        <v/>
      </c>
      <c r="FB46">
        <v>44</v>
      </c>
      <c r="FC46" s="77" t="str">
        <f>Data!B45</f>
        <v>Mercy Ebuwoluwa Abraham</v>
      </c>
      <c r="FD46" s="78"/>
      <c r="FE46" s="78"/>
      <c r="FF46" s="78"/>
      <c r="FG46" s="78"/>
      <c r="FH46" s="96">
        <f t="shared" si="66"/>
        <v>0</v>
      </c>
      <c r="FI46" s="96"/>
      <c r="FJ46" s="96">
        <f t="shared" si="67"/>
        <v>0</v>
      </c>
      <c r="FK46" s="96" t="str">
        <f t="shared" si="68"/>
        <v/>
      </c>
      <c r="FL46" s="96" t="str">
        <f t="shared" si="69"/>
        <v/>
      </c>
      <c r="FM46" s="96" t="str">
        <f t="shared" si="70"/>
        <v/>
      </c>
      <c r="FN46">
        <v>44</v>
      </c>
      <c r="FO46" s="77" t="str">
        <f>Data!B45</f>
        <v>Mercy Ebuwoluwa Abraham</v>
      </c>
      <c r="FP46" s="78"/>
      <c r="FQ46" s="78"/>
      <c r="FR46" s="78"/>
      <c r="FS46" s="78"/>
      <c r="FT46" s="97">
        <f t="shared" si="71"/>
        <v>0</v>
      </c>
      <c r="FU46" s="97"/>
      <c r="FV46" s="97">
        <f t="shared" si="72"/>
        <v>0</v>
      </c>
      <c r="FW46" s="97" t="str">
        <f t="shared" si="73"/>
        <v/>
      </c>
      <c r="FX46" s="97" t="str">
        <f t="shared" si="74"/>
        <v/>
      </c>
      <c r="FY46" s="97" t="str">
        <f t="shared" si="75"/>
        <v/>
      </c>
      <c r="FZ46">
        <v>44</v>
      </c>
      <c r="GA46" s="77" t="str">
        <f>Data!B45</f>
        <v>Mercy Ebuwoluwa Abraham</v>
      </c>
      <c r="GB46" s="78"/>
      <c r="GC46" s="78"/>
      <c r="GD46" s="78"/>
      <c r="GE46" s="78"/>
      <c r="GF46" s="98">
        <f t="shared" si="76"/>
        <v>0</v>
      </c>
      <c r="GG46" s="98"/>
      <c r="GH46" s="98">
        <f t="shared" si="77"/>
        <v>0</v>
      </c>
      <c r="GI46" s="98" t="str">
        <f t="shared" si="78"/>
        <v/>
      </c>
      <c r="GJ46" s="98" t="str">
        <f t="shared" si="79"/>
        <v/>
      </c>
      <c r="GK46" s="98" t="str">
        <f t="shared" si="80"/>
        <v/>
      </c>
      <c r="GL46">
        <v>44</v>
      </c>
      <c r="GM46" s="77" t="str">
        <f>Data!B45</f>
        <v>Mercy Ebuwoluwa Abraham</v>
      </c>
      <c r="GN46" s="99"/>
      <c r="GO46" s="99"/>
      <c r="GP46" s="99"/>
      <c r="GQ46" s="99"/>
      <c r="GR46" s="100">
        <f t="shared" si="81"/>
        <v>0</v>
      </c>
      <c r="GS46" s="99"/>
      <c r="GT46" s="100">
        <f t="shared" si="82"/>
        <v>0</v>
      </c>
      <c r="GU46" s="100" t="str">
        <f t="shared" si="83"/>
        <v/>
      </c>
      <c r="GV46" s="100" t="str">
        <f t="shared" si="84"/>
        <v/>
      </c>
      <c r="GW46" s="100" t="str">
        <f t="shared" si="85"/>
        <v/>
      </c>
      <c r="GX46">
        <v>44</v>
      </c>
      <c r="GY46" s="77" t="str">
        <f>Data!B45</f>
        <v>Mercy Ebuwoluwa Abraham</v>
      </c>
      <c r="GZ46" s="78"/>
      <c r="HA46" s="78"/>
      <c r="HB46" s="78"/>
      <c r="HC46" s="78"/>
      <c r="HD46" s="86">
        <f t="shared" si="86"/>
        <v>0</v>
      </c>
      <c r="HE46" s="86"/>
      <c r="HF46" s="86">
        <f t="shared" si="87"/>
        <v>0</v>
      </c>
      <c r="HG46" s="86" t="str">
        <f t="shared" si="88"/>
        <v/>
      </c>
      <c r="HH46" s="86" t="str">
        <f t="shared" si="89"/>
        <v/>
      </c>
      <c r="HI46" s="86" t="str">
        <f t="shared" si="90"/>
        <v/>
      </c>
      <c r="HJ46">
        <v>44</v>
      </c>
      <c r="HK46" s="77" t="str">
        <f>Data!B45</f>
        <v>Mercy Ebuwoluwa Abraham</v>
      </c>
      <c r="HL46" s="111">
        <v>9</v>
      </c>
      <c r="HM46" s="112">
        <v>8</v>
      </c>
      <c r="HN46" s="112">
        <v>10</v>
      </c>
      <c r="HO46" s="112">
        <v>10</v>
      </c>
      <c r="HP46" s="103">
        <f t="shared" si="91"/>
        <v>37</v>
      </c>
      <c r="HQ46" s="111"/>
      <c r="HR46" s="103">
        <f t="shared" si="92"/>
        <v>37</v>
      </c>
      <c r="HS46" s="103">
        <f t="shared" si="93"/>
        <v>1</v>
      </c>
      <c r="HT46" s="103" t="str">
        <f t="shared" si="94"/>
        <v>F</v>
      </c>
      <c r="HU46" s="103" t="str">
        <f t="shared" si="95"/>
        <v>Fail</v>
      </c>
      <c r="HV46">
        <v>44</v>
      </c>
      <c r="HW46" s="77" t="str">
        <f>Data!B45</f>
        <v>Mercy Ebuwoluwa Abraham</v>
      </c>
      <c r="HX46" s="78"/>
      <c r="HY46" s="78"/>
      <c r="HZ46" s="78"/>
      <c r="IA46" s="78"/>
      <c r="IB46" s="85">
        <f t="shared" si="96"/>
        <v>0</v>
      </c>
      <c r="IC46" s="85"/>
      <c r="ID46" s="85">
        <f t="shared" si="97"/>
        <v>0</v>
      </c>
      <c r="IE46" s="85" t="str">
        <f t="shared" si="98"/>
        <v/>
      </c>
      <c r="IF46" s="85" t="str">
        <f t="shared" si="99"/>
        <v/>
      </c>
      <c r="IG46" s="85" t="str">
        <f t="shared" si="100"/>
        <v/>
      </c>
      <c r="IH46">
        <v>44</v>
      </c>
      <c r="II46" s="77" t="str">
        <f>Data!B45</f>
        <v>Mercy Ebuwoluwa Abraham</v>
      </c>
      <c r="IJ46" s="78"/>
      <c r="IK46" s="78"/>
      <c r="IL46" s="78"/>
      <c r="IM46" s="78"/>
      <c r="IN46" s="104">
        <f t="shared" si="101"/>
        <v>0</v>
      </c>
      <c r="IO46" s="104"/>
      <c r="IP46" s="104">
        <f t="shared" si="102"/>
        <v>0</v>
      </c>
      <c r="IQ46" s="104" t="str">
        <f t="shared" si="103"/>
        <v/>
      </c>
      <c r="IR46" s="104" t="str">
        <f t="shared" si="104"/>
        <v/>
      </c>
      <c r="IS46" s="104" t="str">
        <f t="shared" si="105"/>
        <v/>
      </c>
      <c r="IT46">
        <v>44</v>
      </c>
      <c r="IU46" s="77" t="str">
        <f t="shared" si="106"/>
        <v>Mercy Ebuwoluwa Abraham</v>
      </c>
      <c r="IV46" s="116"/>
      <c r="IW46" s="116"/>
      <c r="IX46" s="116"/>
      <c r="IY46" s="116"/>
      <c r="IZ46" s="98">
        <f t="shared" si="107"/>
        <v>0</v>
      </c>
      <c r="JA46" s="105"/>
      <c r="JB46" s="98">
        <f t="shared" si="108"/>
        <v>0</v>
      </c>
      <c r="JC46" s="98" t="str">
        <f t="shared" si="109"/>
        <v/>
      </c>
      <c r="JD46" s="98" t="str">
        <f t="shared" si="110"/>
        <v/>
      </c>
      <c r="JE46" s="98" t="str">
        <f t="shared" si="111"/>
        <v/>
      </c>
      <c r="JF46">
        <v>44</v>
      </c>
      <c r="JG46" s="77" t="str">
        <f t="shared" si="112"/>
        <v>Mercy Ebuwoluwa Abraham</v>
      </c>
      <c r="JH46" s="114"/>
      <c r="JI46" s="114"/>
      <c r="JJ46" s="114"/>
      <c r="JK46" s="114"/>
      <c r="JL46" s="82">
        <f t="shared" si="113"/>
        <v>0</v>
      </c>
      <c r="JM46" s="114"/>
      <c r="JN46" s="82">
        <f t="shared" si="114"/>
        <v>0</v>
      </c>
      <c r="JO46" s="82" t="str">
        <f t="shared" si="115"/>
        <v/>
      </c>
      <c r="JP46" s="82" t="str">
        <f t="shared" si="116"/>
        <v/>
      </c>
      <c r="JQ46" s="82" t="str">
        <f t="shared" si="117"/>
        <v/>
      </c>
      <c r="JR46">
        <v>44</v>
      </c>
      <c r="JS46" s="77" t="str">
        <f t="shared" si="118"/>
        <v>Mercy Ebuwoluwa Abraham</v>
      </c>
      <c r="JT46" s="107"/>
      <c r="JU46" s="107"/>
      <c r="JV46" s="107"/>
      <c r="JW46" s="107"/>
      <c r="JX46" s="80">
        <f t="shared" si="119"/>
        <v>0</v>
      </c>
      <c r="JY46" s="108"/>
      <c r="JZ46" s="80">
        <f t="shared" si="0"/>
        <v>0</v>
      </c>
      <c r="KA46" s="80" t="str">
        <f t="shared" si="120"/>
        <v/>
      </c>
      <c r="KB46" s="80" t="str">
        <f t="shared" si="121"/>
        <v/>
      </c>
      <c r="KC46" s="80" t="str">
        <f t="shared" si="122"/>
        <v/>
      </c>
      <c r="KE46" s="16"/>
      <c r="KF46" s="16"/>
      <c r="KG46" s="16"/>
      <c r="KH46" s="16"/>
      <c r="KI46" s="16"/>
      <c r="KJ46" s="16"/>
      <c r="KK46" s="16"/>
      <c r="KL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</row>
    <row r="47" spans="1:309" ht="23.25">
      <c r="A47" s="17">
        <v>45</v>
      </c>
      <c r="B47" s="186">
        <v>45</v>
      </c>
      <c r="C47" s="77" t="str">
        <f>Data!B46</f>
        <v xml:space="preserve">Nana Aisha Mohammed </v>
      </c>
      <c r="D47" s="87">
        <v>10</v>
      </c>
      <c r="E47" s="87">
        <v>7</v>
      </c>
      <c r="F47" s="87">
        <v>10</v>
      </c>
      <c r="G47" s="87">
        <v>10</v>
      </c>
      <c r="H47" s="88">
        <f t="shared" si="1"/>
        <v>37</v>
      </c>
      <c r="I47" s="87">
        <v>51</v>
      </c>
      <c r="J47" s="88">
        <f t="shared" si="2"/>
        <v>88</v>
      </c>
      <c r="K47" s="79">
        <f t="shared" si="3"/>
        <v>1</v>
      </c>
      <c r="L47" s="79" t="str">
        <f t="shared" si="4"/>
        <v>A1</v>
      </c>
      <c r="M47" s="79" t="str">
        <f t="shared" si="5"/>
        <v>Excellent</v>
      </c>
      <c r="N47" s="17">
        <v>45</v>
      </c>
      <c r="O47" s="77" t="str">
        <f>Data!B46</f>
        <v xml:space="preserve">Nana Aisha Mohammed </v>
      </c>
      <c r="P47" s="78"/>
      <c r="Q47" s="78"/>
      <c r="R47" s="78"/>
      <c r="S47" s="78"/>
      <c r="T47" s="80">
        <f t="shared" si="6"/>
        <v>0</v>
      </c>
      <c r="U47" s="80"/>
      <c r="V47" s="80">
        <f t="shared" si="7"/>
        <v>0</v>
      </c>
      <c r="W47" s="80" t="str">
        <f t="shared" si="8"/>
        <v/>
      </c>
      <c r="X47" s="80" t="str">
        <f t="shared" si="9"/>
        <v/>
      </c>
      <c r="Y47" s="80" t="str">
        <f t="shared" si="10"/>
        <v/>
      </c>
      <c r="Z47" s="11">
        <v>45</v>
      </c>
      <c r="AA47" s="77" t="str">
        <f>Data!B46</f>
        <v xml:space="preserve">Nana Aisha Mohammed </v>
      </c>
      <c r="AB47" s="87">
        <v>10</v>
      </c>
      <c r="AC47" s="87">
        <v>7</v>
      </c>
      <c r="AD47" s="87">
        <v>10</v>
      </c>
      <c r="AE47" s="87">
        <v>10</v>
      </c>
      <c r="AF47" s="88">
        <f t="shared" si="11"/>
        <v>37</v>
      </c>
      <c r="AG47" s="87">
        <v>51</v>
      </c>
      <c r="AH47" s="88">
        <f t="shared" si="12"/>
        <v>88</v>
      </c>
      <c r="AI47" s="82">
        <f t="shared" si="13"/>
        <v>1</v>
      </c>
      <c r="AJ47" s="82" t="str">
        <f t="shared" si="14"/>
        <v>A1</v>
      </c>
      <c r="AK47" s="82" t="str">
        <f t="shared" si="15"/>
        <v>Excellent</v>
      </c>
      <c r="AL47" s="11">
        <v>45</v>
      </c>
      <c r="AM47" s="77" t="str">
        <f>Data!B46</f>
        <v xml:space="preserve">Nana Aisha Mohammed </v>
      </c>
      <c r="AN47" s="87">
        <v>10</v>
      </c>
      <c r="AO47" s="87">
        <v>7</v>
      </c>
      <c r="AP47" s="87">
        <v>10</v>
      </c>
      <c r="AQ47" s="87">
        <v>10</v>
      </c>
      <c r="AR47" s="88">
        <f t="shared" si="16"/>
        <v>37</v>
      </c>
      <c r="AS47" s="87">
        <v>51</v>
      </c>
      <c r="AT47" s="88">
        <f t="shared" si="17"/>
        <v>88</v>
      </c>
      <c r="AU47" s="83">
        <f t="shared" si="18"/>
        <v>1</v>
      </c>
      <c r="AV47" s="83" t="str">
        <f t="shared" si="19"/>
        <v>A1</v>
      </c>
      <c r="AW47" s="83" t="str">
        <f t="shared" si="20"/>
        <v>Excellent</v>
      </c>
      <c r="AX47" s="11">
        <v>45</v>
      </c>
      <c r="AY47" s="77" t="str">
        <f>Data!B46</f>
        <v xml:space="preserve">Nana Aisha Mohammed </v>
      </c>
      <c r="AZ47" s="87">
        <v>10</v>
      </c>
      <c r="BA47" s="87">
        <v>7</v>
      </c>
      <c r="BB47" s="87">
        <v>10</v>
      </c>
      <c r="BC47" s="87">
        <v>10</v>
      </c>
      <c r="BD47" s="88">
        <f t="shared" si="21"/>
        <v>37</v>
      </c>
      <c r="BE47" s="87">
        <v>51</v>
      </c>
      <c r="BF47" s="88">
        <f t="shared" si="22"/>
        <v>88</v>
      </c>
      <c r="BG47" s="85">
        <f t="shared" si="23"/>
        <v>1</v>
      </c>
      <c r="BH47" s="85" t="str">
        <f t="shared" si="24"/>
        <v>A1</v>
      </c>
      <c r="BI47" s="85" t="str">
        <f t="shared" si="25"/>
        <v>Excellent</v>
      </c>
      <c r="BJ47" s="36">
        <v>45</v>
      </c>
      <c r="BK47" s="77" t="str">
        <f>Data!B46</f>
        <v xml:space="preserve">Nana Aisha Mohammed </v>
      </c>
      <c r="BL47" s="87">
        <v>10</v>
      </c>
      <c r="BM47" s="87">
        <v>7</v>
      </c>
      <c r="BN47" s="87">
        <v>10</v>
      </c>
      <c r="BO47" s="87">
        <v>10</v>
      </c>
      <c r="BP47" s="88">
        <f t="shared" si="26"/>
        <v>37</v>
      </c>
      <c r="BQ47" s="87">
        <v>51</v>
      </c>
      <c r="BR47" s="88">
        <f t="shared" si="27"/>
        <v>88</v>
      </c>
      <c r="BS47" s="86">
        <f t="shared" si="28"/>
        <v>1</v>
      </c>
      <c r="BT47" s="86" t="str">
        <f t="shared" si="29"/>
        <v>A1</v>
      </c>
      <c r="BU47" s="86" t="str">
        <f t="shared" si="30"/>
        <v>Excellent</v>
      </c>
      <c r="BV47">
        <v>45</v>
      </c>
      <c r="BW47" s="77" t="str">
        <f>Data!B46</f>
        <v xml:space="preserve">Nana Aisha Mohammed </v>
      </c>
      <c r="BX47" s="87">
        <v>10</v>
      </c>
      <c r="BY47" s="87">
        <v>7</v>
      </c>
      <c r="BZ47" s="87">
        <v>10</v>
      </c>
      <c r="CA47" s="87">
        <v>10</v>
      </c>
      <c r="CB47" s="88">
        <f t="shared" si="31"/>
        <v>37</v>
      </c>
      <c r="CC47" s="87">
        <v>51</v>
      </c>
      <c r="CD47" s="88">
        <f t="shared" si="32"/>
        <v>88</v>
      </c>
      <c r="CE47" s="88">
        <f t="shared" si="33"/>
        <v>1</v>
      </c>
      <c r="CF47" s="88" t="str">
        <f t="shared" si="34"/>
        <v>A1</v>
      </c>
      <c r="CG47" s="88" t="str">
        <f t="shared" si="35"/>
        <v>Excellent</v>
      </c>
      <c r="CH47">
        <v>45</v>
      </c>
      <c r="CI47" s="77" t="str">
        <f>Data!B46</f>
        <v xml:space="preserve">Nana Aisha Mohammed </v>
      </c>
      <c r="CJ47" s="78"/>
      <c r="CK47" s="78"/>
      <c r="CL47" s="78"/>
      <c r="CM47" s="78"/>
      <c r="CN47" s="89">
        <f t="shared" si="36"/>
        <v>0</v>
      </c>
      <c r="CO47" s="89"/>
      <c r="CP47" s="89">
        <f t="shared" si="37"/>
        <v>0</v>
      </c>
      <c r="CQ47" s="89" t="str">
        <f t="shared" si="38"/>
        <v/>
      </c>
      <c r="CR47" s="89" t="str">
        <f t="shared" si="39"/>
        <v/>
      </c>
      <c r="CS47" s="89" t="str">
        <f t="shared" si="40"/>
        <v/>
      </c>
      <c r="CT47">
        <v>45</v>
      </c>
      <c r="CU47" s="77" t="str">
        <f>Data!B46</f>
        <v xml:space="preserve">Nana Aisha Mohammed </v>
      </c>
      <c r="CV47" s="78"/>
      <c r="CW47" s="78"/>
      <c r="CX47" s="78"/>
      <c r="CY47" s="78"/>
      <c r="CZ47" s="90">
        <f t="shared" si="41"/>
        <v>0</v>
      </c>
      <c r="DA47" s="117"/>
      <c r="DB47" s="90">
        <f t="shared" si="42"/>
        <v>0</v>
      </c>
      <c r="DC47" s="90" t="str">
        <f t="shared" si="43"/>
        <v/>
      </c>
      <c r="DD47" s="90" t="str">
        <f t="shared" si="44"/>
        <v/>
      </c>
      <c r="DE47" s="90" t="str">
        <f t="shared" si="45"/>
        <v/>
      </c>
      <c r="DF47">
        <v>45</v>
      </c>
      <c r="DG47" s="77" t="str">
        <f>Data!B46</f>
        <v xml:space="preserve">Nana Aisha Mohammed </v>
      </c>
      <c r="DH47" s="78">
        <v>9</v>
      </c>
      <c r="DI47" s="78">
        <v>10</v>
      </c>
      <c r="DJ47" s="78">
        <v>10</v>
      </c>
      <c r="DK47" s="78">
        <v>10</v>
      </c>
      <c r="DL47" s="85">
        <f t="shared" si="46"/>
        <v>39</v>
      </c>
      <c r="DM47" s="85">
        <v>46</v>
      </c>
      <c r="DN47" s="85">
        <f t="shared" si="47"/>
        <v>85</v>
      </c>
      <c r="DO47" s="85">
        <f t="shared" si="48"/>
        <v>1</v>
      </c>
      <c r="DP47" s="85" t="str">
        <f t="shared" si="49"/>
        <v>A1</v>
      </c>
      <c r="DQ47" s="85" t="str">
        <f t="shared" si="50"/>
        <v>Excellent</v>
      </c>
      <c r="DR47">
        <v>45</v>
      </c>
      <c r="DS47" s="77" t="str">
        <f>Data!B46</f>
        <v xml:space="preserve">Nana Aisha Mohammed </v>
      </c>
      <c r="DT47" s="118"/>
      <c r="DU47" s="118"/>
      <c r="DV47" s="118"/>
      <c r="DW47" s="118"/>
      <c r="DX47" s="92">
        <f t="shared" si="51"/>
        <v>0</v>
      </c>
      <c r="DY47" s="119"/>
      <c r="DZ47" s="92">
        <f t="shared" si="52"/>
        <v>0</v>
      </c>
      <c r="EA47" s="92" t="str">
        <f t="shared" si="53"/>
        <v/>
      </c>
      <c r="EB47" s="92" t="str">
        <f t="shared" si="54"/>
        <v/>
      </c>
      <c r="EC47" s="92" t="str">
        <f t="shared" si="55"/>
        <v/>
      </c>
      <c r="ED47">
        <v>45</v>
      </c>
      <c r="EE47" s="77" t="str">
        <f>Data!B46</f>
        <v xml:space="preserve">Nana Aisha Mohammed </v>
      </c>
      <c r="EF47" s="78"/>
      <c r="EG47" s="78"/>
      <c r="EH47" s="78"/>
      <c r="EI47" s="78"/>
      <c r="EJ47" s="94">
        <f t="shared" si="56"/>
        <v>0</v>
      </c>
      <c r="EK47" s="94"/>
      <c r="EL47" s="94">
        <f t="shared" si="57"/>
        <v>0</v>
      </c>
      <c r="EM47" s="94" t="str">
        <f t="shared" si="58"/>
        <v/>
      </c>
      <c r="EN47" s="94" t="str">
        <f t="shared" si="59"/>
        <v/>
      </c>
      <c r="EO47" s="94" t="str">
        <f t="shared" si="60"/>
        <v/>
      </c>
      <c r="EP47">
        <v>45</v>
      </c>
      <c r="EQ47" s="95" t="str">
        <f>Data!B46</f>
        <v xml:space="preserve">Nana Aisha Mohammed </v>
      </c>
      <c r="ER47" s="78"/>
      <c r="ES47" s="78"/>
      <c r="ET47" s="78"/>
      <c r="EU47" s="78"/>
      <c r="EV47" s="90">
        <f t="shared" si="61"/>
        <v>0</v>
      </c>
      <c r="EW47" s="90"/>
      <c r="EX47" s="90">
        <f t="shared" si="62"/>
        <v>0</v>
      </c>
      <c r="EY47" s="90" t="str">
        <f t="shared" si="63"/>
        <v/>
      </c>
      <c r="EZ47" s="90" t="str">
        <f t="shared" si="64"/>
        <v/>
      </c>
      <c r="FA47" s="90" t="str">
        <f t="shared" si="65"/>
        <v/>
      </c>
      <c r="FB47">
        <v>45</v>
      </c>
      <c r="FC47" s="77" t="str">
        <f>Data!B46</f>
        <v xml:space="preserve">Nana Aisha Mohammed </v>
      </c>
      <c r="FD47" s="78"/>
      <c r="FE47" s="78"/>
      <c r="FF47" s="78"/>
      <c r="FG47" s="78"/>
      <c r="FH47" s="96">
        <f t="shared" si="66"/>
        <v>0</v>
      </c>
      <c r="FI47" s="96"/>
      <c r="FJ47" s="96">
        <f t="shared" si="67"/>
        <v>0</v>
      </c>
      <c r="FK47" s="96" t="str">
        <f t="shared" si="68"/>
        <v/>
      </c>
      <c r="FL47" s="96" t="str">
        <f t="shared" si="69"/>
        <v/>
      </c>
      <c r="FM47" s="96" t="str">
        <f t="shared" si="70"/>
        <v/>
      </c>
      <c r="FN47">
        <v>45</v>
      </c>
      <c r="FO47" s="77" t="str">
        <f>Data!B46</f>
        <v xml:space="preserve">Nana Aisha Mohammed </v>
      </c>
      <c r="FP47" s="78"/>
      <c r="FQ47" s="78"/>
      <c r="FR47" s="78"/>
      <c r="FS47" s="78"/>
      <c r="FT47" s="97">
        <f t="shared" si="71"/>
        <v>0</v>
      </c>
      <c r="FU47" s="97"/>
      <c r="FV47" s="97">
        <f t="shared" si="72"/>
        <v>0</v>
      </c>
      <c r="FW47" s="97" t="str">
        <f t="shared" si="73"/>
        <v/>
      </c>
      <c r="FX47" s="97" t="str">
        <f t="shared" si="74"/>
        <v/>
      </c>
      <c r="FY47" s="97" t="str">
        <f t="shared" si="75"/>
        <v/>
      </c>
      <c r="FZ47">
        <v>45</v>
      </c>
      <c r="GA47" s="77" t="str">
        <f>Data!B46</f>
        <v xml:space="preserve">Nana Aisha Mohammed </v>
      </c>
      <c r="GB47" s="78"/>
      <c r="GC47" s="78"/>
      <c r="GD47" s="78"/>
      <c r="GE47" s="78"/>
      <c r="GF47" s="98">
        <f t="shared" si="76"/>
        <v>0</v>
      </c>
      <c r="GG47" s="98"/>
      <c r="GH47" s="98">
        <f t="shared" si="77"/>
        <v>0</v>
      </c>
      <c r="GI47" s="98" t="str">
        <f t="shared" si="78"/>
        <v/>
      </c>
      <c r="GJ47" s="98" t="str">
        <f t="shared" si="79"/>
        <v/>
      </c>
      <c r="GK47" s="98" t="str">
        <f t="shared" si="80"/>
        <v/>
      </c>
      <c r="GL47">
        <v>45</v>
      </c>
      <c r="GM47" s="77" t="str">
        <f>Data!B46</f>
        <v xml:space="preserve">Nana Aisha Mohammed </v>
      </c>
      <c r="GN47" s="99"/>
      <c r="GO47" s="99"/>
      <c r="GP47" s="99"/>
      <c r="GQ47" s="99"/>
      <c r="GR47" s="100">
        <f t="shared" si="81"/>
        <v>0</v>
      </c>
      <c r="GS47" s="99"/>
      <c r="GT47" s="100">
        <f t="shared" si="82"/>
        <v>0</v>
      </c>
      <c r="GU47" s="100" t="str">
        <f t="shared" si="83"/>
        <v/>
      </c>
      <c r="GV47" s="100" t="str">
        <f t="shared" si="84"/>
        <v/>
      </c>
      <c r="GW47" s="100" t="str">
        <f t="shared" si="85"/>
        <v/>
      </c>
      <c r="GX47">
        <v>45</v>
      </c>
      <c r="GY47" s="77" t="str">
        <f>Data!B46</f>
        <v xml:space="preserve">Nana Aisha Mohammed </v>
      </c>
      <c r="GZ47" s="78"/>
      <c r="HA47" s="78"/>
      <c r="HB47" s="78"/>
      <c r="HC47" s="78"/>
      <c r="HD47" s="86">
        <f t="shared" si="86"/>
        <v>0</v>
      </c>
      <c r="HE47" s="86"/>
      <c r="HF47" s="86">
        <f t="shared" si="87"/>
        <v>0</v>
      </c>
      <c r="HG47" s="86" t="str">
        <f t="shared" si="88"/>
        <v/>
      </c>
      <c r="HH47" s="86" t="str">
        <f t="shared" si="89"/>
        <v/>
      </c>
      <c r="HI47" s="86" t="str">
        <f t="shared" si="90"/>
        <v/>
      </c>
      <c r="HJ47">
        <v>45</v>
      </c>
      <c r="HK47" s="77" t="str">
        <f>Data!B46</f>
        <v xml:space="preserve">Nana Aisha Mohammed </v>
      </c>
      <c r="HL47" s="111"/>
      <c r="HM47" s="112"/>
      <c r="HN47" s="112"/>
      <c r="HO47" s="112"/>
      <c r="HP47" s="103">
        <f t="shared" si="91"/>
        <v>0</v>
      </c>
      <c r="HQ47" s="111"/>
      <c r="HR47" s="103">
        <f t="shared" si="92"/>
        <v>0</v>
      </c>
      <c r="HS47" s="103" t="str">
        <f t="shared" si="93"/>
        <v/>
      </c>
      <c r="HT47" s="103" t="str">
        <f t="shared" si="94"/>
        <v/>
      </c>
      <c r="HU47" s="103" t="str">
        <f t="shared" si="95"/>
        <v/>
      </c>
      <c r="HV47">
        <v>45</v>
      </c>
      <c r="HW47" s="77" t="str">
        <f>Data!B46</f>
        <v xml:space="preserve">Nana Aisha Mohammed </v>
      </c>
      <c r="HX47" s="78"/>
      <c r="HY47" s="78"/>
      <c r="HZ47" s="78"/>
      <c r="IA47" s="78"/>
      <c r="IB47" s="85">
        <f t="shared" si="96"/>
        <v>0</v>
      </c>
      <c r="IC47" s="85"/>
      <c r="ID47" s="85">
        <f t="shared" si="97"/>
        <v>0</v>
      </c>
      <c r="IE47" s="85" t="str">
        <f t="shared" si="98"/>
        <v/>
      </c>
      <c r="IF47" s="85" t="str">
        <f t="shared" si="99"/>
        <v/>
      </c>
      <c r="IG47" s="85" t="str">
        <f t="shared" si="100"/>
        <v/>
      </c>
      <c r="IH47">
        <v>45</v>
      </c>
      <c r="II47" s="77" t="str">
        <f>Data!B46</f>
        <v xml:space="preserve">Nana Aisha Mohammed </v>
      </c>
      <c r="IJ47" s="78"/>
      <c r="IK47" s="78"/>
      <c r="IL47" s="78"/>
      <c r="IM47" s="78"/>
      <c r="IN47" s="104">
        <f t="shared" si="101"/>
        <v>0</v>
      </c>
      <c r="IO47" s="104"/>
      <c r="IP47" s="104">
        <f t="shared" si="102"/>
        <v>0</v>
      </c>
      <c r="IQ47" s="104" t="str">
        <f t="shared" si="103"/>
        <v/>
      </c>
      <c r="IR47" s="104" t="str">
        <f t="shared" si="104"/>
        <v/>
      </c>
      <c r="IS47" s="104" t="str">
        <f t="shared" si="105"/>
        <v/>
      </c>
      <c r="IT47">
        <v>45</v>
      </c>
      <c r="IU47" s="77" t="str">
        <f t="shared" si="106"/>
        <v xml:space="preserve">Nana Aisha Mohammed </v>
      </c>
      <c r="IV47" s="116"/>
      <c r="IW47" s="116"/>
      <c r="IX47" s="116"/>
      <c r="IY47" s="116"/>
      <c r="IZ47" s="98">
        <f t="shared" si="107"/>
        <v>0</v>
      </c>
      <c r="JA47" s="105"/>
      <c r="JB47" s="98">
        <f t="shared" si="108"/>
        <v>0</v>
      </c>
      <c r="JC47" s="98" t="str">
        <f t="shared" si="109"/>
        <v/>
      </c>
      <c r="JD47" s="98" t="str">
        <f t="shared" si="110"/>
        <v/>
      </c>
      <c r="JE47" s="98" t="str">
        <f t="shared" si="111"/>
        <v/>
      </c>
      <c r="JF47">
        <v>45</v>
      </c>
      <c r="JG47" s="77" t="str">
        <f t="shared" si="112"/>
        <v xml:space="preserve">Nana Aisha Mohammed </v>
      </c>
      <c r="JH47" s="114"/>
      <c r="JI47" s="114"/>
      <c r="JJ47" s="114"/>
      <c r="JK47" s="114"/>
      <c r="JL47" s="82">
        <f t="shared" si="113"/>
        <v>0</v>
      </c>
      <c r="JM47" s="114"/>
      <c r="JN47" s="82">
        <f t="shared" si="114"/>
        <v>0</v>
      </c>
      <c r="JO47" s="82" t="str">
        <f t="shared" si="115"/>
        <v/>
      </c>
      <c r="JP47" s="82" t="str">
        <f t="shared" si="116"/>
        <v/>
      </c>
      <c r="JQ47" s="82" t="str">
        <f t="shared" si="117"/>
        <v/>
      </c>
      <c r="JR47">
        <v>45</v>
      </c>
      <c r="JS47" s="77" t="str">
        <f t="shared" si="118"/>
        <v xml:space="preserve">Nana Aisha Mohammed </v>
      </c>
      <c r="JT47" s="107"/>
      <c r="JU47" s="107"/>
      <c r="JV47" s="107"/>
      <c r="JW47" s="107"/>
      <c r="JX47" s="80">
        <f t="shared" si="119"/>
        <v>0</v>
      </c>
      <c r="JY47" s="108"/>
      <c r="JZ47" s="80">
        <f t="shared" si="0"/>
        <v>0</v>
      </c>
      <c r="KA47" s="80" t="str">
        <f t="shared" si="120"/>
        <v/>
      </c>
      <c r="KB47" s="80" t="str">
        <f t="shared" si="121"/>
        <v/>
      </c>
      <c r="KC47" s="80" t="str">
        <f t="shared" si="122"/>
        <v/>
      </c>
      <c r="KE47" s="16"/>
      <c r="KF47" s="16"/>
      <c r="KG47" s="16"/>
      <c r="KH47" s="16"/>
      <c r="KI47" s="16"/>
      <c r="KJ47" s="16"/>
      <c r="KK47" s="16"/>
      <c r="KL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</row>
    <row r="48" spans="1:309" ht="23.25">
      <c r="A48" s="17"/>
      <c r="B48" s="186">
        <v>46</v>
      </c>
      <c r="C48" s="77" t="str">
        <f>Data!B47</f>
        <v xml:space="preserve">Patience James </v>
      </c>
      <c r="D48" s="87">
        <v>6</v>
      </c>
      <c r="E48" s="87">
        <v>5</v>
      </c>
      <c r="F48" s="87">
        <v>6</v>
      </c>
      <c r="G48" s="87">
        <v>9</v>
      </c>
      <c r="H48" s="88">
        <f t="shared" si="1"/>
        <v>26</v>
      </c>
      <c r="I48" s="87">
        <v>23</v>
      </c>
      <c r="J48" s="88">
        <f t="shared" si="2"/>
        <v>49</v>
      </c>
      <c r="K48" s="79">
        <f t="shared" si="3"/>
        <v>35</v>
      </c>
      <c r="L48" s="79" t="str">
        <f t="shared" si="4"/>
        <v>D7</v>
      </c>
      <c r="M48" s="79" t="str">
        <f t="shared" si="5"/>
        <v>Pass</v>
      </c>
      <c r="N48" s="17">
        <v>46</v>
      </c>
      <c r="O48" s="77" t="str">
        <f>Data!B47</f>
        <v xml:space="preserve">Patience James </v>
      </c>
      <c r="P48" s="78"/>
      <c r="Q48" s="78"/>
      <c r="R48" s="78"/>
      <c r="S48" s="78"/>
      <c r="T48" s="80">
        <f t="shared" si="6"/>
        <v>0</v>
      </c>
      <c r="U48" s="80"/>
      <c r="V48" s="80">
        <f t="shared" si="7"/>
        <v>0</v>
      </c>
      <c r="W48" s="80" t="str">
        <f t="shared" si="8"/>
        <v/>
      </c>
      <c r="X48" s="80" t="str">
        <f t="shared" si="9"/>
        <v/>
      </c>
      <c r="Y48" s="80" t="str">
        <f t="shared" si="10"/>
        <v/>
      </c>
      <c r="Z48" s="11">
        <v>46</v>
      </c>
      <c r="AA48" s="77" t="str">
        <f>Data!B47</f>
        <v xml:space="preserve">Patience James </v>
      </c>
      <c r="AB48" s="87">
        <v>6</v>
      </c>
      <c r="AC48" s="87">
        <v>5</v>
      </c>
      <c r="AD48" s="87">
        <v>6</v>
      </c>
      <c r="AE48" s="87">
        <v>9</v>
      </c>
      <c r="AF48" s="88">
        <f t="shared" si="11"/>
        <v>26</v>
      </c>
      <c r="AG48" s="87">
        <v>23</v>
      </c>
      <c r="AH48" s="88">
        <f t="shared" si="12"/>
        <v>49</v>
      </c>
      <c r="AI48" s="82">
        <f t="shared" si="13"/>
        <v>35</v>
      </c>
      <c r="AJ48" s="82" t="str">
        <f t="shared" si="14"/>
        <v>D7</v>
      </c>
      <c r="AK48" s="82" t="str">
        <f t="shared" si="15"/>
        <v>Pass</v>
      </c>
      <c r="AL48" s="11">
        <v>46</v>
      </c>
      <c r="AM48" s="77" t="str">
        <f>Data!B47</f>
        <v xml:space="preserve">Patience James </v>
      </c>
      <c r="AN48" s="87">
        <v>6</v>
      </c>
      <c r="AO48" s="87">
        <v>5</v>
      </c>
      <c r="AP48" s="87">
        <v>6</v>
      </c>
      <c r="AQ48" s="87">
        <v>9</v>
      </c>
      <c r="AR48" s="88">
        <f t="shared" si="16"/>
        <v>26</v>
      </c>
      <c r="AS48" s="87">
        <v>23</v>
      </c>
      <c r="AT48" s="88">
        <f t="shared" si="17"/>
        <v>49</v>
      </c>
      <c r="AU48" s="83">
        <f t="shared" si="18"/>
        <v>35</v>
      </c>
      <c r="AV48" s="83" t="str">
        <f t="shared" si="19"/>
        <v>D7</v>
      </c>
      <c r="AW48" s="83" t="str">
        <f t="shared" si="20"/>
        <v>Pass</v>
      </c>
      <c r="AX48" s="11">
        <v>46</v>
      </c>
      <c r="AY48" s="77" t="str">
        <f>Data!B47</f>
        <v xml:space="preserve">Patience James </v>
      </c>
      <c r="AZ48" s="87">
        <v>6</v>
      </c>
      <c r="BA48" s="87">
        <v>5</v>
      </c>
      <c r="BB48" s="87">
        <v>6</v>
      </c>
      <c r="BC48" s="87">
        <v>9</v>
      </c>
      <c r="BD48" s="88">
        <f t="shared" si="21"/>
        <v>26</v>
      </c>
      <c r="BE48" s="87">
        <v>23</v>
      </c>
      <c r="BF48" s="88">
        <f t="shared" si="22"/>
        <v>49</v>
      </c>
      <c r="BG48" s="85">
        <f t="shared" si="23"/>
        <v>35</v>
      </c>
      <c r="BH48" s="85" t="str">
        <f t="shared" si="24"/>
        <v>D7</v>
      </c>
      <c r="BI48" s="85" t="str">
        <f t="shared" si="25"/>
        <v>Pass</v>
      </c>
      <c r="BJ48" s="36">
        <v>46</v>
      </c>
      <c r="BK48" s="77" t="str">
        <f>Data!B47</f>
        <v xml:space="preserve">Patience James </v>
      </c>
      <c r="BL48" s="87">
        <v>6</v>
      </c>
      <c r="BM48" s="87">
        <v>5</v>
      </c>
      <c r="BN48" s="87">
        <v>6</v>
      </c>
      <c r="BO48" s="87">
        <v>9</v>
      </c>
      <c r="BP48" s="88">
        <f t="shared" si="26"/>
        <v>26</v>
      </c>
      <c r="BQ48" s="87">
        <v>23</v>
      </c>
      <c r="BR48" s="88">
        <f t="shared" si="27"/>
        <v>49</v>
      </c>
      <c r="BS48" s="86">
        <f t="shared" si="28"/>
        <v>35</v>
      </c>
      <c r="BT48" s="86" t="str">
        <f t="shared" si="29"/>
        <v>D7</v>
      </c>
      <c r="BU48" s="86" t="str">
        <f t="shared" si="30"/>
        <v>Pass</v>
      </c>
      <c r="BV48">
        <v>46</v>
      </c>
      <c r="BW48" s="77" t="str">
        <f>Data!B47</f>
        <v xml:space="preserve">Patience James </v>
      </c>
      <c r="BX48" s="87">
        <v>6</v>
      </c>
      <c r="BY48" s="87">
        <v>5</v>
      </c>
      <c r="BZ48" s="87">
        <v>6</v>
      </c>
      <c r="CA48" s="87">
        <v>9</v>
      </c>
      <c r="CB48" s="88">
        <f t="shared" si="31"/>
        <v>26</v>
      </c>
      <c r="CC48" s="87">
        <v>23</v>
      </c>
      <c r="CD48" s="88">
        <f t="shared" si="32"/>
        <v>49</v>
      </c>
      <c r="CE48" s="88">
        <f t="shared" si="33"/>
        <v>35</v>
      </c>
      <c r="CF48" s="88" t="str">
        <f t="shared" si="34"/>
        <v>D7</v>
      </c>
      <c r="CG48" s="88" t="str">
        <f t="shared" si="35"/>
        <v>Pass</v>
      </c>
      <c r="CH48">
        <v>46</v>
      </c>
      <c r="CI48" s="77" t="str">
        <f>Data!B47</f>
        <v xml:space="preserve">Patience James </v>
      </c>
      <c r="CJ48" s="78"/>
      <c r="CK48" s="78"/>
      <c r="CL48" s="78"/>
      <c r="CM48" s="78"/>
      <c r="CN48" s="89">
        <f t="shared" si="36"/>
        <v>0</v>
      </c>
      <c r="CO48" s="89"/>
      <c r="CP48" s="89">
        <f t="shared" si="37"/>
        <v>0</v>
      </c>
      <c r="CQ48" s="89" t="str">
        <f t="shared" si="38"/>
        <v/>
      </c>
      <c r="CR48" s="89" t="str">
        <f t="shared" si="39"/>
        <v/>
      </c>
      <c r="CS48" s="89" t="str">
        <f t="shared" si="40"/>
        <v/>
      </c>
      <c r="CT48">
        <v>46</v>
      </c>
      <c r="CU48" s="77" t="str">
        <f>Data!B47</f>
        <v xml:space="preserve">Patience James </v>
      </c>
      <c r="CV48" s="78"/>
      <c r="CW48" s="78"/>
      <c r="CX48" s="78"/>
      <c r="CY48" s="78"/>
      <c r="CZ48" s="90">
        <f t="shared" si="41"/>
        <v>0</v>
      </c>
      <c r="DA48" s="117"/>
      <c r="DB48" s="90">
        <f t="shared" si="42"/>
        <v>0</v>
      </c>
      <c r="DC48" s="90" t="str">
        <f t="shared" si="43"/>
        <v/>
      </c>
      <c r="DD48" s="90" t="str">
        <f t="shared" si="44"/>
        <v/>
      </c>
      <c r="DE48" s="90" t="str">
        <f t="shared" si="45"/>
        <v/>
      </c>
      <c r="DF48">
        <v>46</v>
      </c>
      <c r="DG48" s="77" t="str">
        <f>Data!B47</f>
        <v xml:space="preserve">Patience James </v>
      </c>
      <c r="DH48" s="78"/>
      <c r="DI48" s="78"/>
      <c r="DJ48" s="78"/>
      <c r="DK48" s="78"/>
      <c r="DL48" s="85">
        <f t="shared" si="46"/>
        <v>0</v>
      </c>
      <c r="DM48" s="85"/>
      <c r="DN48" s="85">
        <f t="shared" si="47"/>
        <v>0</v>
      </c>
      <c r="DO48" s="85" t="str">
        <f t="shared" si="48"/>
        <v/>
      </c>
      <c r="DP48" s="85" t="str">
        <f t="shared" si="49"/>
        <v/>
      </c>
      <c r="DQ48" s="85" t="str">
        <f t="shared" si="50"/>
        <v/>
      </c>
      <c r="DR48">
        <v>46</v>
      </c>
      <c r="DS48" s="77" t="str">
        <f>Data!B47</f>
        <v xml:space="preserve">Patience James </v>
      </c>
      <c r="DT48" s="118"/>
      <c r="DU48" s="118"/>
      <c r="DV48" s="118"/>
      <c r="DW48" s="118"/>
      <c r="DX48" s="92">
        <f t="shared" si="51"/>
        <v>0</v>
      </c>
      <c r="DY48" s="119"/>
      <c r="DZ48" s="92">
        <f t="shared" si="52"/>
        <v>0</v>
      </c>
      <c r="EA48" s="92" t="str">
        <f t="shared" si="53"/>
        <v/>
      </c>
      <c r="EB48" s="92" t="str">
        <f t="shared" si="54"/>
        <v/>
      </c>
      <c r="EC48" s="92" t="str">
        <f t="shared" si="55"/>
        <v/>
      </c>
      <c r="ED48">
        <v>46</v>
      </c>
      <c r="EE48" s="77" t="str">
        <f>Data!B47</f>
        <v xml:space="preserve">Patience James </v>
      </c>
      <c r="EF48" s="78"/>
      <c r="EG48" s="78"/>
      <c r="EH48" s="78"/>
      <c r="EI48" s="78"/>
      <c r="EJ48" s="94">
        <f t="shared" si="56"/>
        <v>0</v>
      </c>
      <c r="EK48" s="94"/>
      <c r="EL48" s="94">
        <f t="shared" si="57"/>
        <v>0</v>
      </c>
      <c r="EM48" s="94" t="str">
        <f t="shared" si="58"/>
        <v/>
      </c>
      <c r="EN48" s="94" t="str">
        <f t="shared" si="59"/>
        <v/>
      </c>
      <c r="EO48" s="94" t="str">
        <f t="shared" si="60"/>
        <v/>
      </c>
      <c r="EP48">
        <v>46</v>
      </c>
      <c r="EQ48" s="95" t="str">
        <f>Data!B47</f>
        <v xml:space="preserve">Patience James </v>
      </c>
      <c r="ER48" s="78"/>
      <c r="ES48" s="78"/>
      <c r="ET48" s="78"/>
      <c r="EU48" s="78"/>
      <c r="EV48" s="90">
        <f t="shared" si="61"/>
        <v>0</v>
      </c>
      <c r="EW48" s="90"/>
      <c r="EX48" s="90">
        <f t="shared" si="62"/>
        <v>0</v>
      </c>
      <c r="EY48" s="90" t="str">
        <f t="shared" si="63"/>
        <v/>
      </c>
      <c r="EZ48" s="90" t="str">
        <f t="shared" si="64"/>
        <v/>
      </c>
      <c r="FA48" s="90" t="str">
        <f t="shared" si="65"/>
        <v/>
      </c>
      <c r="FB48">
        <v>46</v>
      </c>
      <c r="FC48" s="77" t="str">
        <f>Data!B47</f>
        <v xml:space="preserve">Patience James </v>
      </c>
      <c r="FD48" s="78"/>
      <c r="FE48" s="78"/>
      <c r="FF48" s="78"/>
      <c r="FG48" s="78"/>
      <c r="FH48" s="96">
        <f t="shared" si="66"/>
        <v>0</v>
      </c>
      <c r="FI48" s="96"/>
      <c r="FJ48" s="96">
        <f t="shared" si="67"/>
        <v>0</v>
      </c>
      <c r="FK48" s="96" t="str">
        <f t="shared" si="68"/>
        <v/>
      </c>
      <c r="FL48" s="96" t="str">
        <f t="shared" si="69"/>
        <v/>
      </c>
      <c r="FM48" s="96" t="str">
        <f t="shared" si="70"/>
        <v/>
      </c>
      <c r="FN48">
        <v>46</v>
      </c>
      <c r="FO48" s="77" t="str">
        <f>Data!B47</f>
        <v xml:space="preserve">Patience James </v>
      </c>
      <c r="FP48" s="78"/>
      <c r="FQ48" s="78"/>
      <c r="FR48" s="78"/>
      <c r="FS48" s="78"/>
      <c r="FT48" s="97">
        <f t="shared" si="71"/>
        <v>0</v>
      </c>
      <c r="FU48" s="97"/>
      <c r="FV48" s="97">
        <f t="shared" si="72"/>
        <v>0</v>
      </c>
      <c r="FW48" s="97" t="str">
        <f t="shared" si="73"/>
        <v/>
      </c>
      <c r="FX48" s="97" t="str">
        <f t="shared" si="74"/>
        <v/>
      </c>
      <c r="FY48" s="97" t="str">
        <f t="shared" si="75"/>
        <v/>
      </c>
      <c r="FZ48">
        <v>46</v>
      </c>
      <c r="GA48" s="77" t="str">
        <f>Data!B47</f>
        <v xml:space="preserve">Patience James </v>
      </c>
      <c r="GB48" s="78"/>
      <c r="GC48" s="78"/>
      <c r="GD48" s="78"/>
      <c r="GE48" s="78"/>
      <c r="GF48" s="98">
        <f t="shared" si="76"/>
        <v>0</v>
      </c>
      <c r="GG48" s="98"/>
      <c r="GH48" s="98">
        <f t="shared" si="77"/>
        <v>0</v>
      </c>
      <c r="GI48" s="98" t="str">
        <f t="shared" si="78"/>
        <v/>
      </c>
      <c r="GJ48" s="98" t="str">
        <f t="shared" si="79"/>
        <v/>
      </c>
      <c r="GK48" s="98" t="str">
        <f t="shared" si="80"/>
        <v/>
      </c>
      <c r="GL48">
        <v>46</v>
      </c>
      <c r="GM48" s="77" t="str">
        <f>Data!B47</f>
        <v xml:space="preserve">Patience James </v>
      </c>
      <c r="GN48" s="99"/>
      <c r="GO48" s="99"/>
      <c r="GP48" s="99"/>
      <c r="GQ48" s="99"/>
      <c r="GR48" s="100">
        <f t="shared" si="81"/>
        <v>0</v>
      </c>
      <c r="GS48" s="99"/>
      <c r="GT48" s="100">
        <f t="shared" si="82"/>
        <v>0</v>
      </c>
      <c r="GU48" s="100" t="str">
        <f t="shared" si="83"/>
        <v/>
      </c>
      <c r="GV48" s="100" t="str">
        <f t="shared" si="84"/>
        <v/>
      </c>
      <c r="GW48" s="100" t="str">
        <f t="shared" si="85"/>
        <v/>
      </c>
      <c r="GX48">
        <v>46</v>
      </c>
      <c r="GY48" s="77" t="str">
        <f>Data!B47</f>
        <v xml:space="preserve">Patience James </v>
      </c>
      <c r="GZ48" s="78"/>
      <c r="HA48" s="78"/>
      <c r="HB48" s="78"/>
      <c r="HC48" s="78"/>
      <c r="HD48" s="86">
        <f t="shared" si="86"/>
        <v>0</v>
      </c>
      <c r="HE48" s="86"/>
      <c r="HF48" s="86">
        <f t="shared" si="87"/>
        <v>0</v>
      </c>
      <c r="HG48" s="86" t="str">
        <f t="shared" si="88"/>
        <v/>
      </c>
      <c r="HH48" s="86" t="str">
        <f t="shared" si="89"/>
        <v/>
      </c>
      <c r="HI48" s="86" t="str">
        <f t="shared" si="90"/>
        <v/>
      </c>
      <c r="HJ48">
        <v>46</v>
      </c>
      <c r="HK48" s="77" t="str">
        <f>Data!B47</f>
        <v xml:space="preserve">Patience James </v>
      </c>
      <c r="HL48" s="111">
        <v>7</v>
      </c>
      <c r="HM48" s="112">
        <v>4</v>
      </c>
      <c r="HN48" s="112">
        <v>10</v>
      </c>
      <c r="HO48" s="112">
        <v>10</v>
      </c>
      <c r="HP48" s="103">
        <f t="shared" si="91"/>
        <v>31</v>
      </c>
      <c r="HQ48" s="111"/>
      <c r="HR48" s="103">
        <f t="shared" si="92"/>
        <v>31</v>
      </c>
      <c r="HS48" s="103">
        <f t="shared" si="93"/>
        <v>13</v>
      </c>
      <c r="HT48" s="103" t="str">
        <f t="shared" si="94"/>
        <v>F</v>
      </c>
      <c r="HU48" s="103" t="str">
        <f t="shared" si="95"/>
        <v>Fail</v>
      </c>
      <c r="HV48">
        <v>46</v>
      </c>
      <c r="HW48" s="77" t="str">
        <f>Data!B47</f>
        <v xml:space="preserve">Patience James </v>
      </c>
      <c r="HX48" s="78"/>
      <c r="HY48" s="78"/>
      <c r="HZ48" s="78"/>
      <c r="IA48" s="78"/>
      <c r="IB48" s="85">
        <f t="shared" si="96"/>
        <v>0</v>
      </c>
      <c r="IC48" s="85"/>
      <c r="ID48" s="85">
        <f t="shared" si="97"/>
        <v>0</v>
      </c>
      <c r="IE48" s="85" t="str">
        <f t="shared" si="98"/>
        <v/>
      </c>
      <c r="IF48" s="85" t="str">
        <f t="shared" si="99"/>
        <v/>
      </c>
      <c r="IG48" s="85" t="str">
        <f t="shared" si="100"/>
        <v/>
      </c>
      <c r="IH48">
        <v>46</v>
      </c>
      <c r="II48" s="77" t="str">
        <f>Data!B47</f>
        <v xml:space="preserve">Patience James </v>
      </c>
      <c r="IJ48" s="78"/>
      <c r="IK48" s="78"/>
      <c r="IL48" s="78"/>
      <c r="IM48" s="78"/>
      <c r="IN48" s="104">
        <f t="shared" si="101"/>
        <v>0</v>
      </c>
      <c r="IO48" s="104"/>
      <c r="IP48" s="104">
        <f t="shared" si="102"/>
        <v>0</v>
      </c>
      <c r="IQ48" s="104" t="str">
        <f t="shared" si="103"/>
        <v/>
      </c>
      <c r="IR48" s="104" t="str">
        <f t="shared" si="104"/>
        <v/>
      </c>
      <c r="IS48" s="104" t="str">
        <f t="shared" si="105"/>
        <v/>
      </c>
      <c r="IT48">
        <v>46</v>
      </c>
      <c r="IU48" s="77" t="str">
        <f t="shared" si="106"/>
        <v xml:space="preserve">Patience James </v>
      </c>
      <c r="IV48" s="116"/>
      <c r="IW48" s="116"/>
      <c r="IX48" s="116"/>
      <c r="IY48" s="116"/>
      <c r="IZ48" s="98">
        <f t="shared" si="107"/>
        <v>0</v>
      </c>
      <c r="JA48" s="116"/>
      <c r="JB48" s="98">
        <f t="shared" si="108"/>
        <v>0</v>
      </c>
      <c r="JC48" s="98" t="str">
        <f t="shared" si="109"/>
        <v/>
      </c>
      <c r="JD48" s="98" t="str">
        <f t="shared" si="110"/>
        <v/>
      </c>
      <c r="JE48" s="98" t="str">
        <f t="shared" si="111"/>
        <v/>
      </c>
      <c r="JF48">
        <v>46</v>
      </c>
      <c r="JG48" s="77" t="str">
        <f t="shared" si="112"/>
        <v xml:space="preserve">Patience James </v>
      </c>
      <c r="JH48" s="114"/>
      <c r="JI48" s="114"/>
      <c r="JJ48" s="114"/>
      <c r="JK48" s="114"/>
      <c r="JL48" s="82">
        <f t="shared" si="113"/>
        <v>0</v>
      </c>
      <c r="JM48" s="114"/>
      <c r="JN48" s="82">
        <f t="shared" si="114"/>
        <v>0</v>
      </c>
      <c r="JO48" s="82" t="str">
        <f t="shared" si="115"/>
        <v/>
      </c>
      <c r="JP48" s="82" t="str">
        <f t="shared" si="116"/>
        <v/>
      </c>
      <c r="JQ48" s="82" t="str">
        <f t="shared" si="117"/>
        <v/>
      </c>
      <c r="JR48">
        <v>46</v>
      </c>
      <c r="JS48" s="77" t="str">
        <f t="shared" si="118"/>
        <v xml:space="preserve">Patience James </v>
      </c>
      <c r="JT48" s="107"/>
      <c r="JU48" s="107"/>
      <c r="JV48" s="107"/>
      <c r="JW48" s="107"/>
      <c r="JX48" s="80">
        <f t="shared" si="119"/>
        <v>0</v>
      </c>
      <c r="JY48" s="108"/>
      <c r="JZ48" s="80">
        <f t="shared" si="0"/>
        <v>0</v>
      </c>
      <c r="KA48" s="80" t="str">
        <f t="shared" si="120"/>
        <v/>
      </c>
      <c r="KB48" s="80" t="str">
        <f t="shared" si="121"/>
        <v/>
      </c>
      <c r="KC48" s="80" t="str">
        <f t="shared" si="122"/>
        <v/>
      </c>
      <c r="KE48" s="16"/>
      <c r="KF48" s="16"/>
      <c r="KG48" s="16"/>
      <c r="KH48" s="16"/>
      <c r="KI48" s="16"/>
      <c r="KJ48" s="16"/>
      <c r="KK48" s="16"/>
      <c r="KL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</row>
    <row r="49" spans="1:309" ht="23.25">
      <c r="A49" s="17">
        <v>47</v>
      </c>
      <c r="B49" s="186">
        <v>47</v>
      </c>
      <c r="C49" s="77" t="str">
        <f>Data!B48</f>
        <v xml:space="preserve">Precious Yakubu Balami </v>
      </c>
      <c r="D49" s="87">
        <v>9</v>
      </c>
      <c r="E49" s="87">
        <v>9</v>
      </c>
      <c r="F49" s="87">
        <v>9</v>
      </c>
      <c r="G49" s="87">
        <v>10</v>
      </c>
      <c r="H49" s="88">
        <f t="shared" si="1"/>
        <v>37</v>
      </c>
      <c r="I49" s="87">
        <v>45</v>
      </c>
      <c r="J49" s="88">
        <f t="shared" si="2"/>
        <v>82</v>
      </c>
      <c r="K49" s="79">
        <f t="shared" si="3"/>
        <v>4</v>
      </c>
      <c r="L49" s="79" t="str">
        <f t="shared" si="4"/>
        <v>A1</v>
      </c>
      <c r="M49" s="79" t="str">
        <f t="shared" si="5"/>
        <v>Excellent</v>
      </c>
      <c r="N49" s="17">
        <v>47</v>
      </c>
      <c r="O49" s="77" t="str">
        <f>Data!B48</f>
        <v xml:space="preserve">Precious Yakubu Balami </v>
      </c>
      <c r="P49" s="78"/>
      <c r="Q49" s="78"/>
      <c r="R49" s="78"/>
      <c r="S49" s="78"/>
      <c r="T49" s="80">
        <f t="shared" si="6"/>
        <v>0</v>
      </c>
      <c r="U49" s="80"/>
      <c r="V49" s="80">
        <f t="shared" si="7"/>
        <v>0</v>
      </c>
      <c r="W49" s="80" t="str">
        <f t="shared" si="8"/>
        <v/>
      </c>
      <c r="X49" s="80" t="str">
        <f t="shared" si="9"/>
        <v/>
      </c>
      <c r="Y49" s="80" t="str">
        <f t="shared" si="10"/>
        <v/>
      </c>
      <c r="Z49" s="11">
        <v>47</v>
      </c>
      <c r="AA49" s="77" t="str">
        <f>Data!B48</f>
        <v xml:space="preserve">Precious Yakubu Balami </v>
      </c>
      <c r="AB49" s="87">
        <v>9</v>
      </c>
      <c r="AC49" s="87">
        <v>9</v>
      </c>
      <c r="AD49" s="87">
        <v>9</v>
      </c>
      <c r="AE49" s="87">
        <v>10</v>
      </c>
      <c r="AF49" s="88">
        <f t="shared" si="11"/>
        <v>37</v>
      </c>
      <c r="AG49" s="87">
        <v>45</v>
      </c>
      <c r="AH49" s="88">
        <f t="shared" si="12"/>
        <v>82</v>
      </c>
      <c r="AI49" s="82">
        <f t="shared" si="13"/>
        <v>4</v>
      </c>
      <c r="AJ49" s="82" t="str">
        <f t="shared" si="14"/>
        <v>A1</v>
      </c>
      <c r="AK49" s="82" t="str">
        <f t="shared" si="15"/>
        <v>Excellent</v>
      </c>
      <c r="AL49" s="11">
        <v>47</v>
      </c>
      <c r="AM49" s="77" t="str">
        <f>Data!B48</f>
        <v xml:space="preserve">Precious Yakubu Balami </v>
      </c>
      <c r="AN49" s="87">
        <v>9</v>
      </c>
      <c r="AO49" s="87">
        <v>9</v>
      </c>
      <c r="AP49" s="87">
        <v>9</v>
      </c>
      <c r="AQ49" s="87">
        <v>10</v>
      </c>
      <c r="AR49" s="88">
        <f t="shared" si="16"/>
        <v>37</v>
      </c>
      <c r="AS49" s="87">
        <v>45</v>
      </c>
      <c r="AT49" s="88">
        <f t="shared" si="17"/>
        <v>82</v>
      </c>
      <c r="AU49" s="83">
        <f t="shared" si="18"/>
        <v>4</v>
      </c>
      <c r="AV49" s="83" t="str">
        <f t="shared" si="19"/>
        <v>A1</v>
      </c>
      <c r="AW49" s="83" t="str">
        <f t="shared" si="20"/>
        <v>Excellent</v>
      </c>
      <c r="AX49" s="11">
        <v>47</v>
      </c>
      <c r="AY49" s="77" t="str">
        <f>Data!B48</f>
        <v xml:space="preserve">Precious Yakubu Balami </v>
      </c>
      <c r="AZ49" s="87">
        <v>9</v>
      </c>
      <c r="BA49" s="87">
        <v>9</v>
      </c>
      <c r="BB49" s="87">
        <v>9</v>
      </c>
      <c r="BC49" s="87">
        <v>10</v>
      </c>
      <c r="BD49" s="88">
        <f t="shared" si="21"/>
        <v>37</v>
      </c>
      <c r="BE49" s="87">
        <v>45</v>
      </c>
      <c r="BF49" s="88">
        <f t="shared" si="22"/>
        <v>82</v>
      </c>
      <c r="BG49" s="85">
        <f t="shared" si="23"/>
        <v>4</v>
      </c>
      <c r="BH49" s="85" t="str">
        <f t="shared" si="24"/>
        <v>A1</v>
      </c>
      <c r="BI49" s="85" t="str">
        <f t="shared" si="25"/>
        <v>Excellent</v>
      </c>
      <c r="BJ49" s="36">
        <v>47</v>
      </c>
      <c r="BK49" s="77" t="str">
        <f>Data!B48</f>
        <v xml:space="preserve">Precious Yakubu Balami </v>
      </c>
      <c r="BL49" s="87">
        <v>9</v>
      </c>
      <c r="BM49" s="87">
        <v>9</v>
      </c>
      <c r="BN49" s="87">
        <v>9</v>
      </c>
      <c r="BO49" s="87">
        <v>10</v>
      </c>
      <c r="BP49" s="88">
        <f t="shared" si="26"/>
        <v>37</v>
      </c>
      <c r="BQ49" s="87">
        <v>45</v>
      </c>
      <c r="BR49" s="88">
        <f t="shared" si="27"/>
        <v>82</v>
      </c>
      <c r="BS49" s="86">
        <f t="shared" si="28"/>
        <v>4</v>
      </c>
      <c r="BT49" s="86" t="str">
        <f t="shared" si="29"/>
        <v>A1</v>
      </c>
      <c r="BU49" s="86" t="str">
        <f t="shared" si="30"/>
        <v>Excellent</v>
      </c>
      <c r="BV49">
        <v>47</v>
      </c>
      <c r="BW49" s="77" t="str">
        <f>Data!B48</f>
        <v xml:space="preserve">Precious Yakubu Balami </v>
      </c>
      <c r="BX49" s="87">
        <v>9</v>
      </c>
      <c r="BY49" s="87">
        <v>9</v>
      </c>
      <c r="BZ49" s="87">
        <v>9</v>
      </c>
      <c r="CA49" s="87">
        <v>10</v>
      </c>
      <c r="CB49" s="88">
        <f t="shared" si="31"/>
        <v>37</v>
      </c>
      <c r="CC49" s="87">
        <v>45</v>
      </c>
      <c r="CD49" s="88">
        <f t="shared" si="32"/>
        <v>82</v>
      </c>
      <c r="CE49" s="88">
        <f t="shared" si="33"/>
        <v>4</v>
      </c>
      <c r="CF49" s="88" t="str">
        <f t="shared" si="34"/>
        <v>A1</v>
      </c>
      <c r="CG49" s="88" t="str">
        <f t="shared" si="35"/>
        <v>Excellent</v>
      </c>
      <c r="CH49">
        <v>47</v>
      </c>
      <c r="CI49" s="77" t="str">
        <f>Data!B48</f>
        <v xml:space="preserve">Precious Yakubu Balami </v>
      </c>
      <c r="CJ49" s="78"/>
      <c r="CK49" s="78"/>
      <c r="CL49" s="78"/>
      <c r="CM49" s="78"/>
      <c r="CN49" s="89">
        <f t="shared" si="36"/>
        <v>0</v>
      </c>
      <c r="CO49" s="89"/>
      <c r="CP49" s="89">
        <f t="shared" si="37"/>
        <v>0</v>
      </c>
      <c r="CQ49" s="89" t="str">
        <f t="shared" si="38"/>
        <v/>
      </c>
      <c r="CR49" s="89" t="str">
        <f t="shared" si="39"/>
        <v/>
      </c>
      <c r="CS49" s="89" t="str">
        <f t="shared" si="40"/>
        <v/>
      </c>
      <c r="CT49">
        <v>47</v>
      </c>
      <c r="CU49" s="77" t="str">
        <f>Data!B48</f>
        <v xml:space="preserve">Precious Yakubu Balami </v>
      </c>
      <c r="CV49" s="78"/>
      <c r="CW49" s="78"/>
      <c r="CX49" s="78"/>
      <c r="CY49" s="78"/>
      <c r="CZ49" s="90">
        <f t="shared" si="41"/>
        <v>0</v>
      </c>
      <c r="DA49" s="90"/>
      <c r="DB49" s="90">
        <f t="shared" si="42"/>
        <v>0</v>
      </c>
      <c r="DC49" s="90" t="str">
        <f t="shared" si="43"/>
        <v/>
      </c>
      <c r="DD49" s="90" t="str">
        <f t="shared" si="44"/>
        <v/>
      </c>
      <c r="DE49" s="90" t="str">
        <f t="shared" si="45"/>
        <v/>
      </c>
      <c r="DF49">
        <v>47</v>
      </c>
      <c r="DG49" s="77" t="str">
        <f>Data!B48</f>
        <v xml:space="preserve">Precious Yakubu Balami </v>
      </c>
      <c r="DH49" s="78"/>
      <c r="DI49" s="78"/>
      <c r="DJ49" s="78"/>
      <c r="DK49" s="78"/>
      <c r="DL49" s="85">
        <f t="shared" si="46"/>
        <v>0</v>
      </c>
      <c r="DM49" s="85"/>
      <c r="DN49" s="85">
        <f t="shared" si="47"/>
        <v>0</v>
      </c>
      <c r="DO49" s="85" t="str">
        <f t="shared" si="48"/>
        <v/>
      </c>
      <c r="DP49" s="85" t="str">
        <f t="shared" si="49"/>
        <v/>
      </c>
      <c r="DQ49" s="85" t="str">
        <f t="shared" si="50"/>
        <v/>
      </c>
      <c r="DR49">
        <v>47</v>
      </c>
      <c r="DS49" s="77" t="str">
        <f>Data!B48</f>
        <v xml:space="preserve">Precious Yakubu Balami </v>
      </c>
      <c r="DT49" s="118"/>
      <c r="DU49" s="118"/>
      <c r="DV49" s="118"/>
      <c r="DW49" s="118"/>
      <c r="DX49" s="92">
        <f t="shared" si="51"/>
        <v>0</v>
      </c>
      <c r="DY49" s="119"/>
      <c r="DZ49" s="92">
        <f t="shared" si="52"/>
        <v>0</v>
      </c>
      <c r="EA49" s="92" t="str">
        <f t="shared" si="53"/>
        <v/>
      </c>
      <c r="EB49" s="92" t="str">
        <f t="shared" si="54"/>
        <v/>
      </c>
      <c r="EC49" s="92" t="str">
        <f t="shared" si="55"/>
        <v/>
      </c>
      <c r="ED49">
        <v>47</v>
      </c>
      <c r="EE49" s="77" t="str">
        <f>Data!B48</f>
        <v xml:space="preserve">Precious Yakubu Balami </v>
      </c>
      <c r="EF49" s="78"/>
      <c r="EG49" s="78"/>
      <c r="EH49" s="78"/>
      <c r="EI49" s="78"/>
      <c r="EJ49" s="94">
        <f t="shared" si="56"/>
        <v>0</v>
      </c>
      <c r="EK49" s="94"/>
      <c r="EL49" s="94">
        <f t="shared" si="57"/>
        <v>0</v>
      </c>
      <c r="EM49" s="94" t="str">
        <f t="shared" si="58"/>
        <v/>
      </c>
      <c r="EN49" s="94" t="str">
        <f t="shared" si="59"/>
        <v/>
      </c>
      <c r="EO49" s="94" t="str">
        <f t="shared" si="60"/>
        <v/>
      </c>
      <c r="EP49">
        <v>47</v>
      </c>
      <c r="EQ49" s="95" t="str">
        <f>Data!B48</f>
        <v xml:space="preserve">Precious Yakubu Balami </v>
      </c>
      <c r="ER49" s="78"/>
      <c r="ES49" s="78"/>
      <c r="ET49" s="78"/>
      <c r="EU49" s="78"/>
      <c r="EV49" s="90">
        <f t="shared" si="61"/>
        <v>0</v>
      </c>
      <c r="EW49" s="90"/>
      <c r="EX49" s="90">
        <f t="shared" si="62"/>
        <v>0</v>
      </c>
      <c r="EY49" s="90" t="str">
        <f t="shared" si="63"/>
        <v/>
      </c>
      <c r="EZ49" s="90" t="str">
        <f t="shared" si="64"/>
        <v/>
      </c>
      <c r="FA49" s="90" t="str">
        <f t="shared" si="65"/>
        <v/>
      </c>
      <c r="FB49">
        <v>47</v>
      </c>
      <c r="FC49" s="77" t="str">
        <f>Data!B48</f>
        <v xml:space="preserve">Precious Yakubu Balami </v>
      </c>
      <c r="FD49" s="78"/>
      <c r="FE49" s="78"/>
      <c r="FF49" s="78"/>
      <c r="FG49" s="78"/>
      <c r="FH49" s="96">
        <f t="shared" si="66"/>
        <v>0</v>
      </c>
      <c r="FI49" s="96"/>
      <c r="FJ49" s="96">
        <f t="shared" si="67"/>
        <v>0</v>
      </c>
      <c r="FK49" s="96" t="str">
        <f t="shared" si="68"/>
        <v/>
      </c>
      <c r="FL49" s="96" t="str">
        <f t="shared" si="69"/>
        <v/>
      </c>
      <c r="FM49" s="96" t="str">
        <f t="shared" si="70"/>
        <v/>
      </c>
      <c r="FN49">
        <v>47</v>
      </c>
      <c r="FO49" s="77" t="str">
        <f>Data!B48</f>
        <v xml:space="preserve">Precious Yakubu Balami </v>
      </c>
      <c r="FP49" s="78"/>
      <c r="FQ49" s="78"/>
      <c r="FR49" s="78"/>
      <c r="FS49" s="78"/>
      <c r="FT49" s="97">
        <f t="shared" si="71"/>
        <v>0</v>
      </c>
      <c r="FU49" s="97"/>
      <c r="FV49" s="97">
        <f t="shared" si="72"/>
        <v>0</v>
      </c>
      <c r="FW49" s="97" t="str">
        <f t="shared" si="73"/>
        <v/>
      </c>
      <c r="FX49" s="97" t="str">
        <f t="shared" si="74"/>
        <v/>
      </c>
      <c r="FY49" s="97" t="str">
        <f t="shared" si="75"/>
        <v/>
      </c>
      <c r="FZ49">
        <v>47</v>
      </c>
      <c r="GA49" s="77" t="str">
        <f>Data!B48</f>
        <v xml:space="preserve">Precious Yakubu Balami </v>
      </c>
      <c r="GB49" s="78"/>
      <c r="GC49" s="78"/>
      <c r="GD49" s="78"/>
      <c r="GE49" s="78"/>
      <c r="GF49" s="98">
        <f t="shared" si="76"/>
        <v>0</v>
      </c>
      <c r="GG49" s="98"/>
      <c r="GH49" s="98">
        <f t="shared" si="77"/>
        <v>0</v>
      </c>
      <c r="GI49" s="98" t="str">
        <f t="shared" si="78"/>
        <v/>
      </c>
      <c r="GJ49" s="98" t="str">
        <f t="shared" si="79"/>
        <v/>
      </c>
      <c r="GK49" s="98" t="str">
        <f t="shared" si="80"/>
        <v/>
      </c>
      <c r="GL49">
        <v>47</v>
      </c>
      <c r="GM49" s="77" t="str">
        <f>Data!B48</f>
        <v xml:space="preserve">Precious Yakubu Balami </v>
      </c>
      <c r="GN49" s="99"/>
      <c r="GO49" s="99"/>
      <c r="GP49" s="99"/>
      <c r="GQ49" s="99"/>
      <c r="GR49" s="100">
        <f t="shared" si="81"/>
        <v>0</v>
      </c>
      <c r="GS49" s="99"/>
      <c r="GT49" s="100">
        <f t="shared" si="82"/>
        <v>0</v>
      </c>
      <c r="GU49" s="100" t="str">
        <f t="shared" si="83"/>
        <v/>
      </c>
      <c r="GV49" s="100" t="str">
        <f t="shared" si="84"/>
        <v/>
      </c>
      <c r="GW49" s="100" t="str">
        <f t="shared" si="85"/>
        <v/>
      </c>
      <c r="GX49">
        <v>47</v>
      </c>
      <c r="GY49" s="77" t="str">
        <f>Data!B48</f>
        <v xml:space="preserve">Precious Yakubu Balami </v>
      </c>
      <c r="GZ49" s="78"/>
      <c r="HA49" s="78"/>
      <c r="HB49" s="78"/>
      <c r="HC49" s="78"/>
      <c r="HD49" s="86">
        <f t="shared" si="86"/>
        <v>0</v>
      </c>
      <c r="HE49" s="86"/>
      <c r="HF49" s="86">
        <f t="shared" si="87"/>
        <v>0</v>
      </c>
      <c r="HG49" s="86" t="str">
        <f t="shared" si="88"/>
        <v/>
      </c>
      <c r="HH49" s="86" t="str">
        <f t="shared" si="89"/>
        <v/>
      </c>
      <c r="HI49" s="86" t="str">
        <f t="shared" si="90"/>
        <v/>
      </c>
      <c r="HJ49">
        <v>47</v>
      </c>
      <c r="HK49" s="77" t="str">
        <f>Data!B48</f>
        <v xml:space="preserve">Precious Yakubu Balami </v>
      </c>
      <c r="HL49" s="111">
        <v>9</v>
      </c>
      <c r="HM49" s="112">
        <v>6</v>
      </c>
      <c r="HN49" s="112">
        <v>10</v>
      </c>
      <c r="HO49" s="112">
        <v>10</v>
      </c>
      <c r="HP49" s="103">
        <f t="shared" si="91"/>
        <v>35</v>
      </c>
      <c r="HQ49" s="111"/>
      <c r="HR49" s="103">
        <f t="shared" si="92"/>
        <v>35</v>
      </c>
      <c r="HS49" s="103">
        <f t="shared" si="93"/>
        <v>5</v>
      </c>
      <c r="HT49" s="103" t="str">
        <f t="shared" si="94"/>
        <v>F</v>
      </c>
      <c r="HU49" s="103" t="str">
        <f t="shared" si="95"/>
        <v>Fail</v>
      </c>
      <c r="HV49">
        <v>47</v>
      </c>
      <c r="HW49" s="77" t="str">
        <f>Data!B48</f>
        <v xml:space="preserve">Precious Yakubu Balami </v>
      </c>
      <c r="HX49" s="78"/>
      <c r="HY49" s="78"/>
      <c r="HZ49" s="78"/>
      <c r="IA49" s="78"/>
      <c r="IB49" s="85">
        <f t="shared" si="96"/>
        <v>0</v>
      </c>
      <c r="IC49" s="85"/>
      <c r="ID49" s="85">
        <f t="shared" si="97"/>
        <v>0</v>
      </c>
      <c r="IE49" s="85" t="str">
        <f t="shared" si="98"/>
        <v/>
      </c>
      <c r="IF49" s="85" t="str">
        <f t="shared" si="99"/>
        <v/>
      </c>
      <c r="IG49" s="85" t="str">
        <f t="shared" si="100"/>
        <v/>
      </c>
      <c r="IH49">
        <v>47</v>
      </c>
      <c r="II49" s="77" t="str">
        <f>Data!B48</f>
        <v xml:space="preserve">Precious Yakubu Balami </v>
      </c>
      <c r="IJ49" s="78"/>
      <c r="IK49" s="78"/>
      <c r="IL49" s="78"/>
      <c r="IM49" s="78"/>
      <c r="IN49" s="104">
        <f t="shared" si="101"/>
        <v>0</v>
      </c>
      <c r="IO49" s="104"/>
      <c r="IP49" s="104">
        <f t="shared" si="102"/>
        <v>0</v>
      </c>
      <c r="IQ49" s="104" t="str">
        <f t="shared" si="103"/>
        <v/>
      </c>
      <c r="IR49" s="104" t="str">
        <f t="shared" si="104"/>
        <v/>
      </c>
      <c r="IS49" s="104" t="str">
        <f t="shared" si="105"/>
        <v/>
      </c>
      <c r="IT49">
        <v>47</v>
      </c>
      <c r="IU49" s="77" t="str">
        <f t="shared" si="106"/>
        <v xml:space="preserve">Precious Yakubu Balami </v>
      </c>
      <c r="IV49" s="116"/>
      <c r="IW49" s="116"/>
      <c r="IX49" s="116"/>
      <c r="IY49" s="116"/>
      <c r="IZ49" s="98">
        <f t="shared" si="107"/>
        <v>0</v>
      </c>
      <c r="JA49" s="116"/>
      <c r="JB49" s="98">
        <f t="shared" si="108"/>
        <v>0</v>
      </c>
      <c r="JC49" s="98" t="str">
        <f t="shared" si="109"/>
        <v/>
      </c>
      <c r="JD49" s="98" t="str">
        <f t="shared" si="110"/>
        <v/>
      </c>
      <c r="JE49" s="98" t="str">
        <f t="shared" si="111"/>
        <v/>
      </c>
      <c r="JF49">
        <v>47</v>
      </c>
      <c r="JG49" s="77" t="str">
        <f t="shared" si="112"/>
        <v xml:space="preserve">Precious Yakubu Balami </v>
      </c>
      <c r="JH49" s="81"/>
      <c r="JI49" s="81"/>
      <c r="JJ49" s="81"/>
      <c r="JK49" s="81"/>
      <c r="JL49" s="82">
        <f t="shared" si="113"/>
        <v>0</v>
      </c>
      <c r="JM49" s="81"/>
      <c r="JN49" s="82">
        <f t="shared" si="114"/>
        <v>0</v>
      </c>
      <c r="JO49" s="82" t="str">
        <f t="shared" si="115"/>
        <v/>
      </c>
      <c r="JP49" s="82" t="str">
        <f t="shared" si="116"/>
        <v/>
      </c>
      <c r="JQ49" s="82" t="str">
        <f t="shared" si="117"/>
        <v/>
      </c>
      <c r="JR49">
        <v>47</v>
      </c>
      <c r="JS49" s="77" t="str">
        <f t="shared" si="118"/>
        <v xml:space="preserve">Precious Yakubu Balami </v>
      </c>
      <c r="JT49" s="107"/>
      <c r="JU49" s="107"/>
      <c r="JV49" s="107"/>
      <c r="JW49" s="107"/>
      <c r="JX49" s="80">
        <f t="shared" si="119"/>
        <v>0</v>
      </c>
      <c r="JY49" s="108"/>
      <c r="JZ49" s="80">
        <f t="shared" si="0"/>
        <v>0</v>
      </c>
      <c r="KA49" s="80" t="str">
        <f t="shared" si="120"/>
        <v/>
      </c>
      <c r="KB49" s="80" t="str">
        <f t="shared" si="121"/>
        <v/>
      </c>
      <c r="KC49" s="80" t="str">
        <f t="shared" si="122"/>
        <v/>
      </c>
      <c r="KE49" s="16"/>
      <c r="KF49" s="16"/>
      <c r="KG49" s="16"/>
      <c r="KH49" s="16"/>
      <c r="KI49" s="16"/>
      <c r="KJ49" s="16"/>
      <c r="KK49" s="16"/>
      <c r="KL49" s="16"/>
      <c r="KO49" s="16"/>
      <c r="KP49" s="16"/>
      <c r="KQ49" s="16"/>
      <c r="KR49" s="16"/>
      <c r="KS49" s="16"/>
      <c r="KT49" s="16"/>
      <c r="KU49" s="16"/>
      <c r="KV49" s="16"/>
      <c r="KW49" s="16"/>
    </row>
    <row r="50" spans="1:309" ht="23.25">
      <c r="A50" s="17">
        <v>48</v>
      </c>
      <c r="B50" s="186">
        <v>48</v>
      </c>
      <c r="C50" s="77" t="str">
        <f>Data!B49</f>
        <v>Ruqayya Tijjani Gubio</v>
      </c>
      <c r="D50" s="87">
        <v>9</v>
      </c>
      <c r="E50" s="87">
        <v>8</v>
      </c>
      <c r="F50" s="87">
        <v>10</v>
      </c>
      <c r="G50" s="87">
        <v>10</v>
      </c>
      <c r="H50" s="88">
        <f t="shared" si="1"/>
        <v>37</v>
      </c>
      <c r="I50" s="87">
        <v>50</v>
      </c>
      <c r="J50" s="88">
        <f t="shared" si="2"/>
        <v>87</v>
      </c>
      <c r="K50" s="79">
        <f t="shared" si="3"/>
        <v>3</v>
      </c>
      <c r="L50" s="79" t="str">
        <f t="shared" si="4"/>
        <v>A1</v>
      </c>
      <c r="M50" s="79" t="str">
        <f t="shared" si="5"/>
        <v>Excellent</v>
      </c>
      <c r="N50" s="17">
        <v>48</v>
      </c>
      <c r="O50" s="77" t="str">
        <f>Data!B49</f>
        <v>Ruqayya Tijjani Gubio</v>
      </c>
      <c r="P50" s="78"/>
      <c r="Q50" s="78"/>
      <c r="R50" s="78"/>
      <c r="S50" s="78"/>
      <c r="T50" s="80">
        <f t="shared" si="6"/>
        <v>0</v>
      </c>
      <c r="U50" s="80"/>
      <c r="V50" s="80">
        <f t="shared" si="7"/>
        <v>0</v>
      </c>
      <c r="W50" s="80" t="str">
        <f t="shared" si="8"/>
        <v/>
      </c>
      <c r="X50" s="80" t="str">
        <f t="shared" si="9"/>
        <v/>
      </c>
      <c r="Y50" s="80" t="str">
        <f t="shared" si="10"/>
        <v/>
      </c>
      <c r="Z50" s="11">
        <v>48</v>
      </c>
      <c r="AA50" s="77" t="str">
        <f>Data!B49</f>
        <v>Ruqayya Tijjani Gubio</v>
      </c>
      <c r="AB50" s="87">
        <v>9</v>
      </c>
      <c r="AC50" s="87">
        <v>8</v>
      </c>
      <c r="AD50" s="87">
        <v>10</v>
      </c>
      <c r="AE50" s="87">
        <v>10</v>
      </c>
      <c r="AF50" s="88">
        <f t="shared" si="11"/>
        <v>37</v>
      </c>
      <c r="AG50" s="87">
        <v>50</v>
      </c>
      <c r="AH50" s="88">
        <f t="shared" si="12"/>
        <v>87</v>
      </c>
      <c r="AI50" s="82">
        <f t="shared" si="13"/>
        <v>3</v>
      </c>
      <c r="AJ50" s="82" t="str">
        <f t="shared" si="14"/>
        <v>A1</v>
      </c>
      <c r="AK50" s="82" t="str">
        <f t="shared" si="15"/>
        <v>Excellent</v>
      </c>
      <c r="AL50" s="11">
        <v>48</v>
      </c>
      <c r="AM50" s="77" t="str">
        <f>Data!B49</f>
        <v>Ruqayya Tijjani Gubio</v>
      </c>
      <c r="AN50" s="87">
        <v>9</v>
      </c>
      <c r="AO50" s="87">
        <v>8</v>
      </c>
      <c r="AP50" s="87">
        <v>10</v>
      </c>
      <c r="AQ50" s="87">
        <v>10</v>
      </c>
      <c r="AR50" s="88">
        <f t="shared" si="16"/>
        <v>37</v>
      </c>
      <c r="AS50" s="87">
        <v>50</v>
      </c>
      <c r="AT50" s="88">
        <f t="shared" si="17"/>
        <v>87</v>
      </c>
      <c r="AU50" s="83">
        <f t="shared" si="18"/>
        <v>3</v>
      </c>
      <c r="AV50" s="83" t="str">
        <f t="shared" si="19"/>
        <v>A1</v>
      </c>
      <c r="AW50" s="83" t="str">
        <f t="shared" si="20"/>
        <v>Excellent</v>
      </c>
      <c r="AX50" s="11">
        <v>48</v>
      </c>
      <c r="AY50" s="77" t="str">
        <f>Data!B49</f>
        <v>Ruqayya Tijjani Gubio</v>
      </c>
      <c r="AZ50" s="87">
        <v>9</v>
      </c>
      <c r="BA50" s="87">
        <v>8</v>
      </c>
      <c r="BB50" s="87">
        <v>10</v>
      </c>
      <c r="BC50" s="87">
        <v>10</v>
      </c>
      <c r="BD50" s="88">
        <f t="shared" si="21"/>
        <v>37</v>
      </c>
      <c r="BE50" s="87">
        <v>50</v>
      </c>
      <c r="BF50" s="88">
        <f t="shared" si="22"/>
        <v>87</v>
      </c>
      <c r="BG50" s="85">
        <f t="shared" si="23"/>
        <v>3</v>
      </c>
      <c r="BH50" s="85" t="str">
        <f t="shared" si="24"/>
        <v>A1</v>
      </c>
      <c r="BI50" s="85" t="str">
        <f t="shared" si="25"/>
        <v>Excellent</v>
      </c>
      <c r="BJ50" s="36">
        <v>48</v>
      </c>
      <c r="BK50" s="77" t="str">
        <f>Data!B49</f>
        <v>Ruqayya Tijjani Gubio</v>
      </c>
      <c r="BL50" s="87">
        <v>9</v>
      </c>
      <c r="BM50" s="87">
        <v>8</v>
      </c>
      <c r="BN50" s="87">
        <v>10</v>
      </c>
      <c r="BO50" s="87">
        <v>10</v>
      </c>
      <c r="BP50" s="88">
        <f t="shared" si="26"/>
        <v>37</v>
      </c>
      <c r="BQ50" s="87">
        <v>50</v>
      </c>
      <c r="BR50" s="88">
        <f t="shared" si="27"/>
        <v>87</v>
      </c>
      <c r="BS50" s="86">
        <f t="shared" si="28"/>
        <v>3</v>
      </c>
      <c r="BT50" s="86" t="str">
        <f t="shared" si="29"/>
        <v>A1</v>
      </c>
      <c r="BU50" s="86" t="str">
        <f t="shared" si="30"/>
        <v>Excellent</v>
      </c>
      <c r="BV50">
        <v>48</v>
      </c>
      <c r="BW50" s="77" t="str">
        <f>Data!B49</f>
        <v>Ruqayya Tijjani Gubio</v>
      </c>
      <c r="BX50" s="87">
        <v>9</v>
      </c>
      <c r="BY50" s="87">
        <v>8</v>
      </c>
      <c r="BZ50" s="87">
        <v>10</v>
      </c>
      <c r="CA50" s="87">
        <v>10</v>
      </c>
      <c r="CB50" s="88">
        <f t="shared" si="31"/>
        <v>37</v>
      </c>
      <c r="CC50" s="87">
        <v>50</v>
      </c>
      <c r="CD50" s="88">
        <f t="shared" si="32"/>
        <v>87</v>
      </c>
      <c r="CE50" s="88">
        <f t="shared" si="33"/>
        <v>3</v>
      </c>
      <c r="CF50" s="88" t="str">
        <f t="shared" si="34"/>
        <v>A1</v>
      </c>
      <c r="CG50" s="88" t="str">
        <f t="shared" si="35"/>
        <v>Excellent</v>
      </c>
      <c r="CH50">
        <v>48</v>
      </c>
      <c r="CI50" s="77" t="str">
        <f>Data!B49</f>
        <v>Ruqayya Tijjani Gubio</v>
      </c>
      <c r="CJ50" s="78"/>
      <c r="CK50" s="78"/>
      <c r="CL50" s="78"/>
      <c r="CM50" s="78"/>
      <c r="CN50" s="89">
        <f t="shared" si="36"/>
        <v>0</v>
      </c>
      <c r="CO50" s="89"/>
      <c r="CP50" s="89">
        <f t="shared" si="37"/>
        <v>0</v>
      </c>
      <c r="CQ50" s="89" t="str">
        <f t="shared" si="38"/>
        <v/>
      </c>
      <c r="CR50" s="89" t="str">
        <f t="shared" si="39"/>
        <v/>
      </c>
      <c r="CS50" s="89" t="str">
        <f t="shared" si="40"/>
        <v/>
      </c>
      <c r="CT50">
        <v>48</v>
      </c>
      <c r="CU50" s="77" t="str">
        <f>Data!B49</f>
        <v>Ruqayya Tijjani Gubio</v>
      </c>
      <c r="CV50" s="78"/>
      <c r="CW50" s="78"/>
      <c r="CX50" s="78"/>
      <c r="CY50" s="78"/>
      <c r="CZ50" s="90">
        <f t="shared" si="41"/>
        <v>0</v>
      </c>
      <c r="DA50" s="90"/>
      <c r="DB50" s="90">
        <f t="shared" si="42"/>
        <v>0</v>
      </c>
      <c r="DC50" s="90" t="str">
        <f t="shared" si="43"/>
        <v/>
      </c>
      <c r="DD50" s="90" t="str">
        <f t="shared" si="44"/>
        <v/>
      </c>
      <c r="DE50" s="90" t="str">
        <f t="shared" si="45"/>
        <v/>
      </c>
      <c r="DF50">
        <v>48</v>
      </c>
      <c r="DG50" s="77" t="str">
        <f>Data!B49</f>
        <v>Ruqayya Tijjani Gubio</v>
      </c>
      <c r="DH50" s="78"/>
      <c r="DI50" s="78"/>
      <c r="DJ50" s="78"/>
      <c r="DK50" s="78"/>
      <c r="DL50" s="85">
        <f t="shared" si="46"/>
        <v>0</v>
      </c>
      <c r="DM50" s="85"/>
      <c r="DN50" s="85">
        <f t="shared" si="47"/>
        <v>0</v>
      </c>
      <c r="DO50" s="85" t="str">
        <f t="shared" si="48"/>
        <v/>
      </c>
      <c r="DP50" s="85" t="str">
        <f t="shared" si="49"/>
        <v/>
      </c>
      <c r="DQ50" s="85" t="str">
        <f t="shared" si="50"/>
        <v/>
      </c>
      <c r="DR50">
        <v>48</v>
      </c>
      <c r="DS50" s="77" t="str">
        <f>Data!B49</f>
        <v>Ruqayya Tijjani Gubio</v>
      </c>
      <c r="DT50" s="118"/>
      <c r="DU50" s="118"/>
      <c r="DV50" s="118"/>
      <c r="DW50" s="118"/>
      <c r="DX50" s="92">
        <f t="shared" si="51"/>
        <v>0</v>
      </c>
      <c r="DY50" s="119"/>
      <c r="DZ50" s="92">
        <f t="shared" si="52"/>
        <v>0</v>
      </c>
      <c r="EA50" s="92" t="str">
        <f t="shared" si="53"/>
        <v/>
      </c>
      <c r="EB50" s="92" t="str">
        <f t="shared" si="54"/>
        <v/>
      </c>
      <c r="EC50" s="92" t="str">
        <f t="shared" si="55"/>
        <v/>
      </c>
      <c r="ED50">
        <v>48</v>
      </c>
      <c r="EE50" s="77" t="str">
        <f>Data!B49</f>
        <v>Ruqayya Tijjani Gubio</v>
      </c>
      <c r="EF50" s="78"/>
      <c r="EG50" s="78"/>
      <c r="EH50" s="78"/>
      <c r="EI50" s="78"/>
      <c r="EJ50" s="94">
        <f t="shared" si="56"/>
        <v>0</v>
      </c>
      <c r="EK50" s="94"/>
      <c r="EL50" s="94">
        <f t="shared" si="57"/>
        <v>0</v>
      </c>
      <c r="EM50" s="94" t="str">
        <f t="shared" si="58"/>
        <v/>
      </c>
      <c r="EN50" s="94" t="str">
        <f t="shared" si="59"/>
        <v/>
      </c>
      <c r="EO50" s="94" t="str">
        <f t="shared" si="60"/>
        <v/>
      </c>
      <c r="EP50">
        <v>48</v>
      </c>
      <c r="EQ50" s="95" t="str">
        <f>Data!B49</f>
        <v>Ruqayya Tijjani Gubio</v>
      </c>
      <c r="ER50" s="78"/>
      <c r="ES50" s="78"/>
      <c r="ET50" s="78"/>
      <c r="EU50" s="78"/>
      <c r="EV50" s="90">
        <f t="shared" si="61"/>
        <v>0</v>
      </c>
      <c r="EW50" s="90"/>
      <c r="EX50" s="90">
        <f t="shared" si="62"/>
        <v>0</v>
      </c>
      <c r="EY50" s="90" t="str">
        <f t="shared" si="63"/>
        <v/>
      </c>
      <c r="EZ50" s="90" t="str">
        <f t="shared" si="64"/>
        <v/>
      </c>
      <c r="FA50" s="90" t="str">
        <f t="shared" si="65"/>
        <v/>
      </c>
      <c r="FB50">
        <v>48</v>
      </c>
      <c r="FC50" s="77" t="str">
        <f>Data!B49</f>
        <v>Ruqayya Tijjani Gubio</v>
      </c>
      <c r="FD50" s="78"/>
      <c r="FE50" s="78"/>
      <c r="FF50" s="78"/>
      <c r="FG50" s="78"/>
      <c r="FH50" s="96">
        <f t="shared" si="66"/>
        <v>0</v>
      </c>
      <c r="FI50" s="96"/>
      <c r="FJ50" s="96">
        <f t="shared" si="67"/>
        <v>0</v>
      </c>
      <c r="FK50" s="96" t="str">
        <f t="shared" si="68"/>
        <v/>
      </c>
      <c r="FL50" s="96" t="str">
        <f t="shared" si="69"/>
        <v/>
      </c>
      <c r="FM50" s="96" t="str">
        <f t="shared" si="70"/>
        <v/>
      </c>
      <c r="FN50">
        <v>48</v>
      </c>
      <c r="FO50" s="77" t="str">
        <f>Data!B49</f>
        <v>Ruqayya Tijjani Gubio</v>
      </c>
      <c r="FP50" s="78"/>
      <c r="FQ50" s="78"/>
      <c r="FR50" s="78"/>
      <c r="FS50" s="78"/>
      <c r="FT50" s="97">
        <f t="shared" si="71"/>
        <v>0</v>
      </c>
      <c r="FU50" s="97"/>
      <c r="FV50" s="97">
        <f t="shared" si="72"/>
        <v>0</v>
      </c>
      <c r="FW50" s="97" t="str">
        <f t="shared" si="73"/>
        <v/>
      </c>
      <c r="FX50" s="97" t="str">
        <f t="shared" si="74"/>
        <v/>
      </c>
      <c r="FY50" s="97" t="str">
        <f t="shared" si="75"/>
        <v/>
      </c>
      <c r="FZ50">
        <v>48</v>
      </c>
      <c r="GA50" s="77" t="str">
        <f>Data!B49</f>
        <v>Ruqayya Tijjani Gubio</v>
      </c>
      <c r="GB50" s="78"/>
      <c r="GC50" s="78"/>
      <c r="GD50" s="78"/>
      <c r="GE50" s="78"/>
      <c r="GF50" s="98">
        <f t="shared" si="76"/>
        <v>0</v>
      </c>
      <c r="GG50" s="98"/>
      <c r="GH50" s="98">
        <f t="shared" si="77"/>
        <v>0</v>
      </c>
      <c r="GI50" s="98" t="str">
        <f t="shared" si="78"/>
        <v/>
      </c>
      <c r="GJ50" s="98" t="str">
        <f t="shared" si="79"/>
        <v/>
      </c>
      <c r="GK50" s="98" t="str">
        <f t="shared" si="80"/>
        <v/>
      </c>
      <c r="GL50">
        <v>48</v>
      </c>
      <c r="GM50" s="77" t="str">
        <f>Data!B49</f>
        <v>Ruqayya Tijjani Gubio</v>
      </c>
      <c r="GN50" s="99"/>
      <c r="GO50" s="99"/>
      <c r="GP50" s="99"/>
      <c r="GQ50" s="99"/>
      <c r="GR50" s="100">
        <f t="shared" si="81"/>
        <v>0</v>
      </c>
      <c r="GS50" s="99"/>
      <c r="GT50" s="100">
        <f t="shared" si="82"/>
        <v>0</v>
      </c>
      <c r="GU50" s="100" t="str">
        <f t="shared" si="83"/>
        <v/>
      </c>
      <c r="GV50" s="100" t="str">
        <f t="shared" si="84"/>
        <v/>
      </c>
      <c r="GW50" s="100" t="str">
        <f t="shared" si="85"/>
        <v/>
      </c>
      <c r="GX50">
        <v>48</v>
      </c>
      <c r="GY50" s="77" t="str">
        <f>Data!B49</f>
        <v>Ruqayya Tijjani Gubio</v>
      </c>
      <c r="GZ50" s="78"/>
      <c r="HA50" s="78"/>
      <c r="HB50" s="78"/>
      <c r="HC50" s="78"/>
      <c r="HD50" s="86">
        <f t="shared" si="86"/>
        <v>0</v>
      </c>
      <c r="HE50" s="86"/>
      <c r="HF50" s="86">
        <f t="shared" si="87"/>
        <v>0</v>
      </c>
      <c r="HG50" s="86" t="str">
        <f t="shared" si="88"/>
        <v/>
      </c>
      <c r="HH50" s="86" t="str">
        <f t="shared" si="89"/>
        <v/>
      </c>
      <c r="HI50" s="86" t="str">
        <f t="shared" si="90"/>
        <v/>
      </c>
      <c r="HJ50">
        <v>48</v>
      </c>
      <c r="HK50" s="77" t="str">
        <f>Data!B49</f>
        <v>Ruqayya Tijjani Gubio</v>
      </c>
      <c r="HL50" s="111">
        <v>6</v>
      </c>
      <c r="HM50" s="112">
        <v>10</v>
      </c>
      <c r="HN50" s="112">
        <v>10</v>
      </c>
      <c r="HO50" s="112">
        <v>10</v>
      </c>
      <c r="HP50" s="103">
        <f t="shared" si="91"/>
        <v>36</v>
      </c>
      <c r="HQ50" s="111"/>
      <c r="HR50" s="103">
        <f t="shared" si="92"/>
        <v>36</v>
      </c>
      <c r="HS50" s="103">
        <f t="shared" si="93"/>
        <v>2</v>
      </c>
      <c r="HT50" s="103" t="str">
        <f t="shared" si="94"/>
        <v>F</v>
      </c>
      <c r="HU50" s="103" t="str">
        <f t="shared" si="95"/>
        <v>Fail</v>
      </c>
      <c r="HV50">
        <v>48</v>
      </c>
      <c r="HW50" s="77" t="str">
        <f>Data!B49</f>
        <v>Ruqayya Tijjani Gubio</v>
      </c>
      <c r="HX50" s="78"/>
      <c r="HY50" s="78"/>
      <c r="HZ50" s="78"/>
      <c r="IA50" s="78"/>
      <c r="IB50" s="85">
        <f t="shared" si="96"/>
        <v>0</v>
      </c>
      <c r="IC50" s="85"/>
      <c r="ID50" s="85">
        <f t="shared" si="97"/>
        <v>0</v>
      </c>
      <c r="IE50" s="85" t="str">
        <f t="shared" si="98"/>
        <v/>
      </c>
      <c r="IF50" s="85" t="str">
        <f t="shared" si="99"/>
        <v/>
      </c>
      <c r="IG50" s="85" t="str">
        <f t="shared" si="100"/>
        <v/>
      </c>
      <c r="IH50">
        <v>48</v>
      </c>
      <c r="II50" s="77" t="str">
        <f>Data!B49</f>
        <v>Ruqayya Tijjani Gubio</v>
      </c>
      <c r="IJ50" s="78"/>
      <c r="IK50" s="78"/>
      <c r="IL50" s="78"/>
      <c r="IM50" s="78"/>
      <c r="IN50" s="104">
        <f t="shared" si="101"/>
        <v>0</v>
      </c>
      <c r="IO50" s="104"/>
      <c r="IP50" s="104">
        <f t="shared" si="102"/>
        <v>0</v>
      </c>
      <c r="IQ50" s="104" t="str">
        <f t="shared" si="103"/>
        <v/>
      </c>
      <c r="IR50" s="104" t="str">
        <f t="shared" si="104"/>
        <v/>
      </c>
      <c r="IS50" s="104" t="str">
        <f t="shared" si="105"/>
        <v/>
      </c>
      <c r="IT50">
        <v>48</v>
      </c>
      <c r="IU50" s="77" t="str">
        <f t="shared" si="106"/>
        <v>Ruqayya Tijjani Gubio</v>
      </c>
      <c r="IV50" s="116"/>
      <c r="IW50" s="116"/>
      <c r="IX50" s="116"/>
      <c r="IY50" s="116"/>
      <c r="IZ50" s="98">
        <f t="shared" si="107"/>
        <v>0</v>
      </c>
      <c r="JA50" s="116"/>
      <c r="JB50" s="98">
        <f t="shared" si="108"/>
        <v>0</v>
      </c>
      <c r="JC50" s="98" t="str">
        <f t="shared" si="109"/>
        <v/>
      </c>
      <c r="JD50" s="98" t="str">
        <f t="shared" si="110"/>
        <v/>
      </c>
      <c r="JE50" s="98" t="str">
        <f t="shared" si="111"/>
        <v/>
      </c>
      <c r="JF50">
        <v>48</v>
      </c>
      <c r="JG50" s="77" t="str">
        <f t="shared" si="112"/>
        <v>Ruqayya Tijjani Gubio</v>
      </c>
      <c r="JH50" s="81"/>
      <c r="JI50" s="81"/>
      <c r="JJ50" s="81"/>
      <c r="JK50" s="81"/>
      <c r="JL50" s="82">
        <f t="shared" si="113"/>
        <v>0</v>
      </c>
      <c r="JM50" s="81"/>
      <c r="JN50" s="82">
        <f t="shared" si="114"/>
        <v>0</v>
      </c>
      <c r="JO50" s="82" t="str">
        <f t="shared" si="115"/>
        <v/>
      </c>
      <c r="JP50" s="82" t="str">
        <f t="shared" si="116"/>
        <v/>
      </c>
      <c r="JQ50" s="82" t="str">
        <f t="shared" si="117"/>
        <v/>
      </c>
      <c r="JR50">
        <v>48</v>
      </c>
      <c r="JS50" s="77" t="str">
        <f t="shared" si="118"/>
        <v>Ruqayya Tijjani Gubio</v>
      </c>
      <c r="JT50" s="107"/>
      <c r="JU50" s="107"/>
      <c r="JV50" s="107"/>
      <c r="JW50" s="107"/>
      <c r="JX50" s="80">
        <f t="shared" si="119"/>
        <v>0</v>
      </c>
      <c r="JY50" s="108"/>
      <c r="JZ50" s="80">
        <f t="shared" si="0"/>
        <v>0</v>
      </c>
      <c r="KA50" s="80" t="str">
        <f t="shared" si="120"/>
        <v/>
      </c>
      <c r="KB50" s="80" t="str">
        <f t="shared" si="121"/>
        <v/>
      </c>
      <c r="KC50" s="80" t="str">
        <f t="shared" si="122"/>
        <v/>
      </c>
      <c r="KE50" s="16"/>
      <c r="KF50" s="16"/>
      <c r="KG50" s="16"/>
      <c r="KH50" s="16"/>
      <c r="KI50" s="16"/>
      <c r="KJ50" s="16"/>
      <c r="KK50" s="16"/>
      <c r="KL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</row>
    <row r="51" spans="1:309">
      <c r="A51" s="17">
        <v>49</v>
      </c>
      <c r="B51" s="186">
        <v>49</v>
      </c>
      <c r="C51" s="77" t="str">
        <f>Data!B50</f>
        <v xml:space="preserve">Sohia George </v>
      </c>
      <c r="D51" s="88">
        <v>4</v>
      </c>
      <c r="E51" s="88">
        <v>10</v>
      </c>
      <c r="F51" s="88">
        <v>8</v>
      </c>
      <c r="G51" s="88">
        <v>10</v>
      </c>
      <c r="H51" s="88">
        <f t="shared" si="1"/>
        <v>32</v>
      </c>
      <c r="I51" s="87">
        <v>38</v>
      </c>
      <c r="J51" s="88">
        <f t="shared" si="2"/>
        <v>70</v>
      </c>
      <c r="K51" s="79">
        <f t="shared" si="3"/>
        <v>9</v>
      </c>
      <c r="L51" s="79" t="str">
        <f t="shared" si="4"/>
        <v>B2</v>
      </c>
      <c r="M51" s="79" t="str">
        <f t="shared" si="5"/>
        <v>V.Good</v>
      </c>
      <c r="N51" s="17">
        <v>49</v>
      </c>
      <c r="O51" s="77" t="str">
        <f>Data!B50</f>
        <v xml:space="preserve">Sohia George </v>
      </c>
      <c r="P51" s="80"/>
      <c r="Q51" s="80"/>
      <c r="R51" s="80"/>
      <c r="S51" s="80"/>
      <c r="T51" s="80">
        <f t="shared" si="6"/>
        <v>0</v>
      </c>
      <c r="U51" s="80"/>
      <c r="V51" s="80">
        <f t="shared" si="7"/>
        <v>0</v>
      </c>
      <c r="W51" s="80" t="str">
        <f t="shared" si="8"/>
        <v/>
      </c>
      <c r="X51" s="80" t="b">
        <f t="shared" ref="X51" si="123">IF(V51&gt;=75,"A1",IF(V51&gt;=70,"B2",IF(V51&gt;=65,"B3",IF(V51&gt;=60,"C4",IF(V51&gt;=55,"C5",IF(V51&gt;=50,"C6",IF(V51&gt;=45,"D7",IF(V51&gt;=40,"E8",IF(V51&gt;=6,"F",IF(J51&lt;5,""))))))))))</f>
        <v>0</v>
      </c>
      <c r="Y51" s="80" t="str">
        <f t="shared" si="10"/>
        <v/>
      </c>
      <c r="Z51" s="11">
        <v>49</v>
      </c>
      <c r="AA51" s="77" t="str">
        <f>Data!B50</f>
        <v xml:space="preserve">Sohia George </v>
      </c>
      <c r="AB51" s="88">
        <v>4</v>
      </c>
      <c r="AC51" s="88">
        <v>10</v>
      </c>
      <c r="AD51" s="88">
        <v>8</v>
      </c>
      <c r="AE51" s="88">
        <v>10</v>
      </c>
      <c r="AF51" s="88">
        <f t="shared" si="11"/>
        <v>32</v>
      </c>
      <c r="AG51" s="87">
        <v>38</v>
      </c>
      <c r="AH51" s="88">
        <f t="shared" si="12"/>
        <v>70</v>
      </c>
      <c r="AI51" s="82">
        <f t="shared" si="13"/>
        <v>9</v>
      </c>
      <c r="AJ51" s="82" t="str">
        <f t="shared" ref="AJ51:AJ59" si="124">IF(AH51&gt;=75,"A",IF(AH51&gt;=70,"B2",IF(AH51&gt;=50,"C",IF(AH51&gt;=45,"D",IF(AH51&gt;=40,"E",IF(AH51&gt;=6,"F",IF(AH51&lt;5,"")))))))</f>
        <v>B2</v>
      </c>
      <c r="AK51" s="82" t="str">
        <f t="shared" si="15"/>
        <v>V.Good</v>
      </c>
      <c r="AL51" s="11">
        <v>49</v>
      </c>
      <c r="AM51" s="77" t="str">
        <f>Data!B50</f>
        <v xml:space="preserve">Sohia George </v>
      </c>
      <c r="AN51" s="88">
        <v>4</v>
      </c>
      <c r="AO51" s="88">
        <v>10</v>
      </c>
      <c r="AP51" s="88">
        <v>8</v>
      </c>
      <c r="AQ51" s="88">
        <v>10</v>
      </c>
      <c r="AR51" s="88">
        <f t="shared" si="16"/>
        <v>32</v>
      </c>
      <c r="AS51" s="87">
        <v>38</v>
      </c>
      <c r="AT51" s="88">
        <f t="shared" si="17"/>
        <v>70</v>
      </c>
      <c r="AU51" s="83">
        <f t="shared" si="18"/>
        <v>9</v>
      </c>
      <c r="AV51" s="83" t="str">
        <f t="shared" ref="AV51:AV60" si="125">IF(AT51&gt;=75,"A",IF(AT51&gt;=70,"B2",IF(AT51&gt;=50,"C",IF(AT51&gt;=45,"D",IF(AT51&gt;=40,"E",IF(AT51&gt;=6,"F",IF(AT51&lt;5,"")))))))</f>
        <v>B2</v>
      </c>
      <c r="AW51" s="83" t="str">
        <f t="shared" si="20"/>
        <v>V.Good</v>
      </c>
      <c r="AX51" s="11">
        <v>49</v>
      </c>
      <c r="AY51" s="77" t="str">
        <f>Data!B50</f>
        <v xml:space="preserve">Sohia George </v>
      </c>
      <c r="AZ51" s="88">
        <v>4</v>
      </c>
      <c r="BA51" s="88">
        <v>10</v>
      </c>
      <c r="BB51" s="88">
        <v>8</v>
      </c>
      <c r="BC51" s="88">
        <v>10</v>
      </c>
      <c r="BD51" s="88">
        <f t="shared" si="21"/>
        <v>32</v>
      </c>
      <c r="BE51" s="87">
        <v>38</v>
      </c>
      <c r="BF51" s="88">
        <f t="shared" si="22"/>
        <v>70</v>
      </c>
      <c r="BG51" s="85">
        <f t="shared" si="23"/>
        <v>9</v>
      </c>
      <c r="BH51" s="85" t="str">
        <f t="shared" si="24"/>
        <v>B2</v>
      </c>
      <c r="BI51" s="85" t="str">
        <f t="shared" si="25"/>
        <v>V.Good</v>
      </c>
      <c r="BJ51" s="36">
        <v>49</v>
      </c>
      <c r="BK51" s="77" t="str">
        <f>Data!B50</f>
        <v xml:space="preserve">Sohia George </v>
      </c>
      <c r="BL51" s="88">
        <v>4</v>
      </c>
      <c r="BM51" s="88">
        <v>10</v>
      </c>
      <c r="BN51" s="88">
        <v>8</v>
      </c>
      <c r="BO51" s="88">
        <v>10</v>
      </c>
      <c r="BP51" s="88">
        <f t="shared" si="26"/>
        <v>32</v>
      </c>
      <c r="BQ51" s="87">
        <v>38</v>
      </c>
      <c r="BR51" s="88">
        <f t="shared" si="27"/>
        <v>70</v>
      </c>
      <c r="BS51" s="86">
        <f t="shared" si="28"/>
        <v>9</v>
      </c>
      <c r="BT51" s="86" t="str">
        <f t="shared" si="29"/>
        <v>B2</v>
      </c>
      <c r="BU51" s="86" t="str">
        <f t="shared" si="30"/>
        <v>V.Good</v>
      </c>
      <c r="BV51">
        <v>49</v>
      </c>
      <c r="BW51" s="77" t="str">
        <f>Data!B50</f>
        <v xml:space="preserve">Sohia George </v>
      </c>
      <c r="BX51" s="88">
        <v>4</v>
      </c>
      <c r="BY51" s="88">
        <v>10</v>
      </c>
      <c r="BZ51" s="88">
        <v>8</v>
      </c>
      <c r="CA51" s="88">
        <v>10</v>
      </c>
      <c r="CB51" s="88">
        <f t="shared" si="31"/>
        <v>32</v>
      </c>
      <c r="CC51" s="87">
        <v>38</v>
      </c>
      <c r="CD51" s="88">
        <f t="shared" si="32"/>
        <v>70</v>
      </c>
      <c r="CE51" s="88">
        <f t="shared" si="33"/>
        <v>9</v>
      </c>
      <c r="CF51" s="88" t="str">
        <f t="shared" si="34"/>
        <v>B2</v>
      </c>
      <c r="CG51" s="88" t="str">
        <f t="shared" si="35"/>
        <v>V.Good</v>
      </c>
      <c r="CH51">
        <v>49</v>
      </c>
      <c r="CI51" s="77" t="str">
        <f>Data!B50</f>
        <v xml:space="preserve">Sohia George </v>
      </c>
      <c r="CJ51" s="89"/>
      <c r="CK51" s="89"/>
      <c r="CL51" s="89"/>
      <c r="CM51" s="89"/>
      <c r="CN51" s="89">
        <f t="shared" si="36"/>
        <v>0</v>
      </c>
      <c r="CO51" s="89"/>
      <c r="CP51" s="89">
        <f t="shared" si="37"/>
        <v>0</v>
      </c>
      <c r="CQ51" s="89" t="str">
        <f t="shared" si="38"/>
        <v/>
      </c>
      <c r="CR51" s="89" t="str">
        <f t="shared" si="39"/>
        <v/>
      </c>
      <c r="CS51" s="89" t="str">
        <f t="shared" si="40"/>
        <v/>
      </c>
      <c r="CT51">
        <v>49</v>
      </c>
      <c r="CU51" s="77" t="str">
        <f>Data!B50</f>
        <v xml:space="preserve">Sohia George </v>
      </c>
      <c r="CV51" s="90"/>
      <c r="CW51" s="90"/>
      <c r="CX51" s="90"/>
      <c r="CY51" s="90"/>
      <c r="CZ51" s="90">
        <f t="shared" si="41"/>
        <v>0</v>
      </c>
      <c r="DA51" s="90"/>
      <c r="DB51" s="90">
        <f t="shared" si="42"/>
        <v>0</v>
      </c>
      <c r="DC51" s="90" t="str">
        <f t="shared" si="43"/>
        <v/>
      </c>
      <c r="DD51" s="90" t="str">
        <f t="shared" si="44"/>
        <v/>
      </c>
      <c r="DE51" s="90" t="str">
        <f t="shared" si="45"/>
        <v/>
      </c>
      <c r="DF51">
        <v>49</v>
      </c>
      <c r="DG51" s="77" t="str">
        <f>Data!B50</f>
        <v xml:space="preserve">Sohia George </v>
      </c>
      <c r="DH51" s="85"/>
      <c r="DI51" s="85"/>
      <c r="DJ51" s="85"/>
      <c r="DK51" s="85"/>
      <c r="DL51" s="85">
        <f t="shared" si="46"/>
        <v>0</v>
      </c>
      <c r="DM51" s="85"/>
      <c r="DN51" s="85">
        <f t="shared" si="47"/>
        <v>0</v>
      </c>
      <c r="DO51" s="85" t="str">
        <f t="shared" si="48"/>
        <v/>
      </c>
      <c r="DP51" s="85" t="str">
        <f t="shared" si="49"/>
        <v/>
      </c>
      <c r="DQ51" s="85" t="str">
        <f t="shared" si="50"/>
        <v/>
      </c>
      <c r="DR51">
        <v>49</v>
      </c>
      <c r="DS51" s="77" t="str">
        <f>Data!B50</f>
        <v xml:space="preserve">Sohia George </v>
      </c>
      <c r="DT51" s="118"/>
      <c r="DU51" s="118"/>
      <c r="DV51" s="118"/>
      <c r="DW51" s="118"/>
      <c r="DX51" s="92">
        <f t="shared" si="51"/>
        <v>0</v>
      </c>
      <c r="DY51" s="119"/>
      <c r="DZ51" s="92">
        <f t="shared" si="52"/>
        <v>0</v>
      </c>
      <c r="EA51" s="92" t="str">
        <f t="shared" si="53"/>
        <v/>
      </c>
      <c r="EB51" s="92" t="str">
        <f t="shared" si="54"/>
        <v/>
      </c>
      <c r="EC51" s="92" t="str">
        <f t="shared" si="55"/>
        <v/>
      </c>
      <c r="ED51">
        <v>49</v>
      </c>
      <c r="EE51" s="77" t="str">
        <f>Data!B50</f>
        <v xml:space="preserve">Sohia George </v>
      </c>
      <c r="EF51" s="94"/>
      <c r="EG51" s="94"/>
      <c r="EH51" s="94"/>
      <c r="EI51" s="94"/>
      <c r="EJ51" s="94">
        <f t="shared" si="56"/>
        <v>0</v>
      </c>
      <c r="EK51" s="94"/>
      <c r="EL51" s="94">
        <f t="shared" si="57"/>
        <v>0</v>
      </c>
      <c r="EM51" s="94" t="str">
        <f t="shared" si="58"/>
        <v/>
      </c>
      <c r="EN51" s="94" t="str">
        <f t="shared" si="59"/>
        <v/>
      </c>
      <c r="EO51" s="94" t="str">
        <f t="shared" si="60"/>
        <v/>
      </c>
      <c r="EP51">
        <v>49</v>
      </c>
      <c r="EQ51" s="95" t="str">
        <f>Data!B50</f>
        <v xml:space="preserve">Sohia George </v>
      </c>
      <c r="ER51" s="90"/>
      <c r="ES51" s="90"/>
      <c r="ET51" s="90"/>
      <c r="EU51" s="90"/>
      <c r="EV51" s="90">
        <f t="shared" si="61"/>
        <v>0</v>
      </c>
      <c r="EW51" s="90"/>
      <c r="EX51" s="90">
        <f t="shared" si="62"/>
        <v>0</v>
      </c>
      <c r="EY51" s="90" t="str">
        <f t="shared" si="63"/>
        <v/>
      </c>
      <c r="EZ51" s="90" t="str">
        <f t="shared" si="64"/>
        <v/>
      </c>
      <c r="FA51" s="90" t="str">
        <f t="shared" si="65"/>
        <v/>
      </c>
      <c r="FB51">
        <v>49</v>
      </c>
      <c r="FC51" s="77" t="str">
        <f>Data!B50</f>
        <v xml:space="preserve">Sohia George </v>
      </c>
      <c r="FD51" s="96"/>
      <c r="FE51" s="96"/>
      <c r="FF51" s="96"/>
      <c r="FG51" s="96"/>
      <c r="FH51" s="96">
        <f t="shared" si="66"/>
        <v>0</v>
      </c>
      <c r="FI51" s="96"/>
      <c r="FJ51" s="96">
        <f t="shared" si="67"/>
        <v>0</v>
      </c>
      <c r="FK51" s="96" t="str">
        <f t="shared" si="68"/>
        <v/>
      </c>
      <c r="FL51" s="96" t="str">
        <f t="shared" si="69"/>
        <v/>
      </c>
      <c r="FM51" s="96" t="str">
        <f t="shared" si="70"/>
        <v/>
      </c>
      <c r="FN51">
        <v>49</v>
      </c>
      <c r="FO51" s="77" t="str">
        <f>Data!B50</f>
        <v xml:space="preserve">Sohia George </v>
      </c>
      <c r="FP51" s="97"/>
      <c r="FQ51" s="97"/>
      <c r="FR51" s="97"/>
      <c r="FS51" s="97"/>
      <c r="FT51" s="97">
        <f t="shared" si="71"/>
        <v>0</v>
      </c>
      <c r="FU51" s="97"/>
      <c r="FV51" s="97">
        <f t="shared" si="72"/>
        <v>0</v>
      </c>
      <c r="FW51" s="97" t="str">
        <f t="shared" si="73"/>
        <v/>
      </c>
      <c r="FX51" s="97" t="str">
        <f t="shared" si="74"/>
        <v/>
      </c>
      <c r="FY51" s="97" t="str">
        <f t="shared" si="75"/>
        <v/>
      </c>
      <c r="FZ51">
        <v>49</v>
      </c>
      <c r="GA51" s="77" t="str">
        <f>Data!B50</f>
        <v xml:space="preserve">Sohia George </v>
      </c>
      <c r="GB51" s="98"/>
      <c r="GC51" s="98"/>
      <c r="GD51" s="98"/>
      <c r="GE51" s="98"/>
      <c r="GF51" s="98">
        <f t="shared" si="76"/>
        <v>0</v>
      </c>
      <c r="GG51" s="98"/>
      <c r="GH51" s="98">
        <f t="shared" si="77"/>
        <v>0</v>
      </c>
      <c r="GI51" s="98" t="str">
        <f t="shared" si="78"/>
        <v/>
      </c>
      <c r="GJ51" s="98" t="str">
        <f t="shared" si="79"/>
        <v/>
      </c>
      <c r="GK51" s="98" t="str">
        <f t="shared" si="80"/>
        <v/>
      </c>
      <c r="GL51">
        <v>49</v>
      </c>
      <c r="GM51" s="77" t="str">
        <f>Data!B50</f>
        <v xml:space="preserve">Sohia George </v>
      </c>
      <c r="GN51" s="100"/>
      <c r="GO51" s="100"/>
      <c r="GP51" s="100"/>
      <c r="GQ51" s="100"/>
      <c r="GR51" s="100">
        <f t="shared" si="81"/>
        <v>0</v>
      </c>
      <c r="GS51" s="100"/>
      <c r="GT51" s="100">
        <f t="shared" si="82"/>
        <v>0</v>
      </c>
      <c r="GU51" s="100" t="str">
        <f t="shared" si="83"/>
        <v/>
      </c>
      <c r="GV51" s="100" t="str">
        <f t="shared" si="84"/>
        <v/>
      </c>
      <c r="GW51" s="100" t="str">
        <f t="shared" si="85"/>
        <v/>
      </c>
      <c r="GX51">
        <v>49</v>
      </c>
      <c r="GY51" s="77" t="str">
        <f>Data!B50</f>
        <v xml:space="preserve">Sohia George </v>
      </c>
      <c r="GZ51" s="86"/>
      <c r="HA51" s="86"/>
      <c r="HB51" s="86"/>
      <c r="HC51" s="86"/>
      <c r="HD51" s="86">
        <f t="shared" si="86"/>
        <v>0</v>
      </c>
      <c r="HE51" s="86"/>
      <c r="HF51" s="86">
        <f t="shared" si="87"/>
        <v>0</v>
      </c>
      <c r="HG51" s="86" t="str">
        <f t="shared" si="88"/>
        <v/>
      </c>
      <c r="HH51" s="86" t="str">
        <f t="shared" si="89"/>
        <v/>
      </c>
      <c r="HI51" s="86" t="str">
        <f t="shared" si="90"/>
        <v/>
      </c>
      <c r="HJ51">
        <v>49</v>
      </c>
      <c r="HK51" s="77" t="str">
        <f>Data!B50</f>
        <v xml:space="preserve">Sohia George </v>
      </c>
      <c r="HL51" s="111">
        <v>7</v>
      </c>
      <c r="HM51" s="112"/>
      <c r="HN51" s="112">
        <v>10</v>
      </c>
      <c r="HO51" s="112">
        <v>9</v>
      </c>
      <c r="HP51" s="103">
        <f t="shared" si="91"/>
        <v>26</v>
      </c>
      <c r="HQ51" s="111"/>
      <c r="HR51" s="103">
        <f t="shared" si="92"/>
        <v>26</v>
      </c>
      <c r="HS51" s="103">
        <f t="shared" si="93"/>
        <v>18</v>
      </c>
      <c r="HT51" s="103" t="str">
        <f t="shared" si="94"/>
        <v>F</v>
      </c>
      <c r="HU51" s="103" t="str">
        <f t="shared" si="95"/>
        <v>Fail</v>
      </c>
      <c r="HV51">
        <v>49</v>
      </c>
      <c r="HW51" s="77" t="str">
        <f>Data!B50</f>
        <v xml:space="preserve">Sohia George </v>
      </c>
      <c r="HX51" s="85"/>
      <c r="HY51" s="85"/>
      <c r="HZ51" s="85"/>
      <c r="IA51" s="85"/>
      <c r="IB51" s="85">
        <f t="shared" si="96"/>
        <v>0</v>
      </c>
      <c r="IC51" s="85"/>
      <c r="ID51" s="85">
        <f t="shared" si="97"/>
        <v>0</v>
      </c>
      <c r="IE51" s="85" t="str">
        <f t="shared" si="98"/>
        <v/>
      </c>
      <c r="IF51" s="85" t="str">
        <f t="shared" si="99"/>
        <v/>
      </c>
      <c r="IG51" s="85" t="str">
        <f t="shared" si="100"/>
        <v/>
      </c>
      <c r="IH51">
        <v>49</v>
      </c>
      <c r="II51" s="77" t="str">
        <f>Data!B50</f>
        <v xml:space="preserve">Sohia George </v>
      </c>
      <c r="IJ51" s="104"/>
      <c r="IK51" s="104"/>
      <c r="IL51" s="104"/>
      <c r="IM51" s="104"/>
      <c r="IN51" s="104">
        <f t="shared" si="101"/>
        <v>0</v>
      </c>
      <c r="IO51" s="104"/>
      <c r="IP51" s="104">
        <f t="shared" si="102"/>
        <v>0</v>
      </c>
      <c r="IQ51" s="104" t="str">
        <f t="shared" si="103"/>
        <v/>
      </c>
      <c r="IR51" s="104" t="str">
        <f t="shared" si="104"/>
        <v/>
      </c>
      <c r="IS51" s="104" t="str">
        <f t="shared" si="105"/>
        <v/>
      </c>
      <c r="IT51">
        <v>49</v>
      </c>
      <c r="IU51" s="77" t="str">
        <f t="shared" si="106"/>
        <v xml:space="preserve">Sohia George </v>
      </c>
      <c r="IV51" s="98"/>
      <c r="IW51" s="98"/>
      <c r="IX51" s="98"/>
      <c r="IY51" s="98"/>
      <c r="IZ51" s="98">
        <f t="shared" si="107"/>
        <v>0</v>
      </c>
      <c r="JA51" s="116"/>
      <c r="JB51" s="98">
        <f t="shared" si="108"/>
        <v>0</v>
      </c>
      <c r="JC51" s="98" t="str">
        <f t="shared" si="109"/>
        <v/>
      </c>
      <c r="JD51" s="98" t="str">
        <f t="shared" si="110"/>
        <v/>
      </c>
      <c r="JE51" s="98" t="str">
        <f t="shared" si="111"/>
        <v/>
      </c>
      <c r="JF51">
        <v>49</v>
      </c>
      <c r="JG51" s="77" t="str">
        <f t="shared" si="112"/>
        <v xml:space="preserve">Sohia George </v>
      </c>
      <c r="JH51" s="82"/>
      <c r="JI51" s="82"/>
      <c r="JJ51" s="82"/>
      <c r="JK51" s="82"/>
      <c r="JL51" s="82">
        <f t="shared" si="113"/>
        <v>0</v>
      </c>
      <c r="JM51" s="82"/>
      <c r="JN51" s="82">
        <f t="shared" si="114"/>
        <v>0</v>
      </c>
      <c r="JO51" s="82" t="str">
        <f t="shared" si="115"/>
        <v/>
      </c>
      <c r="JP51" s="82" t="str">
        <f t="shared" si="116"/>
        <v/>
      </c>
      <c r="JQ51" s="82" t="str">
        <f t="shared" si="117"/>
        <v/>
      </c>
      <c r="JR51">
        <v>49</v>
      </c>
      <c r="JS51" s="77" t="str">
        <f t="shared" si="118"/>
        <v xml:space="preserve">Sohia George </v>
      </c>
      <c r="JT51" s="107"/>
      <c r="JU51" s="107"/>
      <c r="JV51" s="107"/>
      <c r="JW51" s="107"/>
      <c r="JX51" s="80">
        <f t="shared" si="119"/>
        <v>0</v>
      </c>
      <c r="JY51" s="108"/>
      <c r="JZ51" s="80">
        <f t="shared" si="0"/>
        <v>0</v>
      </c>
      <c r="KA51" s="80" t="str">
        <f t="shared" si="120"/>
        <v/>
      </c>
      <c r="KB51" s="80" t="str">
        <f t="shared" si="121"/>
        <v/>
      </c>
      <c r="KC51" s="80" t="str">
        <f t="shared" si="122"/>
        <v/>
      </c>
      <c r="KE51" s="16"/>
      <c r="KF51" s="16"/>
      <c r="KG51" s="16"/>
      <c r="KH51" s="16"/>
      <c r="KI51" s="16"/>
      <c r="KJ51" s="16"/>
      <c r="KK51" s="16"/>
      <c r="KL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</row>
    <row r="52" spans="1:309">
      <c r="A52" s="17">
        <v>50</v>
      </c>
      <c r="B52" s="186">
        <v>50</v>
      </c>
      <c r="C52" s="77" t="str">
        <f>Data!B51</f>
        <v>Zainab Ali Benisheik</v>
      </c>
      <c r="D52" s="88">
        <v>8</v>
      </c>
      <c r="E52" s="88">
        <v>6</v>
      </c>
      <c r="F52" s="88">
        <v>7</v>
      </c>
      <c r="G52" s="88">
        <v>10</v>
      </c>
      <c r="H52" s="88">
        <f t="shared" si="1"/>
        <v>31</v>
      </c>
      <c r="I52" s="88">
        <v>26</v>
      </c>
      <c r="J52" s="88">
        <f t="shared" si="2"/>
        <v>57</v>
      </c>
      <c r="K52" s="79">
        <f t="shared" si="3"/>
        <v>23</v>
      </c>
      <c r="L52" s="79" t="str">
        <f t="shared" si="4"/>
        <v>C5</v>
      </c>
      <c r="M52" s="79" t="str">
        <f t="shared" si="5"/>
        <v>Credit</v>
      </c>
      <c r="N52" s="17">
        <v>50</v>
      </c>
      <c r="O52" s="77" t="str">
        <f>Data!B51</f>
        <v>Zainab Ali Benisheik</v>
      </c>
      <c r="P52" s="80"/>
      <c r="Q52" s="80"/>
      <c r="R52" s="80"/>
      <c r="S52" s="80"/>
      <c r="T52" s="80">
        <f t="shared" si="6"/>
        <v>0</v>
      </c>
      <c r="U52" s="80"/>
      <c r="V52" s="80">
        <f t="shared" si="7"/>
        <v>0</v>
      </c>
      <c r="W52" s="80" t="str">
        <f t="shared" si="8"/>
        <v/>
      </c>
      <c r="X52" s="80" t="str">
        <f t="shared" ref="X52:X58" si="126">IF(V52&gt;=75,"A",IF(V52&gt;=70,"B2",IF(V52&gt;=50,"C",IF(V52&gt;=45,"D",IF(V52&gt;=40,"E",IF(V52&gt;=6,"F",IF(V52&lt;5,"")))))))</f>
        <v/>
      </c>
      <c r="Y52" s="80" t="str">
        <f t="shared" si="10"/>
        <v/>
      </c>
      <c r="Z52" s="11">
        <v>50</v>
      </c>
      <c r="AA52" s="77" t="str">
        <f>Data!B51</f>
        <v>Zainab Ali Benisheik</v>
      </c>
      <c r="AB52" s="88">
        <v>8</v>
      </c>
      <c r="AC52" s="88">
        <v>6</v>
      </c>
      <c r="AD52" s="88">
        <v>7</v>
      </c>
      <c r="AE52" s="88">
        <v>10</v>
      </c>
      <c r="AF52" s="88">
        <f t="shared" si="11"/>
        <v>31</v>
      </c>
      <c r="AG52" s="88">
        <v>26</v>
      </c>
      <c r="AH52" s="88">
        <f t="shared" si="12"/>
        <v>57</v>
      </c>
      <c r="AI52" s="82">
        <f t="shared" si="13"/>
        <v>23</v>
      </c>
      <c r="AJ52" s="82" t="str">
        <f t="shared" si="124"/>
        <v>C</v>
      </c>
      <c r="AK52" s="82" t="str">
        <f t="shared" si="15"/>
        <v>Credit</v>
      </c>
      <c r="AL52" s="11">
        <v>50</v>
      </c>
      <c r="AM52" s="77" t="str">
        <f>Data!B51</f>
        <v>Zainab Ali Benisheik</v>
      </c>
      <c r="AN52" s="88">
        <v>8</v>
      </c>
      <c r="AO52" s="88">
        <v>6</v>
      </c>
      <c r="AP52" s="88">
        <v>7</v>
      </c>
      <c r="AQ52" s="88">
        <v>10</v>
      </c>
      <c r="AR52" s="88">
        <f t="shared" si="16"/>
        <v>31</v>
      </c>
      <c r="AS52" s="88">
        <v>26</v>
      </c>
      <c r="AT52" s="88">
        <f t="shared" si="17"/>
        <v>57</v>
      </c>
      <c r="AU52" s="83">
        <f t="shared" si="18"/>
        <v>23</v>
      </c>
      <c r="AV52" s="83" t="str">
        <f t="shared" si="125"/>
        <v>C</v>
      </c>
      <c r="AW52" s="83" t="str">
        <f t="shared" si="20"/>
        <v>Credit</v>
      </c>
      <c r="AX52" s="11">
        <v>50</v>
      </c>
      <c r="AY52" s="77" t="str">
        <f>Data!B51</f>
        <v>Zainab Ali Benisheik</v>
      </c>
      <c r="AZ52" s="88">
        <v>8</v>
      </c>
      <c r="BA52" s="88">
        <v>6</v>
      </c>
      <c r="BB52" s="88">
        <v>7</v>
      </c>
      <c r="BC52" s="88">
        <v>10</v>
      </c>
      <c r="BD52" s="88">
        <f t="shared" si="21"/>
        <v>31</v>
      </c>
      <c r="BE52" s="88">
        <v>26</v>
      </c>
      <c r="BF52" s="88">
        <f t="shared" si="22"/>
        <v>57</v>
      </c>
      <c r="BG52" s="85">
        <f t="shared" si="23"/>
        <v>23</v>
      </c>
      <c r="BH52" s="85" t="str">
        <f t="shared" si="24"/>
        <v>C5</v>
      </c>
      <c r="BI52" s="85" t="str">
        <f t="shared" si="25"/>
        <v>Credit</v>
      </c>
      <c r="BJ52" s="36">
        <v>50</v>
      </c>
      <c r="BK52" s="77" t="str">
        <f>Data!B51</f>
        <v>Zainab Ali Benisheik</v>
      </c>
      <c r="BL52" s="88">
        <v>8</v>
      </c>
      <c r="BM52" s="88">
        <v>6</v>
      </c>
      <c r="BN52" s="88">
        <v>7</v>
      </c>
      <c r="BO52" s="88">
        <v>10</v>
      </c>
      <c r="BP52" s="88">
        <f t="shared" si="26"/>
        <v>31</v>
      </c>
      <c r="BQ52" s="88">
        <v>26</v>
      </c>
      <c r="BR52" s="88">
        <f t="shared" si="27"/>
        <v>57</v>
      </c>
      <c r="BS52" s="86">
        <f t="shared" si="28"/>
        <v>23</v>
      </c>
      <c r="BT52" s="86" t="str">
        <f t="shared" ref="BT52:BT60" si="127">IF(BR52&gt;=75,"A1",IF(BR52&gt;=70,"B2",IF(BR52&gt;=65,"B3",IF(BR52&gt;=60,"C4",IF(BR52&gt;=55,"C5",IF(BR52&gt;=50,"C6",IF(BR52&gt;=45,"D7",IF(BR52&gt;=40,"E8",IF(BR52&gt;=6,"F",IF(BR52&lt;5,""))))))))))</f>
        <v>C5</v>
      </c>
      <c r="BU52" s="86" t="str">
        <f t="shared" si="30"/>
        <v>Credit</v>
      </c>
      <c r="BV52">
        <v>50</v>
      </c>
      <c r="BW52" s="77" t="str">
        <f>Data!B51</f>
        <v>Zainab Ali Benisheik</v>
      </c>
      <c r="BX52" s="88">
        <v>8</v>
      </c>
      <c r="BY52" s="88">
        <v>6</v>
      </c>
      <c r="BZ52" s="88">
        <v>7</v>
      </c>
      <c r="CA52" s="88">
        <v>10</v>
      </c>
      <c r="CB52" s="88">
        <f t="shared" si="31"/>
        <v>31</v>
      </c>
      <c r="CC52" s="88">
        <v>26</v>
      </c>
      <c r="CD52" s="88">
        <f t="shared" si="32"/>
        <v>57</v>
      </c>
      <c r="CE52" s="88">
        <f t="shared" si="33"/>
        <v>23</v>
      </c>
      <c r="CF52" s="88" t="str">
        <f t="shared" si="34"/>
        <v>C5</v>
      </c>
      <c r="CG52" s="88" t="str">
        <f t="shared" si="35"/>
        <v>Credit</v>
      </c>
      <c r="CH52">
        <v>50</v>
      </c>
      <c r="CI52" s="77" t="str">
        <f>Data!B51</f>
        <v>Zainab Ali Benisheik</v>
      </c>
      <c r="CJ52" s="89"/>
      <c r="CK52" s="89"/>
      <c r="CL52" s="89"/>
      <c r="CM52" s="89"/>
      <c r="CN52" s="89">
        <f t="shared" si="36"/>
        <v>0</v>
      </c>
      <c r="CO52" s="89"/>
      <c r="CP52" s="89">
        <f t="shared" si="37"/>
        <v>0</v>
      </c>
      <c r="CQ52" s="89" t="str">
        <f t="shared" si="38"/>
        <v/>
      </c>
      <c r="CR52" s="89" t="str">
        <f t="shared" si="39"/>
        <v/>
      </c>
      <c r="CS52" s="89" t="str">
        <f t="shared" si="40"/>
        <v/>
      </c>
      <c r="CT52">
        <v>50</v>
      </c>
      <c r="CU52" s="77" t="str">
        <f>Data!B51</f>
        <v>Zainab Ali Benisheik</v>
      </c>
      <c r="CV52" s="90"/>
      <c r="CW52" s="90"/>
      <c r="CX52" s="90"/>
      <c r="CY52" s="90"/>
      <c r="CZ52" s="90">
        <f t="shared" si="41"/>
        <v>0</v>
      </c>
      <c r="DA52" s="90"/>
      <c r="DB52" s="90">
        <f t="shared" si="42"/>
        <v>0</v>
      </c>
      <c r="DC52" s="90" t="str">
        <f t="shared" si="43"/>
        <v/>
      </c>
      <c r="DD52" s="90" t="str">
        <f t="shared" si="44"/>
        <v/>
      </c>
      <c r="DE52" s="90" t="str">
        <f t="shared" si="45"/>
        <v/>
      </c>
      <c r="DF52">
        <v>50</v>
      </c>
      <c r="DG52" s="77" t="str">
        <f>Data!B51</f>
        <v>Zainab Ali Benisheik</v>
      </c>
      <c r="DH52" s="85"/>
      <c r="DI52" s="85"/>
      <c r="DJ52" s="85"/>
      <c r="DK52" s="85"/>
      <c r="DL52" s="85">
        <f t="shared" si="46"/>
        <v>0</v>
      </c>
      <c r="DM52" s="85"/>
      <c r="DN52" s="85">
        <f t="shared" si="47"/>
        <v>0</v>
      </c>
      <c r="DO52" s="85" t="str">
        <f t="shared" si="48"/>
        <v/>
      </c>
      <c r="DP52" s="85" t="str">
        <f t="shared" si="49"/>
        <v/>
      </c>
      <c r="DQ52" s="85" t="str">
        <f t="shared" si="50"/>
        <v/>
      </c>
      <c r="DR52">
        <v>50</v>
      </c>
      <c r="DS52" s="77" t="str">
        <f>Data!B51</f>
        <v>Zainab Ali Benisheik</v>
      </c>
      <c r="DT52" s="118"/>
      <c r="DU52" s="118"/>
      <c r="DV52" s="118"/>
      <c r="DW52" s="118"/>
      <c r="DX52" s="92">
        <f t="shared" si="51"/>
        <v>0</v>
      </c>
      <c r="DY52" s="120"/>
      <c r="DZ52" s="92">
        <f t="shared" si="52"/>
        <v>0</v>
      </c>
      <c r="EA52" s="92" t="str">
        <f t="shared" si="53"/>
        <v/>
      </c>
      <c r="EB52" s="92" t="str">
        <f t="shared" si="54"/>
        <v/>
      </c>
      <c r="EC52" s="92" t="str">
        <f t="shared" si="55"/>
        <v/>
      </c>
      <c r="ED52">
        <v>50</v>
      </c>
      <c r="EE52" s="77" t="str">
        <f>Data!B51</f>
        <v>Zainab Ali Benisheik</v>
      </c>
      <c r="EF52" s="94"/>
      <c r="EG52" s="94"/>
      <c r="EH52" s="94"/>
      <c r="EI52" s="94"/>
      <c r="EJ52" s="94">
        <f t="shared" si="56"/>
        <v>0</v>
      </c>
      <c r="EK52" s="94"/>
      <c r="EL52" s="94">
        <f t="shared" si="57"/>
        <v>0</v>
      </c>
      <c r="EM52" s="94" t="str">
        <f t="shared" si="58"/>
        <v/>
      </c>
      <c r="EN52" s="94" t="str">
        <f t="shared" si="59"/>
        <v/>
      </c>
      <c r="EO52" s="94" t="str">
        <f t="shared" si="60"/>
        <v/>
      </c>
      <c r="EP52">
        <v>50</v>
      </c>
      <c r="EQ52" s="95" t="str">
        <f>Data!B51</f>
        <v>Zainab Ali Benisheik</v>
      </c>
      <c r="ER52" s="90"/>
      <c r="ES52" s="90"/>
      <c r="ET52" s="90"/>
      <c r="EU52" s="90"/>
      <c r="EV52" s="90">
        <f t="shared" si="61"/>
        <v>0</v>
      </c>
      <c r="EW52" s="90"/>
      <c r="EX52" s="90">
        <f t="shared" si="62"/>
        <v>0</v>
      </c>
      <c r="EY52" s="90" t="str">
        <f t="shared" si="63"/>
        <v/>
      </c>
      <c r="EZ52" s="90" t="str">
        <f t="shared" si="64"/>
        <v/>
      </c>
      <c r="FA52" s="90" t="str">
        <f t="shared" si="65"/>
        <v/>
      </c>
      <c r="FB52">
        <v>50</v>
      </c>
      <c r="FC52" s="77" t="str">
        <f>Data!B51</f>
        <v>Zainab Ali Benisheik</v>
      </c>
      <c r="FD52" s="96"/>
      <c r="FE52" s="96"/>
      <c r="FF52" s="96"/>
      <c r="FG52" s="96"/>
      <c r="FH52" s="96">
        <f t="shared" si="66"/>
        <v>0</v>
      </c>
      <c r="FI52" s="96"/>
      <c r="FJ52" s="96">
        <f t="shared" si="67"/>
        <v>0</v>
      </c>
      <c r="FK52" s="96" t="str">
        <f t="shared" si="68"/>
        <v/>
      </c>
      <c r="FL52" s="96" t="str">
        <f t="shared" si="69"/>
        <v/>
      </c>
      <c r="FM52" s="96" t="str">
        <f t="shared" si="70"/>
        <v/>
      </c>
      <c r="FN52">
        <v>50</v>
      </c>
      <c r="FO52" s="77" t="str">
        <f>Data!B51</f>
        <v>Zainab Ali Benisheik</v>
      </c>
      <c r="FP52" s="97"/>
      <c r="FQ52" s="97"/>
      <c r="FR52" s="97"/>
      <c r="FS52" s="97"/>
      <c r="FT52" s="97">
        <f t="shared" si="71"/>
        <v>0</v>
      </c>
      <c r="FU52" s="97"/>
      <c r="FV52" s="97">
        <f t="shared" si="72"/>
        <v>0</v>
      </c>
      <c r="FW52" s="97" t="str">
        <f t="shared" si="73"/>
        <v/>
      </c>
      <c r="FX52" s="97" t="str">
        <f t="shared" si="74"/>
        <v/>
      </c>
      <c r="FY52" s="97" t="str">
        <f t="shared" si="75"/>
        <v/>
      </c>
      <c r="FZ52">
        <v>50</v>
      </c>
      <c r="GA52" s="77" t="str">
        <f>Data!B51</f>
        <v>Zainab Ali Benisheik</v>
      </c>
      <c r="GB52" s="98"/>
      <c r="GC52" s="98"/>
      <c r="GD52" s="98"/>
      <c r="GE52" s="98"/>
      <c r="GF52" s="98">
        <f t="shared" si="76"/>
        <v>0</v>
      </c>
      <c r="GG52" s="98"/>
      <c r="GH52" s="98">
        <f t="shared" si="77"/>
        <v>0</v>
      </c>
      <c r="GI52" s="98" t="str">
        <f t="shared" si="78"/>
        <v/>
      </c>
      <c r="GJ52" s="98" t="str">
        <f t="shared" si="79"/>
        <v/>
      </c>
      <c r="GK52" s="98" t="str">
        <f t="shared" si="80"/>
        <v/>
      </c>
      <c r="GL52">
        <v>50</v>
      </c>
      <c r="GM52" s="77" t="str">
        <f>Data!B51</f>
        <v>Zainab Ali Benisheik</v>
      </c>
      <c r="GN52" s="100"/>
      <c r="GO52" s="100"/>
      <c r="GP52" s="100"/>
      <c r="GQ52" s="100"/>
      <c r="GR52" s="100">
        <f t="shared" si="81"/>
        <v>0</v>
      </c>
      <c r="GS52" s="100"/>
      <c r="GT52" s="100">
        <f t="shared" si="82"/>
        <v>0</v>
      </c>
      <c r="GU52" s="100" t="str">
        <f t="shared" si="83"/>
        <v/>
      </c>
      <c r="GV52" s="100" t="str">
        <f t="shared" si="84"/>
        <v/>
      </c>
      <c r="GW52" s="100" t="str">
        <f t="shared" si="85"/>
        <v/>
      </c>
      <c r="GX52">
        <v>50</v>
      </c>
      <c r="GY52" s="77" t="str">
        <f>Data!B51</f>
        <v>Zainab Ali Benisheik</v>
      </c>
      <c r="GZ52" s="86"/>
      <c r="HA52" s="86"/>
      <c r="HB52" s="86"/>
      <c r="HC52" s="86"/>
      <c r="HD52" s="86">
        <f t="shared" si="86"/>
        <v>0</v>
      </c>
      <c r="HE52" s="86"/>
      <c r="HF52" s="86">
        <f t="shared" si="87"/>
        <v>0</v>
      </c>
      <c r="HG52" s="86" t="str">
        <f t="shared" si="88"/>
        <v/>
      </c>
      <c r="HH52" s="86" t="str">
        <f t="shared" si="89"/>
        <v/>
      </c>
      <c r="HI52" s="86" t="str">
        <f t="shared" si="90"/>
        <v/>
      </c>
      <c r="HJ52">
        <v>50</v>
      </c>
      <c r="HK52" s="77" t="str">
        <f>Data!B51</f>
        <v>Zainab Ali Benisheik</v>
      </c>
      <c r="HL52" s="111">
        <v>7</v>
      </c>
      <c r="HM52" s="112">
        <v>5</v>
      </c>
      <c r="HN52" s="112">
        <v>10</v>
      </c>
      <c r="HO52" s="112">
        <v>10</v>
      </c>
      <c r="HP52" s="103">
        <f t="shared" si="91"/>
        <v>32</v>
      </c>
      <c r="HQ52" s="111"/>
      <c r="HR52" s="103">
        <f t="shared" si="92"/>
        <v>32</v>
      </c>
      <c r="HS52" s="103">
        <f t="shared" si="93"/>
        <v>11</v>
      </c>
      <c r="HT52" s="103" t="str">
        <f t="shared" si="94"/>
        <v>F</v>
      </c>
      <c r="HU52" s="103" t="str">
        <f t="shared" si="95"/>
        <v>Fail</v>
      </c>
      <c r="HV52">
        <v>50</v>
      </c>
      <c r="HW52" s="77" t="str">
        <f>Data!B51</f>
        <v>Zainab Ali Benisheik</v>
      </c>
      <c r="HX52" s="85"/>
      <c r="HY52" s="85"/>
      <c r="HZ52" s="85"/>
      <c r="IA52" s="85"/>
      <c r="IB52" s="85">
        <f t="shared" si="96"/>
        <v>0</v>
      </c>
      <c r="IC52" s="85"/>
      <c r="ID52" s="85">
        <f t="shared" si="97"/>
        <v>0</v>
      </c>
      <c r="IE52" s="85" t="str">
        <f t="shared" si="98"/>
        <v/>
      </c>
      <c r="IF52" s="85" t="str">
        <f t="shared" si="99"/>
        <v/>
      </c>
      <c r="IG52" s="85" t="str">
        <f t="shared" si="100"/>
        <v/>
      </c>
      <c r="IH52">
        <v>50</v>
      </c>
      <c r="II52" s="77" t="str">
        <f>Data!B51</f>
        <v>Zainab Ali Benisheik</v>
      </c>
      <c r="IJ52" s="104"/>
      <c r="IK52" s="104"/>
      <c r="IL52" s="104"/>
      <c r="IM52" s="104"/>
      <c r="IN52" s="104">
        <f t="shared" si="101"/>
        <v>0</v>
      </c>
      <c r="IO52" s="104"/>
      <c r="IP52" s="104">
        <f t="shared" si="102"/>
        <v>0</v>
      </c>
      <c r="IQ52" s="104" t="str">
        <f t="shared" si="103"/>
        <v/>
      </c>
      <c r="IR52" s="104" t="str">
        <f t="shared" si="104"/>
        <v/>
      </c>
      <c r="IS52" s="104" t="str">
        <f t="shared" si="105"/>
        <v/>
      </c>
      <c r="IT52">
        <v>50</v>
      </c>
      <c r="IU52" s="77" t="str">
        <f t="shared" si="106"/>
        <v>Zainab Ali Benisheik</v>
      </c>
      <c r="IV52" s="98"/>
      <c r="IW52" s="98"/>
      <c r="IX52" s="98"/>
      <c r="IY52" s="98"/>
      <c r="IZ52" s="98">
        <f t="shared" si="107"/>
        <v>0</v>
      </c>
      <c r="JA52" s="98"/>
      <c r="JB52" s="98">
        <f t="shared" si="108"/>
        <v>0</v>
      </c>
      <c r="JC52" s="98" t="str">
        <f t="shared" si="109"/>
        <v/>
      </c>
      <c r="JD52" s="98" t="str">
        <f t="shared" si="110"/>
        <v/>
      </c>
      <c r="JE52" s="98" t="str">
        <f t="shared" si="111"/>
        <v/>
      </c>
      <c r="JF52">
        <v>50</v>
      </c>
      <c r="JG52" s="77" t="str">
        <f t="shared" si="112"/>
        <v>Zainab Ali Benisheik</v>
      </c>
      <c r="JH52" s="82"/>
      <c r="JI52" s="82"/>
      <c r="JJ52" s="82"/>
      <c r="JK52" s="82"/>
      <c r="JL52" s="82">
        <f t="shared" si="113"/>
        <v>0</v>
      </c>
      <c r="JM52" s="82"/>
      <c r="JN52" s="82">
        <f t="shared" si="114"/>
        <v>0</v>
      </c>
      <c r="JO52" s="82" t="str">
        <f t="shared" si="115"/>
        <v/>
      </c>
      <c r="JP52" s="82" t="str">
        <f t="shared" si="116"/>
        <v/>
      </c>
      <c r="JQ52" s="82" t="str">
        <f t="shared" si="117"/>
        <v/>
      </c>
      <c r="JR52">
        <v>50</v>
      </c>
      <c r="JS52" s="77" t="str">
        <f t="shared" si="118"/>
        <v>Zainab Ali Benisheik</v>
      </c>
      <c r="JT52" s="107"/>
      <c r="JU52" s="107"/>
      <c r="JV52" s="107"/>
      <c r="JW52" s="107"/>
      <c r="JX52" s="80">
        <f t="shared" si="119"/>
        <v>0</v>
      </c>
      <c r="JY52" s="108"/>
      <c r="JZ52" s="80">
        <f t="shared" si="0"/>
        <v>0</v>
      </c>
      <c r="KA52" s="80" t="str">
        <f t="shared" si="120"/>
        <v/>
      </c>
      <c r="KB52" s="80" t="str">
        <f t="shared" si="121"/>
        <v/>
      </c>
      <c r="KC52" s="80" t="str">
        <f t="shared" si="122"/>
        <v/>
      </c>
      <c r="KE52" s="16"/>
      <c r="KF52" s="16"/>
      <c r="KG52" s="16"/>
      <c r="KH52" s="16"/>
      <c r="KI52" s="16"/>
      <c r="KJ52" s="16"/>
      <c r="KK52" s="16"/>
      <c r="KL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</row>
    <row r="53" spans="1:309">
      <c r="B53" s="186">
        <v>51</v>
      </c>
      <c r="C53" s="77" t="str">
        <f>Data!B52</f>
        <v>Deborah Adeola Showole</v>
      </c>
      <c r="D53" s="88">
        <v>7</v>
      </c>
      <c r="E53" s="88">
        <v>6</v>
      </c>
      <c r="F53" s="88">
        <v>8</v>
      </c>
      <c r="G53" s="88">
        <v>6</v>
      </c>
      <c r="H53" s="88">
        <f t="shared" si="1"/>
        <v>27</v>
      </c>
      <c r="I53" s="88">
        <v>44</v>
      </c>
      <c r="J53" s="88">
        <f t="shared" si="2"/>
        <v>71</v>
      </c>
      <c r="K53" s="79" t="e">
        <f t="shared" si="3"/>
        <v>#N/A</v>
      </c>
      <c r="L53" s="79" t="str">
        <f t="shared" si="4"/>
        <v>B2</v>
      </c>
      <c r="M53" s="79" t="str">
        <f t="shared" si="5"/>
        <v>V.Good</v>
      </c>
      <c r="O53" s="77" t="str">
        <f>Data!B52</f>
        <v>Deborah Adeola Showole</v>
      </c>
      <c r="P53" s="80"/>
      <c r="Q53" s="80"/>
      <c r="R53" s="80"/>
      <c r="S53" s="80"/>
      <c r="T53" s="80">
        <f t="shared" si="6"/>
        <v>0</v>
      </c>
      <c r="U53" s="80"/>
      <c r="V53" s="80">
        <f t="shared" si="7"/>
        <v>0</v>
      </c>
      <c r="W53" s="80" t="str">
        <f t="shared" si="8"/>
        <v/>
      </c>
      <c r="X53" s="80" t="str">
        <f t="shared" si="126"/>
        <v/>
      </c>
      <c r="Y53" s="80" t="str">
        <f t="shared" si="10"/>
        <v/>
      </c>
      <c r="AA53" s="77" t="str">
        <f>Data!B52</f>
        <v>Deborah Adeola Showole</v>
      </c>
      <c r="AB53" s="88">
        <v>7</v>
      </c>
      <c r="AC53" s="88">
        <v>6</v>
      </c>
      <c r="AD53" s="88">
        <v>8</v>
      </c>
      <c r="AE53" s="88">
        <v>6</v>
      </c>
      <c r="AF53" s="88">
        <f t="shared" si="11"/>
        <v>27</v>
      </c>
      <c r="AG53" s="88">
        <v>44</v>
      </c>
      <c r="AH53" s="88">
        <f t="shared" si="12"/>
        <v>71</v>
      </c>
      <c r="AI53" s="82" t="e">
        <f t="shared" si="13"/>
        <v>#N/A</v>
      </c>
      <c r="AJ53" s="82" t="str">
        <f t="shared" si="124"/>
        <v>B2</v>
      </c>
      <c r="AK53" s="82" t="str">
        <f t="shared" si="15"/>
        <v>V.Good</v>
      </c>
      <c r="AL53" s="11">
        <v>51</v>
      </c>
      <c r="AM53" s="77" t="str">
        <f>Data!B52</f>
        <v>Deborah Adeola Showole</v>
      </c>
      <c r="AN53" s="88">
        <v>7</v>
      </c>
      <c r="AO53" s="88">
        <v>6</v>
      </c>
      <c r="AP53" s="88">
        <v>8</v>
      </c>
      <c r="AQ53" s="88">
        <v>6</v>
      </c>
      <c r="AR53" s="88">
        <f t="shared" si="16"/>
        <v>27</v>
      </c>
      <c r="AS53" s="88">
        <v>44</v>
      </c>
      <c r="AT53" s="88">
        <f t="shared" si="17"/>
        <v>71</v>
      </c>
      <c r="AU53" s="83" t="e">
        <f t="shared" si="18"/>
        <v>#N/A</v>
      </c>
      <c r="AV53" s="83" t="str">
        <f t="shared" si="125"/>
        <v>B2</v>
      </c>
      <c r="AW53" s="83" t="str">
        <f t="shared" si="20"/>
        <v>V.Good</v>
      </c>
      <c r="AX53" s="11">
        <v>51</v>
      </c>
      <c r="AY53" s="77" t="str">
        <f>Data!B52</f>
        <v>Deborah Adeola Showole</v>
      </c>
      <c r="AZ53" s="88">
        <v>7</v>
      </c>
      <c r="BA53" s="88">
        <v>6</v>
      </c>
      <c r="BB53" s="88">
        <v>8</v>
      </c>
      <c r="BC53" s="88">
        <v>6</v>
      </c>
      <c r="BD53" s="88">
        <f t="shared" si="21"/>
        <v>27</v>
      </c>
      <c r="BE53" s="88">
        <v>44</v>
      </c>
      <c r="BF53" s="88">
        <f t="shared" si="22"/>
        <v>71</v>
      </c>
      <c r="BG53" s="85" t="e">
        <f t="shared" si="23"/>
        <v>#N/A</v>
      </c>
      <c r="BH53" s="85" t="str">
        <f t="shared" si="24"/>
        <v>B2</v>
      </c>
      <c r="BI53" s="85" t="str">
        <f t="shared" si="25"/>
        <v>V.Good</v>
      </c>
      <c r="BJ53" s="36">
        <v>51</v>
      </c>
      <c r="BK53" s="77" t="str">
        <f>Data!B52</f>
        <v>Deborah Adeola Showole</v>
      </c>
      <c r="BL53" s="88">
        <v>7</v>
      </c>
      <c r="BM53" s="88">
        <v>6</v>
      </c>
      <c r="BN53" s="88">
        <v>8</v>
      </c>
      <c r="BO53" s="88">
        <v>6</v>
      </c>
      <c r="BP53" s="88">
        <f t="shared" si="26"/>
        <v>27</v>
      </c>
      <c r="BQ53" s="88">
        <v>44</v>
      </c>
      <c r="BR53" s="88">
        <f t="shared" si="27"/>
        <v>71</v>
      </c>
      <c r="BS53" s="86" t="e">
        <f t="shared" si="28"/>
        <v>#N/A</v>
      </c>
      <c r="BT53" s="86" t="str">
        <f t="shared" si="127"/>
        <v>B2</v>
      </c>
      <c r="BV53">
        <v>51</v>
      </c>
      <c r="BW53" s="77" t="str">
        <f>Data!B52</f>
        <v>Deborah Adeola Showole</v>
      </c>
      <c r="BX53" s="88">
        <v>7</v>
      </c>
      <c r="BY53" s="88">
        <v>6</v>
      </c>
      <c r="BZ53" s="88">
        <v>8</v>
      </c>
      <c r="CA53" s="88">
        <v>6</v>
      </c>
      <c r="CB53" s="88">
        <f t="shared" si="31"/>
        <v>27</v>
      </c>
      <c r="CC53" s="88">
        <v>44</v>
      </c>
      <c r="CD53" s="88">
        <f t="shared" si="32"/>
        <v>71</v>
      </c>
      <c r="CE53" s="88" t="e">
        <f t="shared" si="33"/>
        <v>#N/A</v>
      </c>
      <c r="CF53" s="88" t="str">
        <f t="shared" si="34"/>
        <v>B2</v>
      </c>
      <c r="CG53" s="88" t="str">
        <f t="shared" si="35"/>
        <v>V.Good</v>
      </c>
      <c r="CH53">
        <v>51</v>
      </c>
      <c r="CI53" s="77" t="str">
        <f>Data!B52</f>
        <v>Deborah Adeola Showole</v>
      </c>
      <c r="CJ53" s="89"/>
      <c r="CK53" s="89"/>
      <c r="CL53" s="89"/>
      <c r="CM53" s="89"/>
      <c r="CN53" s="89">
        <f t="shared" si="36"/>
        <v>0</v>
      </c>
      <c r="CO53" s="89"/>
      <c r="CP53" s="89">
        <f t="shared" si="37"/>
        <v>0</v>
      </c>
      <c r="CQ53" s="89" t="str">
        <f t="shared" si="38"/>
        <v/>
      </c>
      <c r="CR53" s="89" t="str">
        <f t="shared" si="39"/>
        <v/>
      </c>
      <c r="CS53" s="89" t="str">
        <f t="shared" si="40"/>
        <v/>
      </c>
      <c r="HL53" s="121">
        <v>7</v>
      </c>
      <c r="HM53" s="121">
        <v>5</v>
      </c>
      <c r="HN53" s="121">
        <v>10</v>
      </c>
      <c r="HO53" s="121">
        <v>10</v>
      </c>
      <c r="HP53" s="122">
        <f t="shared" si="91"/>
        <v>32</v>
      </c>
      <c r="HQ53" s="121"/>
      <c r="HR53" s="122">
        <f t="shared" si="92"/>
        <v>32</v>
      </c>
      <c r="HS53" s="122">
        <f t="shared" si="93"/>
        <v>11</v>
      </c>
      <c r="HT53" s="122" t="str">
        <f t="shared" si="94"/>
        <v>F</v>
      </c>
      <c r="HU53" s="122" t="str">
        <f t="shared" si="95"/>
        <v>Fail</v>
      </c>
      <c r="JT53" s="123"/>
      <c r="JU53" s="123"/>
      <c r="JV53" s="123"/>
      <c r="JW53" s="123"/>
    </row>
    <row r="54" spans="1:309">
      <c r="B54" s="186">
        <v>52</v>
      </c>
      <c r="C54" s="77" t="str">
        <f>Data!B53</f>
        <v>Shuabu Ayuba</v>
      </c>
      <c r="D54" s="88">
        <v>6</v>
      </c>
      <c r="E54" s="88">
        <v>4</v>
      </c>
      <c r="F54" s="88">
        <v>8</v>
      </c>
      <c r="G54" s="88">
        <v>6</v>
      </c>
      <c r="H54" s="88">
        <f t="shared" si="1"/>
        <v>24</v>
      </c>
      <c r="I54" s="88">
        <v>27</v>
      </c>
      <c r="J54" s="88">
        <f t="shared" si="2"/>
        <v>51</v>
      </c>
      <c r="K54" s="79" t="e">
        <f t="shared" si="3"/>
        <v>#N/A</v>
      </c>
      <c r="L54" s="79" t="str">
        <f t="shared" si="4"/>
        <v>C6</v>
      </c>
      <c r="M54" s="79" t="str">
        <f t="shared" si="5"/>
        <v>Credit</v>
      </c>
      <c r="O54" s="77" t="str">
        <f>Data!B53</f>
        <v>Shuabu Ayuba</v>
      </c>
      <c r="P54" s="80"/>
      <c r="Q54" s="80"/>
      <c r="R54" s="80"/>
      <c r="S54" s="80"/>
      <c r="T54" s="80">
        <f t="shared" si="6"/>
        <v>0</v>
      </c>
      <c r="U54" s="80"/>
      <c r="V54" s="80">
        <f t="shared" si="7"/>
        <v>0</v>
      </c>
      <c r="W54" s="80" t="str">
        <f t="shared" si="8"/>
        <v/>
      </c>
      <c r="X54" s="80" t="str">
        <f t="shared" si="126"/>
        <v/>
      </c>
      <c r="Y54" s="80" t="str">
        <f t="shared" si="10"/>
        <v/>
      </c>
      <c r="AA54" s="77" t="str">
        <f>Data!B53</f>
        <v>Shuabu Ayuba</v>
      </c>
      <c r="AB54" s="88">
        <v>6</v>
      </c>
      <c r="AC54" s="88">
        <v>4</v>
      </c>
      <c r="AD54" s="88">
        <v>8</v>
      </c>
      <c r="AE54" s="88">
        <v>6</v>
      </c>
      <c r="AF54" s="88">
        <f t="shared" si="11"/>
        <v>24</v>
      </c>
      <c r="AG54" s="88">
        <v>27</v>
      </c>
      <c r="AH54" s="88">
        <f t="shared" si="12"/>
        <v>51</v>
      </c>
      <c r="AI54" s="82" t="e">
        <f t="shared" si="13"/>
        <v>#N/A</v>
      </c>
      <c r="AJ54" s="82" t="str">
        <f t="shared" si="124"/>
        <v>C</v>
      </c>
      <c r="AK54" s="82" t="str">
        <f t="shared" si="15"/>
        <v>Credit</v>
      </c>
      <c r="AL54" s="11">
        <v>52</v>
      </c>
      <c r="AM54" s="77" t="str">
        <f>Data!B53</f>
        <v>Shuabu Ayuba</v>
      </c>
      <c r="AN54" s="88">
        <v>6</v>
      </c>
      <c r="AO54" s="88">
        <v>4</v>
      </c>
      <c r="AP54" s="88">
        <v>8</v>
      </c>
      <c r="AQ54" s="88">
        <v>6</v>
      </c>
      <c r="AR54" s="88">
        <f t="shared" si="16"/>
        <v>24</v>
      </c>
      <c r="AS54" s="88">
        <v>27</v>
      </c>
      <c r="AT54" s="88">
        <f t="shared" si="17"/>
        <v>51</v>
      </c>
      <c r="AU54" s="83" t="e">
        <f t="shared" si="18"/>
        <v>#N/A</v>
      </c>
      <c r="AV54" s="83" t="str">
        <f t="shared" si="125"/>
        <v>C</v>
      </c>
      <c r="AW54" s="83" t="str">
        <f t="shared" si="20"/>
        <v>Credit</v>
      </c>
      <c r="AX54" s="11">
        <v>52</v>
      </c>
      <c r="AY54" s="77" t="str">
        <f>Data!B53</f>
        <v>Shuabu Ayuba</v>
      </c>
      <c r="AZ54" s="88">
        <v>6</v>
      </c>
      <c r="BA54" s="88">
        <v>4</v>
      </c>
      <c r="BB54" s="88">
        <v>8</v>
      </c>
      <c r="BC54" s="88">
        <v>6</v>
      </c>
      <c r="BD54" s="88">
        <f t="shared" si="21"/>
        <v>24</v>
      </c>
      <c r="BE54" s="88">
        <v>27</v>
      </c>
      <c r="BF54" s="88">
        <f t="shared" si="22"/>
        <v>51</v>
      </c>
      <c r="BG54" s="85" t="e">
        <f t="shared" si="23"/>
        <v>#N/A</v>
      </c>
      <c r="BH54" s="85" t="str">
        <f t="shared" si="24"/>
        <v>C6</v>
      </c>
      <c r="BI54" s="85" t="str">
        <f t="shared" si="25"/>
        <v>Credit</v>
      </c>
      <c r="BJ54" s="36">
        <v>52</v>
      </c>
      <c r="BK54" s="77" t="str">
        <f>Data!B53</f>
        <v>Shuabu Ayuba</v>
      </c>
      <c r="BL54" s="88">
        <v>6</v>
      </c>
      <c r="BM54" s="88">
        <v>4</v>
      </c>
      <c r="BN54" s="88">
        <v>8</v>
      </c>
      <c r="BO54" s="88">
        <v>6</v>
      </c>
      <c r="BP54" s="88">
        <f t="shared" si="26"/>
        <v>24</v>
      </c>
      <c r="BQ54" s="88">
        <v>27</v>
      </c>
      <c r="BR54" s="88">
        <f t="shared" si="27"/>
        <v>51</v>
      </c>
      <c r="BS54" s="86" t="e">
        <f t="shared" si="28"/>
        <v>#N/A</v>
      </c>
      <c r="BT54" s="86" t="str">
        <f t="shared" si="127"/>
        <v>C6</v>
      </c>
      <c r="BV54">
        <v>52</v>
      </c>
      <c r="BW54" s="77" t="str">
        <f>Data!B53</f>
        <v>Shuabu Ayuba</v>
      </c>
      <c r="BX54" s="88">
        <v>6</v>
      </c>
      <c r="BY54" s="88">
        <v>4</v>
      </c>
      <c r="BZ54" s="88">
        <v>8</v>
      </c>
      <c r="CA54" s="88">
        <v>6</v>
      </c>
      <c r="CB54" s="88">
        <f t="shared" si="31"/>
        <v>24</v>
      </c>
      <c r="CC54" s="88">
        <v>27</v>
      </c>
      <c r="CD54" s="88">
        <f t="shared" si="32"/>
        <v>51</v>
      </c>
      <c r="CE54" s="88" t="e">
        <f t="shared" si="33"/>
        <v>#N/A</v>
      </c>
      <c r="CF54" s="88" t="str">
        <f t="shared" si="34"/>
        <v>C6</v>
      </c>
      <c r="CG54" s="88" t="str">
        <f t="shared" si="35"/>
        <v>Credit</v>
      </c>
      <c r="CH54">
        <v>52</v>
      </c>
      <c r="CI54" s="77" t="str">
        <f>Data!B53</f>
        <v>Shuabu Ayuba</v>
      </c>
      <c r="CJ54" s="89"/>
      <c r="CK54" s="89"/>
      <c r="CL54" s="89"/>
      <c r="CM54" s="89"/>
      <c r="CN54" s="89">
        <f t="shared" si="36"/>
        <v>0</v>
      </c>
      <c r="CO54" s="89"/>
      <c r="CP54" s="89">
        <f t="shared" si="37"/>
        <v>0</v>
      </c>
      <c r="CQ54" s="89" t="str">
        <f t="shared" si="38"/>
        <v/>
      </c>
      <c r="CR54" s="89" t="str">
        <f t="shared" si="39"/>
        <v/>
      </c>
      <c r="CS54" s="89" t="str">
        <f t="shared" si="40"/>
        <v/>
      </c>
      <c r="DH54">
        <v>9</v>
      </c>
      <c r="DI54">
        <v>5</v>
      </c>
      <c r="DJ54">
        <v>2</v>
      </c>
      <c r="DK54">
        <v>5</v>
      </c>
      <c r="DM54">
        <v>28</v>
      </c>
      <c r="HL54" s="121"/>
      <c r="HM54" s="121"/>
      <c r="HN54" s="121"/>
      <c r="HO54" s="121"/>
      <c r="HQ54" s="121"/>
    </row>
    <row r="55" spans="1:309">
      <c r="B55" s="186">
        <v>53</v>
      </c>
      <c r="C55" s="77" t="str">
        <f>Data!B54</f>
        <v>Mohammed yakubu Abbagana</v>
      </c>
      <c r="D55" s="88">
        <v>2</v>
      </c>
      <c r="E55" s="88">
        <v>2</v>
      </c>
      <c r="F55" s="88">
        <v>6</v>
      </c>
      <c r="G55" s="88">
        <v>6</v>
      </c>
      <c r="H55" s="88">
        <f t="shared" si="1"/>
        <v>16</v>
      </c>
      <c r="I55" s="88">
        <v>21</v>
      </c>
      <c r="J55" s="88">
        <f t="shared" si="2"/>
        <v>37</v>
      </c>
      <c r="K55" s="79">
        <f t="shared" si="3"/>
        <v>48</v>
      </c>
      <c r="L55" s="79" t="str">
        <f t="shared" si="4"/>
        <v>F</v>
      </c>
      <c r="M55" s="79" t="str">
        <f t="shared" si="5"/>
        <v>Fail</v>
      </c>
      <c r="O55" s="77" t="str">
        <f>Data!B54</f>
        <v>Mohammed yakubu Abbagana</v>
      </c>
      <c r="P55" s="80"/>
      <c r="Q55" s="80"/>
      <c r="R55" s="80"/>
      <c r="S55" s="80"/>
      <c r="T55" s="80">
        <f t="shared" si="6"/>
        <v>0</v>
      </c>
      <c r="U55" s="80"/>
      <c r="V55" s="80">
        <f t="shared" si="7"/>
        <v>0</v>
      </c>
      <c r="W55" s="80" t="str">
        <f t="shared" si="8"/>
        <v/>
      </c>
      <c r="X55" s="80" t="str">
        <f t="shared" si="126"/>
        <v/>
      </c>
      <c r="Y55" s="80" t="str">
        <f t="shared" si="10"/>
        <v/>
      </c>
      <c r="AA55" s="77" t="str">
        <f>Data!B54</f>
        <v>Mohammed yakubu Abbagana</v>
      </c>
      <c r="AB55" s="88">
        <v>2</v>
      </c>
      <c r="AC55" s="88">
        <v>2</v>
      </c>
      <c r="AD55" s="88">
        <v>6</v>
      </c>
      <c r="AE55" s="88">
        <v>6</v>
      </c>
      <c r="AF55" s="88">
        <f t="shared" si="11"/>
        <v>16</v>
      </c>
      <c r="AG55" s="88">
        <v>21</v>
      </c>
      <c r="AH55" s="88">
        <f t="shared" si="12"/>
        <v>37</v>
      </c>
      <c r="AI55" s="82">
        <f t="shared" si="13"/>
        <v>48</v>
      </c>
      <c r="AJ55" s="82" t="str">
        <f t="shared" si="124"/>
        <v>F</v>
      </c>
      <c r="AK55" s="82" t="str">
        <f t="shared" si="15"/>
        <v>Fail</v>
      </c>
      <c r="AL55" s="11">
        <v>53</v>
      </c>
      <c r="AM55" s="77" t="str">
        <f>Data!B54</f>
        <v>Mohammed yakubu Abbagana</v>
      </c>
      <c r="AN55" s="88">
        <v>2</v>
      </c>
      <c r="AO55" s="88">
        <v>2</v>
      </c>
      <c r="AP55" s="88">
        <v>6</v>
      </c>
      <c r="AQ55" s="88">
        <v>6</v>
      </c>
      <c r="AR55" s="88">
        <f t="shared" si="16"/>
        <v>16</v>
      </c>
      <c r="AS55" s="88">
        <v>21</v>
      </c>
      <c r="AT55" s="88">
        <f t="shared" si="17"/>
        <v>37</v>
      </c>
      <c r="AU55" s="83">
        <f t="shared" si="18"/>
        <v>48</v>
      </c>
      <c r="AV55" s="83" t="str">
        <f t="shared" si="125"/>
        <v>F</v>
      </c>
      <c r="AW55" s="83" t="str">
        <f t="shared" si="20"/>
        <v>Fail</v>
      </c>
      <c r="AX55" s="11">
        <v>53</v>
      </c>
      <c r="AY55" s="77" t="str">
        <f>Data!B54</f>
        <v>Mohammed yakubu Abbagana</v>
      </c>
      <c r="AZ55" s="88">
        <v>2</v>
      </c>
      <c r="BA55" s="88">
        <v>2</v>
      </c>
      <c r="BB55" s="88">
        <v>6</v>
      </c>
      <c r="BC55" s="88">
        <v>6</v>
      </c>
      <c r="BD55" s="88">
        <f t="shared" si="21"/>
        <v>16</v>
      </c>
      <c r="BE55" s="88">
        <v>21</v>
      </c>
      <c r="BF55" s="88">
        <f t="shared" si="22"/>
        <v>37</v>
      </c>
      <c r="BG55" s="85">
        <f t="shared" si="23"/>
        <v>48</v>
      </c>
      <c r="BH55" s="85" t="str">
        <f t="shared" si="24"/>
        <v>F</v>
      </c>
      <c r="BI55" s="85" t="str">
        <f t="shared" si="25"/>
        <v>Fail</v>
      </c>
      <c r="BJ55" s="36">
        <v>53</v>
      </c>
      <c r="BK55" s="77" t="str">
        <f>Data!B54</f>
        <v>Mohammed yakubu Abbagana</v>
      </c>
      <c r="BL55" s="88">
        <v>2</v>
      </c>
      <c r="BM55" s="88">
        <v>2</v>
      </c>
      <c r="BN55" s="88">
        <v>6</v>
      </c>
      <c r="BO55" s="88">
        <v>6</v>
      </c>
      <c r="BP55" s="88">
        <f t="shared" si="26"/>
        <v>16</v>
      </c>
      <c r="BQ55" s="88">
        <v>21</v>
      </c>
      <c r="BR55" s="88">
        <f t="shared" si="27"/>
        <v>37</v>
      </c>
      <c r="BS55" s="86">
        <f t="shared" si="28"/>
        <v>48</v>
      </c>
      <c r="BT55" s="86" t="str">
        <f t="shared" si="127"/>
        <v>F</v>
      </c>
      <c r="BV55">
        <v>53</v>
      </c>
      <c r="BW55" s="77" t="str">
        <f>Data!B54</f>
        <v>Mohammed yakubu Abbagana</v>
      </c>
      <c r="BX55" s="88">
        <v>2</v>
      </c>
      <c r="BY55" s="88">
        <v>2</v>
      </c>
      <c r="BZ55" s="88">
        <v>6</v>
      </c>
      <c r="CA55" s="88">
        <v>6</v>
      </c>
      <c r="CB55" s="88">
        <f t="shared" si="31"/>
        <v>16</v>
      </c>
      <c r="CC55" s="88">
        <v>21</v>
      </c>
      <c r="CD55" s="88">
        <f t="shared" si="32"/>
        <v>37</v>
      </c>
      <c r="CE55" s="88">
        <f t="shared" si="33"/>
        <v>48</v>
      </c>
      <c r="CF55" s="88" t="str">
        <f t="shared" si="34"/>
        <v>F</v>
      </c>
      <c r="CG55" s="88" t="str">
        <f t="shared" si="35"/>
        <v>Fail</v>
      </c>
      <c r="CH55">
        <v>53</v>
      </c>
      <c r="CI55" s="77" t="str">
        <f>Data!B54</f>
        <v>Mohammed yakubu Abbagana</v>
      </c>
      <c r="CJ55" s="89"/>
      <c r="CK55" s="89"/>
      <c r="CL55" s="89"/>
      <c r="CM55" s="89"/>
      <c r="CN55" s="89">
        <f t="shared" si="36"/>
        <v>0</v>
      </c>
      <c r="CO55" s="89"/>
      <c r="CP55" s="89">
        <f t="shared" si="37"/>
        <v>0</v>
      </c>
      <c r="CQ55" s="89" t="str">
        <f t="shared" si="38"/>
        <v/>
      </c>
      <c r="CR55" s="89" t="str">
        <f t="shared" si="39"/>
        <v/>
      </c>
      <c r="CS55" s="89" t="str">
        <f t="shared" si="40"/>
        <v/>
      </c>
      <c r="HL55" s="121"/>
      <c r="HM55" s="121"/>
      <c r="HN55" s="121"/>
      <c r="HO55" s="121"/>
      <c r="HQ55" s="121"/>
    </row>
    <row r="56" spans="1:309">
      <c r="B56" s="186">
        <v>54</v>
      </c>
      <c r="C56" s="77">
        <f>Data!B55</f>
        <v>0</v>
      </c>
      <c r="D56" s="79"/>
      <c r="E56" s="79"/>
      <c r="F56" s="79"/>
      <c r="G56" s="79"/>
      <c r="H56" s="79">
        <f t="shared" ref="H56:H58" si="128">SUM(D56:G56)</f>
        <v>0</v>
      </c>
      <c r="I56" s="79"/>
      <c r="J56" s="79">
        <f t="shared" ref="J56:J58" si="129">H56+I56</f>
        <v>0</v>
      </c>
      <c r="K56" s="79" t="str">
        <f t="shared" si="3"/>
        <v/>
      </c>
      <c r="L56" s="79" t="str">
        <f t="shared" si="4"/>
        <v/>
      </c>
      <c r="M56" s="79" t="str">
        <f t="shared" si="5"/>
        <v/>
      </c>
      <c r="O56" s="77">
        <f>Data!B55</f>
        <v>0</v>
      </c>
      <c r="P56" s="80"/>
      <c r="Q56" s="80"/>
      <c r="R56" s="80"/>
      <c r="S56" s="80"/>
      <c r="T56" s="80">
        <f t="shared" si="6"/>
        <v>0</v>
      </c>
      <c r="U56" s="80"/>
      <c r="V56" s="80">
        <f t="shared" si="7"/>
        <v>0</v>
      </c>
      <c r="W56" s="80" t="str">
        <f t="shared" si="8"/>
        <v/>
      </c>
      <c r="X56" s="80" t="str">
        <f t="shared" si="126"/>
        <v/>
      </c>
      <c r="Y56" s="80" t="str">
        <f t="shared" si="10"/>
        <v/>
      </c>
      <c r="AA56" s="77">
        <f>Data!B55</f>
        <v>0</v>
      </c>
      <c r="AB56" s="82"/>
      <c r="AC56" s="82"/>
      <c r="AD56" s="82"/>
      <c r="AE56" s="82"/>
      <c r="AF56" s="82">
        <f t="shared" ref="AF56:AF59" si="130">SUM(AB56:AE56)</f>
        <v>0</v>
      </c>
      <c r="AG56" s="82"/>
      <c r="AH56" s="82">
        <f t="shared" ref="AH56:AH59" si="131">AF56+AG56</f>
        <v>0</v>
      </c>
      <c r="AI56" s="82" t="str">
        <f t="shared" si="13"/>
        <v/>
      </c>
      <c r="AJ56" s="82" t="str">
        <f t="shared" si="124"/>
        <v/>
      </c>
      <c r="AK56" s="82" t="str">
        <f t="shared" si="15"/>
        <v/>
      </c>
      <c r="AL56" s="11">
        <v>54</v>
      </c>
      <c r="AM56" s="77">
        <f>Data!B55</f>
        <v>0</v>
      </c>
      <c r="AN56" s="83"/>
      <c r="AO56" s="83"/>
      <c r="AP56" s="83"/>
      <c r="AQ56" s="83"/>
      <c r="AR56" s="83">
        <f t="shared" ref="AR56:AR59" si="132">SUM(AN56:AQ56)</f>
        <v>0</v>
      </c>
      <c r="AS56" s="83"/>
      <c r="AT56" s="83">
        <f t="shared" ref="AT56:AT59" si="133">AR56+AS56</f>
        <v>0</v>
      </c>
      <c r="AU56" s="83" t="str">
        <f t="shared" si="18"/>
        <v/>
      </c>
      <c r="AV56" s="83" t="str">
        <f t="shared" si="125"/>
        <v/>
      </c>
      <c r="AW56" s="83" t="str">
        <f t="shared" si="20"/>
        <v/>
      </c>
      <c r="AX56" s="11">
        <v>54</v>
      </c>
      <c r="AY56" s="77">
        <f>Data!B55</f>
        <v>0</v>
      </c>
      <c r="AZ56" s="85"/>
      <c r="BA56" s="85"/>
      <c r="BB56" s="85"/>
      <c r="BC56" s="85"/>
      <c r="BD56" s="85">
        <f t="shared" ref="BD56:BD60" si="134">SUM(AZ56:BC56)</f>
        <v>0</v>
      </c>
      <c r="BE56" s="85"/>
      <c r="BF56" s="85">
        <f t="shared" ref="BF56:BF60" si="135">BD56+BE56</f>
        <v>0</v>
      </c>
      <c r="BG56" s="85" t="str">
        <f t="shared" si="23"/>
        <v/>
      </c>
      <c r="BH56" s="85" t="str">
        <f t="shared" si="24"/>
        <v/>
      </c>
      <c r="BI56" s="85" t="str">
        <f t="shared" si="25"/>
        <v/>
      </c>
      <c r="BJ56" s="36">
        <v>54</v>
      </c>
      <c r="BK56" s="77">
        <f>Data!B55</f>
        <v>0</v>
      </c>
      <c r="BL56" s="86"/>
      <c r="BM56" s="86"/>
      <c r="BN56" s="86"/>
      <c r="BO56" s="86"/>
      <c r="BP56" s="86">
        <f t="shared" ref="BP56:BP60" si="136">SUM(BL56:BO56)</f>
        <v>0</v>
      </c>
      <c r="BQ56" s="86"/>
      <c r="BR56" s="86">
        <f t="shared" ref="BR56:BR60" si="137">BP56+BQ56</f>
        <v>0</v>
      </c>
      <c r="BS56" s="86" t="str">
        <f t="shared" si="28"/>
        <v/>
      </c>
      <c r="BT56" s="86" t="str">
        <f t="shared" si="127"/>
        <v/>
      </c>
      <c r="BV56">
        <v>54</v>
      </c>
      <c r="BW56" s="77">
        <f>Data!B55</f>
        <v>0</v>
      </c>
      <c r="BX56" s="88"/>
      <c r="BY56" s="88"/>
      <c r="BZ56" s="88"/>
      <c r="CA56" s="88"/>
      <c r="CB56" s="88">
        <f t="shared" si="31"/>
        <v>0</v>
      </c>
      <c r="CC56" s="88"/>
      <c r="CD56" s="88">
        <f t="shared" si="32"/>
        <v>0</v>
      </c>
      <c r="CE56" s="88" t="str">
        <f t="shared" si="33"/>
        <v/>
      </c>
      <c r="CF56" s="88" t="str">
        <f t="shared" si="34"/>
        <v/>
      </c>
      <c r="CG56" s="88" t="str">
        <f t="shared" si="35"/>
        <v/>
      </c>
      <c r="CH56">
        <v>54</v>
      </c>
      <c r="CI56" s="77">
        <f>Data!B55</f>
        <v>0</v>
      </c>
      <c r="CJ56" s="89"/>
      <c r="CK56" s="89"/>
      <c r="CL56" s="89"/>
      <c r="CM56" s="89"/>
      <c r="CN56" s="89">
        <f t="shared" si="36"/>
        <v>0</v>
      </c>
      <c r="CO56" s="89"/>
      <c r="CP56" s="89">
        <f t="shared" si="37"/>
        <v>0</v>
      </c>
      <c r="CQ56" s="89" t="str">
        <f t="shared" si="38"/>
        <v/>
      </c>
      <c r="CR56" s="89" t="str">
        <f t="shared" si="39"/>
        <v/>
      </c>
      <c r="CS56" s="89" t="str">
        <f t="shared" si="40"/>
        <v/>
      </c>
      <c r="HL56" s="121"/>
      <c r="HM56" s="121"/>
      <c r="HN56" s="121"/>
      <c r="HO56" s="121"/>
      <c r="HQ56" s="121"/>
    </row>
    <row r="57" spans="1:309">
      <c r="B57" s="186">
        <v>55</v>
      </c>
      <c r="C57" s="77">
        <f>Data!B57</f>
        <v>0</v>
      </c>
      <c r="D57" s="79"/>
      <c r="E57" s="79"/>
      <c r="F57" s="79"/>
      <c r="G57" s="79"/>
      <c r="H57" s="79">
        <f t="shared" si="128"/>
        <v>0</v>
      </c>
      <c r="I57" s="79"/>
      <c r="J57" s="79">
        <f t="shared" si="129"/>
        <v>0</v>
      </c>
      <c r="K57" s="79" t="str">
        <f t="shared" si="3"/>
        <v/>
      </c>
      <c r="L57" s="79" t="str">
        <f t="shared" si="4"/>
        <v/>
      </c>
      <c r="M57" s="79" t="str">
        <f t="shared" si="5"/>
        <v/>
      </c>
      <c r="O57" s="77">
        <f>Data!B57</f>
        <v>0</v>
      </c>
      <c r="P57" s="80"/>
      <c r="Q57" s="80"/>
      <c r="R57" s="80"/>
      <c r="S57" s="80"/>
      <c r="T57" s="80">
        <f t="shared" si="6"/>
        <v>0</v>
      </c>
      <c r="U57" s="80"/>
      <c r="V57" s="80">
        <f t="shared" si="7"/>
        <v>0</v>
      </c>
      <c r="W57" s="80" t="str">
        <f t="shared" si="8"/>
        <v/>
      </c>
      <c r="X57" s="80" t="str">
        <f t="shared" si="126"/>
        <v/>
      </c>
      <c r="Y57" s="80" t="str">
        <f t="shared" si="10"/>
        <v/>
      </c>
      <c r="AA57" s="77">
        <f>Data!B57</f>
        <v>0</v>
      </c>
      <c r="AB57" s="82"/>
      <c r="AC57" s="82"/>
      <c r="AD57" s="82"/>
      <c r="AE57" s="82"/>
      <c r="AF57" s="82">
        <f t="shared" si="130"/>
        <v>0</v>
      </c>
      <c r="AG57" s="82"/>
      <c r="AH57" s="82">
        <f t="shared" si="131"/>
        <v>0</v>
      </c>
      <c r="AI57" s="82" t="str">
        <f t="shared" si="13"/>
        <v/>
      </c>
      <c r="AJ57" s="82" t="str">
        <f t="shared" si="124"/>
        <v/>
      </c>
      <c r="AK57" s="82" t="str">
        <f t="shared" si="15"/>
        <v/>
      </c>
      <c r="AL57" s="11">
        <v>55</v>
      </c>
      <c r="AM57" s="77">
        <f>Data!B57</f>
        <v>0</v>
      </c>
      <c r="AN57" s="83"/>
      <c r="AO57" s="83"/>
      <c r="AP57" s="83"/>
      <c r="AQ57" s="83"/>
      <c r="AR57" s="83">
        <f t="shared" si="132"/>
        <v>0</v>
      </c>
      <c r="AS57" s="83"/>
      <c r="AT57" s="83">
        <f t="shared" si="133"/>
        <v>0</v>
      </c>
      <c r="AU57" s="83" t="str">
        <f t="shared" si="18"/>
        <v/>
      </c>
      <c r="AV57" s="83" t="str">
        <f t="shared" si="125"/>
        <v/>
      </c>
      <c r="AW57" s="83" t="str">
        <f t="shared" si="20"/>
        <v/>
      </c>
      <c r="AX57" s="11">
        <v>55</v>
      </c>
      <c r="AY57" s="77">
        <f>Data!B57</f>
        <v>0</v>
      </c>
      <c r="AZ57" s="85"/>
      <c r="BA57" s="85"/>
      <c r="BB57" s="85"/>
      <c r="BC57" s="85"/>
      <c r="BD57" s="85">
        <f t="shared" si="134"/>
        <v>0</v>
      </c>
      <c r="BE57" s="85"/>
      <c r="BF57" s="85">
        <f t="shared" si="135"/>
        <v>0</v>
      </c>
      <c r="BG57" s="85" t="str">
        <f t="shared" si="23"/>
        <v/>
      </c>
      <c r="BH57" s="85" t="str">
        <f t="shared" si="24"/>
        <v/>
      </c>
      <c r="BI57" s="85" t="str">
        <f t="shared" si="25"/>
        <v/>
      </c>
      <c r="BJ57" s="36">
        <v>55</v>
      </c>
      <c r="BK57" s="77">
        <f>Data!B57</f>
        <v>0</v>
      </c>
      <c r="BL57" s="86"/>
      <c r="BM57" s="86"/>
      <c r="BN57" s="86"/>
      <c r="BO57" s="86"/>
      <c r="BP57" s="86">
        <f t="shared" si="136"/>
        <v>0</v>
      </c>
      <c r="BQ57" s="86"/>
      <c r="BR57" s="86">
        <f t="shared" si="137"/>
        <v>0</v>
      </c>
      <c r="BS57" s="86" t="str">
        <f t="shared" si="28"/>
        <v/>
      </c>
      <c r="BT57" s="86" t="str">
        <f t="shared" si="127"/>
        <v/>
      </c>
      <c r="BV57">
        <v>55</v>
      </c>
      <c r="BW57" s="77">
        <f>Data!B57</f>
        <v>0</v>
      </c>
      <c r="BX57" s="88"/>
      <c r="BY57" s="88"/>
      <c r="BZ57" s="88"/>
      <c r="CA57" s="88"/>
      <c r="CB57" s="88">
        <f t="shared" si="31"/>
        <v>0</v>
      </c>
      <c r="CC57" s="88"/>
      <c r="CD57" s="88">
        <f t="shared" si="32"/>
        <v>0</v>
      </c>
      <c r="CE57" s="88" t="str">
        <f t="shared" si="33"/>
        <v/>
      </c>
      <c r="CF57" s="88" t="str">
        <f t="shared" si="34"/>
        <v/>
      </c>
      <c r="CG57" s="88" t="str">
        <f t="shared" si="35"/>
        <v/>
      </c>
      <c r="CH57">
        <v>55</v>
      </c>
      <c r="CI57" s="77">
        <f>Data!B57</f>
        <v>0</v>
      </c>
      <c r="CJ57" s="89"/>
      <c r="CK57" s="89"/>
      <c r="CL57" s="89"/>
      <c r="CM57" s="89"/>
      <c r="CN57" s="89">
        <f t="shared" si="36"/>
        <v>0</v>
      </c>
      <c r="CO57" s="89"/>
      <c r="CP57" s="89">
        <f t="shared" si="37"/>
        <v>0</v>
      </c>
      <c r="CQ57" s="89" t="str">
        <f t="shared" si="38"/>
        <v/>
      </c>
      <c r="CR57" s="89" t="str">
        <f t="shared" si="39"/>
        <v/>
      </c>
      <c r="CS57" s="89" t="str">
        <f t="shared" si="40"/>
        <v/>
      </c>
      <c r="HL57" s="121"/>
      <c r="HM57" s="121"/>
      <c r="HN57" s="121"/>
      <c r="HO57" s="121"/>
    </row>
    <row r="58" spans="1:309">
      <c r="E58" s="79"/>
      <c r="G58" s="79"/>
      <c r="H58" s="79">
        <f t="shared" si="128"/>
        <v>0</v>
      </c>
      <c r="J58" s="79">
        <f t="shared" si="129"/>
        <v>0</v>
      </c>
      <c r="K58" s="79" t="str">
        <f t="shared" si="3"/>
        <v/>
      </c>
      <c r="L58" s="79" t="str">
        <f t="shared" si="4"/>
        <v/>
      </c>
      <c r="O58" s="77">
        <f>Data!B58</f>
        <v>0</v>
      </c>
      <c r="Q58" s="80"/>
      <c r="T58" s="80">
        <f t="shared" si="6"/>
        <v>0</v>
      </c>
      <c r="U58" s="80"/>
      <c r="W58" s="80" t="str">
        <f t="shared" si="8"/>
        <v/>
      </c>
      <c r="X58" s="80" t="str">
        <f t="shared" si="126"/>
        <v/>
      </c>
      <c r="Y58" s="80" t="str">
        <f t="shared" si="10"/>
        <v/>
      </c>
      <c r="AA58" s="77">
        <f>Data!B58</f>
        <v>0</v>
      </c>
      <c r="AB58" s="82"/>
      <c r="AC58" s="82"/>
      <c r="AD58" s="82"/>
      <c r="AE58" s="82"/>
      <c r="AF58" s="82">
        <f t="shared" si="130"/>
        <v>0</v>
      </c>
      <c r="AG58" s="82"/>
      <c r="AH58" s="82">
        <f t="shared" si="131"/>
        <v>0</v>
      </c>
      <c r="AI58" s="82" t="str">
        <f t="shared" si="13"/>
        <v/>
      </c>
      <c r="AJ58" s="82" t="str">
        <f t="shared" si="124"/>
        <v/>
      </c>
      <c r="AK58" s="82" t="str">
        <f t="shared" si="15"/>
        <v/>
      </c>
      <c r="AL58" s="11">
        <v>56</v>
      </c>
      <c r="AM58" s="77">
        <f>Data!B58</f>
        <v>0</v>
      </c>
      <c r="AN58" s="83"/>
      <c r="AO58" s="83"/>
      <c r="AP58" s="83"/>
      <c r="AQ58" s="83"/>
      <c r="AR58" s="83">
        <f t="shared" si="132"/>
        <v>0</v>
      </c>
      <c r="AS58" s="83"/>
      <c r="AT58" s="83">
        <f t="shared" si="133"/>
        <v>0</v>
      </c>
      <c r="AU58" s="83" t="str">
        <f t="shared" si="18"/>
        <v/>
      </c>
      <c r="AV58" s="83" t="str">
        <f t="shared" si="125"/>
        <v/>
      </c>
      <c r="AW58" s="83" t="str">
        <f t="shared" si="20"/>
        <v/>
      </c>
      <c r="AX58" s="11">
        <v>56</v>
      </c>
      <c r="AY58" s="77">
        <f>Data!B58</f>
        <v>0</v>
      </c>
      <c r="AZ58" s="85"/>
      <c r="BA58" s="85"/>
      <c r="BB58" s="85"/>
      <c r="BC58" s="85"/>
      <c r="BD58" s="85">
        <f t="shared" si="134"/>
        <v>0</v>
      </c>
      <c r="BE58" s="85"/>
      <c r="BF58" s="85">
        <f t="shared" si="135"/>
        <v>0</v>
      </c>
      <c r="BG58" s="85" t="str">
        <f t="shared" si="23"/>
        <v/>
      </c>
      <c r="BH58" s="85" t="str">
        <f t="shared" si="24"/>
        <v/>
      </c>
      <c r="BI58" s="85" t="str">
        <f t="shared" si="25"/>
        <v/>
      </c>
      <c r="BJ58" s="36">
        <v>56</v>
      </c>
      <c r="BK58" s="77">
        <f>Data!B58</f>
        <v>0</v>
      </c>
      <c r="BL58" s="86"/>
      <c r="BM58" s="86"/>
      <c r="BN58" s="86"/>
      <c r="BO58" s="86"/>
      <c r="BP58" s="86">
        <f t="shared" si="136"/>
        <v>0</v>
      </c>
      <c r="BQ58" s="86"/>
      <c r="BR58" s="86">
        <f t="shared" si="137"/>
        <v>0</v>
      </c>
      <c r="BS58" s="86" t="str">
        <f t="shared" si="28"/>
        <v/>
      </c>
      <c r="BT58" s="86" t="str">
        <f t="shared" si="127"/>
        <v/>
      </c>
      <c r="BV58">
        <v>56</v>
      </c>
      <c r="BW58" s="77">
        <f>Data!B58</f>
        <v>0</v>
      </c>
      <c r="BX58" s="88"/>
      <c r="BY58" s="88"/>
      <c r="BZ58" s="88"/>
      <c r="CA58" s="88"/>
      <c r="CB58" s="88">
        <f t="shared" si="31"/>
        <v>0</v>
      </c>
      <c r="CC58" s="88"/>
      <c r="CD58" s="88">
        <f t="shared" si="32"/>
        <v>0</v>
      </c>
      <c r="CE58" s="88" t="str">
        <f t="shared" si="33"/>
        <v/>
      </c>
      <c r="CF58" s="88" t="str">
        <f t="shared" si="34"/>
        <v/>
      </c>
      <c r="CG58" s="88" t="str">
        <f t="shared" si="35"/>
        <v/>
      </c>
      <c r="CH58">
        <v>56</v>
      </c>
      <c r="CI58" s="77">
        <f>Data!B58</f>
        <v>0</v>
      </c>
      <c r="CJ58" s="89"/>
      <c r="CK58" s="89"/>
      <c r="CL58" s="89"/>
      <c r="CM58" s="89"/>
      <c r="CN58" s="89">
        <f t="shared" si="36"/>
        <v>0</v>
      </c>
      <c r="CO58" s="89"/>
      <c r="CP58" s="89">
        <f t="shared" si="37"/>
        <v>0</v>
      </c>
      <c r="CQ58" s="89" t="str">
        <f t="shared" si="38"/>
        <v/>
      </c>
      <c r="CR58" s="89" t="str">
        <f t="shared" si="39"/>
        <v/>
      </c>
      <c r="CS58" s="89" t="str">
        <f t="shared" si="40"/>
        <v/>
      </c>
      <c r="HL58" s="121"/>
      <c r="HM58" s="121"/>
      <c r="HN58" s="121"/>
      <c r="HO58" s="121"/>
    </row>
    <row r="59" spans="1:309">
      <c r="G59" s="79"/>
      <c r="L59" s="79" t="str">
        <f t="shared" si="4"/>
        <v/>
      </c>
      <c r="U59" s="80"/>
      <c r="W59" s="16"/>
      <c r="AA59" s="77">
        <f>Data!B59</f>
        <v>0</v>
      </c>
      <c r="AB59" s="82"/>
      <c r="AC59" s="82"/>
      <c r="AD59" s="82"/>
      <c r="AE59" s="82"/>
      <c r="AF59" s="82">
        <f t="shared" si="130"/>
        <v>0</v>
      </c>
      <c r="AG59" s="82"/>
      <c r="AH59" s="82">
        <f t="shared" si="131"/>
        <v>0</v>
      </c>
      <c r="AI59" s="82" t="str">
        <f t="shared" si="13"/>
        <v/>
      </c>
      <c r="AJ59" s="82" t="str">
        <f t="shared" si="124"/>
        <v/>
      </c>
      <c r="AK59" s="82" t="str">
        <f t="shared" si="15"/>
        <v/>
      </c>
      <c r="AL59" s="11">
        <v>57</v>
      </c>
      <c r="AM59" s="77">
        <f>Data!B59</f>
        <v>0</v>
      </c>
      <c r="AN59" s="83"/>
      <c r="AO59" s="83"/>
      <c r="AP59" s="83"/>
      <c r="AQ59" s="83"/>
      <c r="AR59" s="83">
        <f t="shared" si="132"/>
        <v>0</v>
      </c>
      <c r="AS59" s="83"/>
      <c r="AT59" s="83">
        <f t="shared" si="133"/>
        <v>0</v>
      </c>
      <c r="AU59" s="83" t="str">
        <f t="shared" si="18"/>
        <v/>
      </c>
      <c r="AV59" s="83" t="str">
        <f t="shared" si="125"/>
        <v/>
      </c>
      <c r="AW59" s="83" t="str">
        <f t="shared" si="20"/>
        <v/>
      </c>
      <c r="AX59" s="11">
        <v>57</v>
      </c>
      <c r="AY59" s="77">
        <f>Data!B59</f>
        <v>0</v>
      </c>
      <c r="AZ59" s="85"/>
      <c r="BA59" s="85"/>
      <c r="BB59" s="85"/>
      <c r="BC59" s="85"/>
      <c r="BD59" s="85">
        <f t="shared" si="134"/>
        <v>0</v>
      </c>
      <c r="BE59" s="85"/>
      <c r="BF59" s="85">
        <f t="shared" si="135"/>
        <v>0</v>
      </c>
      <c r="BG59" s="85" t="str">
        <f t="shared" si="23"/>
        <v/>
      </c>
      <c r="BH59" s="85" t="str">
        <f t="shared" si="24"/>
        <v/>
      </c>
      <c r="BI59" s="85" t="str">
        <f t="shared" si="25"/>
        <v/>
      </c>
      <c r="BJ59" s="36">
        <v>57</v>
      </c>
      <c r="BK59" s="77">
        <f>Data!B59</f>
        <v>0</v>
      </c>
      <c r="BL59" s="86"/>
      <c r="BM59" s="86"/>
      <c r="BN59" s="86"/>
      <c r="BO59" s="86"/>
      <c r="BP59" s="86">
        <f t="shared" si="136"/>
        <v>0</v>
      </c>
      <c r="BQ59" s="86"/>
      <c r="BR59" s="86">
        <f t="shared" si="137"/>
        <v>0</v>
      </c>
      <c r="BS59" s="86" t="str">
        <f t="shared" si="28"/>
        <v/>
      </c>
      <c r="BT59" s="86" t="str">
        <f t="shared" si="127"/>
        <v/>
      </c>
      <c r="BV59">
        <v>57</v>
      </c>
      <c r="BW59" s="77">
        <f>Data!B59</f>
        <v>0</v>
      </c>
      <c r="BX59" s="88"/>
      <c r="BY59" s="88"/>
      <c r="BZ59" s="88"/>
      <c r="CA59" s="88"/>
      <c r="CB59" s="88">
        <f t="shared" si="31"/>
        <v>0</v>
      </c>
      <c r="CC59" s="88"/>
      <c r="CD59" s="88">
        <f t="shared" si="32"/>
        <v>0</v>
      </c>
      <c r="CE59" s="88" t="str">
        <f t="shared" si="33"/>
        <v/>
      </c>
      <c r="CF59" s="88" t="str">
        <f t="shared" si="34"/>
        <v/>
      </c>
      <c r="CG59" s="88" t="str">
        <f t="shared" si="35"/>
        <v/>
      </c>
      <c r="CH59">
        <v>57</v>
      </c>
      <c r="CI59" s="77">
        <f>Data!B59</f>
        <v>0</v>
      </c>
      <c r="CJ59" s="89"/>
      <c r="CK59" s="89"/>
      <c r="CL59" s="89"/>
      <c r="CM59" s="89"/>
      <c r="CN59" s="89">
        <f t="shared" si="36"/>
        <v>0</v>
      </c>
      <c r="CO59" s="89"/>
      <c r="CP59" s="89">
        <f t="shared" si="37"/>
        <v>0</v>
      </c>
      <c r="CQ59" s="89" t="str">
        <f t="shared" si="38"/>
        <v/>
      </c>
      <c r="CR59" s="89" t="str">
        <f t="shared" si="39"/>
        <v/>
      </c>
      <c r="CS59" s="89" t="str">
        <f t="shared" si="40"/>
        <v/>
      </c>
      <c r="HL59" s="121"/>
      <c r="HM59" s="121"/>
      <c r="HN59" s="121"/>
      <c r="HO59" s="121"/>
    </row>
    <row r="60" spans="1:309">
      <c r="W60" s="16"/>
      <c r="AC60" s="82"/>
      <c r="AL60" s="11">
        <v>58</v>
      </c>
      <c r="AM60" s="77">
        <f>Data!B60</f>
        <v>0</v>
      </c>
      <c r="AV60" s="83" t="str">
        <f t="shared" si="125"/>
        <v/>
      </c>
      <c r="AX60" s="11">
        <v>58</v>
      </c>
      <c r="AY60" s="77">
        <f>Data!B60</f>
        <v>0</v>
      </c>
      <c r="AZ60" s="85"/>
      <c r="BA60" s="85"/>
      <c r="BD60" s="85">
        <f t="shared" si="134"/>
        <v>0</v>
      </c>
      <c r="BE60" s="85"/>
      <c r="BF60" s="85">
        <f t="shared" si="135"/>
        <v>0</v>
      </c>
      <c r="BG60" s="85" t="str">
        <f t="shared" si="23"/>
        <v/>
      </c>
      <c r="BH60" s="85" t="str">
        <f t="shared" si="24"/>
        <v/>
      </c>
      <c r="BI60" s="85" t="str">
        <f t="shared" si="25"/>
        <v/>
      </c>
      <c r="BJ60" s="36">
        <v>58</v>
      </c>
      <c r="BK60" s="77">
        <f>Data!B60</f>
        <v>0</v>
      </c>
      <c r="BM60" s="86"/>
      <c r="BN60" s="86"/>
      <c r="BO60" s="86"/>
      <c r="BP60" s="86">
        <f t="shared" si="136"/>
        <v>0</v>
      </c>
      <c r="BQ60" s="86"/>
      <c r="BR60" s="86">
        <f t="shared" si="137"/>
        <v>0</v>
      </c>
      <c r="BS60" s="86" t="str">
        <f t="shared" si="28"/>
        <v/>
      </c>
      <c r="BT60" s="86" t="str">
        <f t="shared" si="127"/>
        <v/>
      </c>
      <c r="BV60">
        <v>58</v>
      </c>
      <c r="BW60" s="77">
        <f>Data!B60</f>
        <v>0</v>
      </c>
      <c r="BX60" s="88"/>
      <c r="BY60" s="88"/>
      <c r="BZ60" s="88"/>
      <c r="CA60" s="88"/>
      <c r="CB60" s="88">
        <f t="shared" si="31"/>
        <v>0</v>
      </c>
      <c r="CC60" s="88"/>
      <c r="CD60" s="88">
        <f t="shared" si="32"/>
        <v>0</v>
      </c>
      <c r="CE60" s="88" t="str">
        <f t="shared" si="33"/>
        <v/>
      </c>
      <c r="CF60" s="88" t="str">
        <f t="shared" si="34"/>
        <v/>
      </c>
      <c r="CG60" s="88" t="str">
        <f t="shared" si="35"/>
        <v/>
      </c>
      <c r="CH60">
        <v>58</v>
      </c>
      <c r="CI60" s="77">
        <f>Data!B60</f>
        <v>0</v>
      </c>
      <c r="CJ60" s="89"/>
      <c r="CK60" s="89"/>
      <c r="CL60" s="89"/>
      <c r="CM60" s="89"/>
      <c r="CN60" s="89">
        <f t="shared" si="36"/>
        <v>0</v>
      </c>
      <c r="CO60" s="89"/>
      <c r="CP60" s="89">
        <f t="shared" si="37"/>
        <v>0</v>
      </c>
      <c r="CQ60" s="89" t="str">
        <f t="shared" si="38"/>
        <v/>
      </c>
      <c r="CR60" s="89" t="str">
        <f t="shared" si="39"/>
        <v/>
      </c>
      <c r="CS60" s="89" t="str">
        <f t="shared" si="40"/>
        <v/>
      </c>
      <c r="HL60" s="121"/>
      <c r="HM60" s="121"/>
      <c r="HN60" s="121"/>
      <c r="HO60" s="121"/>
    </row>
    <row r="61" spans="1:309">
      <c r="BE61" s="85"/>
      <c r="CB61" s="88">
        <f t="shared" si="31"/>
        <v>0</v>
      </c>
      <c r="HL61" s="121"/>
      <c r="HM61" s="121"/>
      <c r="HN61" s="121"/>
      <c r="HO61" s="121"/>
    </row>
  </sheetData>
  <sheetProtection formatCells="0" insertColumns="0" insertRows="0" sort="0" autoFilter="0"/>
  <protectedRanges>
    <protectedRange sqref="CV51:CV52" name="Range1"/>
    <protectedRange sqref="CV3:CY43" name="Range1_1"/>
    <protectedRange sqref="DA3:DA43" name="Range2"/>
  </protectedRanges>
  <mergeCells count="26">
    <mergeCell ref="KO1:KU1"/>
    <mergeCell ref="DS1:EC1"/>
    <mergeCell ref="JS1:KC1"/>
    <mergeCell ref="FC1:FM1"/>
    <mergeCell ref="HW1:IG1"/>
    <mergeCell ref="FO1:FY1"/>
    <mergeCell ref="IU1:JE1"/>
    <mergeCell ref="KE1:KJ1"/>
    <mergeCell ref="JG1:JQ1"/>
    <mergeCell ref="GM1:GW1"/>
    <mergeCell ref="HK1:HU1"/>
    <mergeCell ref="II1:IS1"/>
    <mergeCell ref="GY1:HI1"/>
    <mergeCell ref="GA1:GK1"/>
    <mergeCell ref="C1:M1"/>
    <mergeCell ref="CI1:CS1"/>
    <mergeCell ref="BK1:BU1"/>
    <mergeCell ref="AM1:AW1"/>
    <mergeCell ref="EQ1:FA1"/>
    <mergeCell ref="CU1:DE1"/>
    <mergeCell ref="AY1:BI1"/>
    <mergeCell ref="AA1:AK1"/>
    <mergeCell ref="O1:Y1"/>
    <mergeCell ref="EE1:EO1"/>
    <mergeCell ref="DG1:DQ1"/>
    <mergeCell ref="BW1:CG1"/>
  </mergeCells>
  <dataValidations count="1">
    <dataValidation type="list" allowBlank="1" showInputMessage="1" showErrorMessage="1" sqref="A3:B3">
      <formula1>$A$3:$A$45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workbookViewId="0">
      <selection activeCell="A2" sqref="A2:A56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209" t="s">
        <v>183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24" t="s">
        <v>85</v>
      </c>
      <c r="N1" s="124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25</v>
      </c>
    </row>
    <row r="2" spans="1:32">
      <c r="A2" s="185">
        <v>1</v>
      </c>
      <c r="B2" s="2">
        <f>Scoresheet!J3</f>
        <v>58</v>
      </c>
      <c r="C2" s="2">
        <f>Scoresheet!V3</f>
        <v>0</v>
      </c>
      <c r="D2" s="2">
        <f>Scoresheet!AH3</f>
        <v>58</v>
      </c>
      <c r="E2" s="2">
        <f>Scoresheet!AT3</f>
        <v>58</v>
      </c>
      <c r="F2" s="2">
        <f>Scoresheet!BF3</f>
        <v>58</v>
      </c>
      <c r="G2" s="2">
        <f>Scoresheet!BR3</f>
        <v>58</v>
      </c>
      <c r="H2" s="2">
        <f>Scoresheet!CD3</f>
        <v>58</v>
      </c>
      <c r="I2" s="2">
        <f>Scoresheet!CP3</f>
        <v>0</v>
      </c>
      <c r="J2" s="2">
        <f>Scoresheet!DB3</f>
        <v>0</v>
      </c>
      <c r="K2" s="2">
        <f>Scoresheet!DN3</f>
        <v>36</v>
      </c>
      <c r="L2" s="2">
        <f>Scoresheet!DZ3</f>
        <v>0</v>
      </c>
      <c r="M2" s="2">
        <f>Scoresheet!EL3</f>
        <v>0</v>
      </c>
      <c r="N2" s="2">
        <f>Scoresheet!EX3</f>
        <v>0</v>
      </c>
      <c r="O2" s="2">
        <f>Scoresheet!FJ3</f>
        <v>0</v>
      </c>
      <c r="P2" s="2">
        <f>Scoresheet!FV3</f>
        <v>0</v>
      </c>
      <c r="Q2" s="2">
        <f>Scoresheet!GH3</f>
        <v>0</v>
      </c>
      <c r="R2" s="2">
        <f>Scoresheet!GT3</f>
        <v>0</v>
      </c>
      <c r="S2" s="2">
        <f>Scoresheet!HF3</f>
        <v>0</v>
      </c>
      <c r="T2" s="2">
        <f>Scoresheet!HR3</f>
        <v>0</v>
      </c>
      <c r="U2" s="2">
        <f>Scoresheet!ID3</f>
        <v>0</v>
      </c>
      <c r="V2" s="2">
        <f>Scoresheet!IP3</f>
        <v>0</v>
      </c>
      <c r="W2" s="2">
        <f>Scoresheet!JB3</f>
        <v>0</v>
      </c>
      <c r="X2" s="2">
        <f>Scoresheet!JN3</f>
        <v>0</v>
      </c>
      <c r="Y2" s="2">
        <f>Scoresheet!JZ3</f>
        <v>0</v>
      </c>
      <c r="Z2" s="2">
        <f t="shared" ref="Z2:Z33" si="0">COUNTIF(B2:Y2,"&gt;5")</f>
        <v>7</v>
      </c>
      <c r="AA2" s="2" t="str">
        <f>Data!H2</f>
        <v>16th January, 2026</v>
      </c>
      <c r="AB2" s="2" t="b">
        <f>IFERROR(Z2=AA2,"True")</f>
        <v>0</v>
      </c>
      <c r="AC2" s="2">
        <f>Z2*100</f>
        <v>700</v>
      </c>
      <c r="AD2" s="2">
        <f t="shared" ref="AD2:AD33" si="1">SUM(B2:Y2)</f>
        <v>384</v>
      </c>
      <c r="AE2" s="125">
        <f>IF(COUNTIF(B2:Y2,"&gt;=5")&lt;10,SUMIF(B2:Y2,"&gt;=5")/10,SUMIF(B2:Y2,"&gt;=5")/COUNTIF(B2:Y2,"&gt;=5"))</f>
        <v>38.4</v>
      </c>
      <c r="AF2" s="2">
        <f>IFERROR(RANK(AE2,$AE$2:$AE$49),"")</f>
        <v>16</v>
      </c>
    </row>
    <row r="3" spans="1:32">
      <c r="A3" s="185">
        <v>2</v>
      </c>
      <c r="B3" s="2">
        <f>Scoresheet!J4</f>
        <v>46</v>
      </c>
      <c r="C3" s="2">
        <f>Scoresheet!V4</f>
        <v>0</v>
      </c>
      <c r="D3" s="2">
        <f>Scoresheet!AH4</f>
        <v>46</v>
      </c>
      <c r="E3" s="2">
        <f>Scoresheet!AT4</f>
        <v>46</v>
      </c>
      <c r="F3" s="2">
        <f>Scoresheet!BF4</f>
        <v>46</v>
      </c>
      <c r="G3" s="2">
        <f>Scoresheet!BR4</f>
        <v>46</v>
      </c>
      <c r="H3" s="2">
        <f>Scoresheet!CD4</f>
        <v>46</v>
      </c>
      <c r="I3" s="2">
        <f>Scoresheet!CP4</f>
        <v>0</v>
      </c>
      <c r="J3" s="2">
        <f>Scoresheet!DB4</f>
        <v>0</v>
      </c>
      <c r="K3" s="2">
        <f>Scoresheet!DN4</f>
        <v>0</v>
      </c>
      <c r="L3" s="2">
        <f>Scoresheet!DZ4</f>
        <v>0</v>
      </c>
      <c r="M3" s="2">
        <f>Scoresheet!EL4</f>
        <v>0</v>
      </c>
      <c r="N3" s="2">
        <f>Scoresheet!EX4</f>
        <v>0</v>
      </c>
      <c r="O3" s="2">
        <f>Scoresheet!FJ4</f>
        <v>0</v>
      </c>
      <c r="P3" s="2">
        <f>Scoresheet!FV4</f>
        <v>0</v>
      </c>
      <c r="Q3" s="2">
        <f>Scoresheet!GH4</f>
        <v>0</v>
      </c>
      <c r="R3" s="2">
        <f>Scoresheet!GT4</f>
        <v>0</v>
      </c>
      <c r="S3" s="2">
        <f>Scoresheet!HF4</f>
        <v>0</v>
      </c>
      <c r="T3" s="2">
        <f>Scoresheet!HR4</f>
        <v>0</v>
      </c>
      <c r="U3" s="2">
        <f>Scoresheet!ID4</f>
        <v>0</v>
      </c>
      <c r="V3" s="2">
        <f>Scoresheet!IP4</f>
        <v>0</v>
      </c>
      <c r="W3" s="2">
        <f>Scoresheet!JB4</f>
        <v>0</v>
      </c>
      <c r="X3" s="2">
        <f>Scoresheet!JN4</f>
        <v>0</v>
      </c>
      <c r="Y3" s="2">
        <f>Scoresheet!JZ4</f>
        <v>0</v>
      </c>
      <c r="Z3" s="2">
        <f t="shared" si="0"/>
        <v>6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600</v>
      </c>
      <c r="AD3" s="2">
        <f t="shared" si="1"/>
        <v>276</v>
      </c>
      <c r="AE3" s="125">
        <f t="shared" ref="AE3:AE52" si="4">IF(COUNTIF(B3:Y3,"&gt;=5")&lt;10,SUMIF(B3:Y3,"&gt;=5")/10,SUMIF(B3:Y3,"&gt;=5")/COUNTIF(B3:Y3,"&gt;=5"))</f>
        <v>27.6</v>
      </c>
      <c r="AF3" s="2">
        <f t="shared" ref="AF3:AF34" si="5">IFERROR(RANK(AE3,$AE$2:$AE$49),"")</f>
        <v>39</v>
      </c>
    </row>
    <row r="4" spans="1:32">
      <c r="A4" s="185">
        <v>3</v>
      </c>
      <c r="B4" s="2">
        <f>Scoresheet!J5</f>
        <v>41</v>
      </c>
      <c r="C4" s="2">
        <f>Scoresheet!V5</f>
        <v>0</v>
      </c>
      <c r="D4" s="2">
        <f>Scoresheet!AH5</f>
        <v>41</v>
      </c>
      <c r="E4" s="2">
        <f>Scoresheet!AT5</f>
        <v>41</v>
      </c>
      <c r="F4" s="2">
        <f>Scoresheet!BF5</f>
        <v>41</v>
      </c>
      <c r="G4" s="2">
        <f>Scoresheet!BR5</f>
        <v>41</v>
      </c>
      <c r="H4" s="2">
        <f>Scoresheet!CD5</f>
        <v>41</v>
      </c>
      <c r="I4" s="2">
        <f>Scoresheet!CP5</f>
        <v>0</v>
      </c>
      <c r="J4" s="2">
        <f>Scoresheet!DB5</f>
        <v>0</v>
      </c>
      <c r="K4" s="2">
        <f>Scoresheet!DN5</f>
        <v>0</v>
      </c>
      <c r="L4" s="2">
        <f>Scoresheet!DZ5</f>
        <v>0</v>
      </c>
      <c r="M4" s="2">
        <f>Scoresheet!EL5</f>
        <v>0</v>
      </c>
      <c r="N4" s="2">
        <f>Scoresheet!EX5</f>
        <v>0</v>
      </c>
      <c r="O4" s="2">
        <f>Scoresheet!FJ5</f>
        <v>0</v>
      </c>
      <c r="P4" s="2">
        <f>Scoresheet!FV5</f>
        <v>0</v>
      </c>
      <c r="Q4" s="2">
        <f>Scoresheet!GH5</f>
        <v>0</v>
      </c>
      <c r="R4" s="2">
        <f>Scoresheet!GT5</f>
        <v>0</v>
      </c>
      <c r="S4" s="2">
        <f>Scoresheet!HF5</f>
        <v>0</v>
      </c>
      <c r="T4" s="2">
        <f>Scoresheet!HR5</f>
        <v>0</v>
      </c>
      <c r="U4" s="2">
        <f>Scoresheet!ID5</f>
        <v>0</v>
      </c>
      <c r="V4" s="2">
        <f>Scoresheet!IP5</f>
        <v>0</v>
      </c>
      <c r="W4" s="2">
        <f>Scoresheet!JB5</f>
        <v>0</v>
      </c>
      <c r="X4" s="2">
        <f>Scoresheet!JN5</f>
        <v>0</v>
      </c>
      <c r="Y4" s="2">
        <f>Scoresheet!JZ5</f>
        <v>0</v>
      </c>
      <c r="Z4" s="2">
        <f t="shared" si="0"/>
        <v>6</v>
      </c>
      <c r="AA4" s="2" t="str">
        <f>Data!H4</f>
        <v>16th January, 2026</v>
      </c>
      <c r="AB4" s="2" t="b">
        <f t="shared" si="2"/>
        <v>0</v>
      </c>
      <c r="AC4" s="2">
        <f t="shared" si="3"/>
        <v>600</v>
      </c>
      <c r="AD4" s="2">
        <f t="shared" si="1"/>
        <v>246</v>
      </c>
      <c r="AE4" s="125">
        <f t="shared" si="4"/>
        <v>24.6</v>
      </c>
      <c r="AF4" s="2">
        <f t="shared" si="5"/>
        <v>44</v>
      </c>
    </row>
    <row r="5" spans="1:32">
      <c r="A5" s="185">
        <v>4</v>
      </c>
      <c r="B5" s="2">
        <f>Scoresheet!J6</f>
        <v>60</v>
      </c>
      <c r="C5" s="2">
        <f>Scoresheet!V6</f>
        <v>0</v>
      </c>
      <c r="D5" s="2">
        <f>Scoresheet!AH6</f>
        <v>60</v>
      </c>
      <c r="E5" s="2">
        <f>Scoresheet!AT6</f>
        <v>60</v>
      </c>
      <c r="F5" s="2">
        <f>Scoresheet!BF6</f>
        <v>60</v>
      </c>
      <c r="G5" s="2">
        <f>Scoresheet!BR6</f>
        <v>60</v>
      </c>
      <c r="H5" s="2">
        <f>Scoresheet!CD6</f>
        <v>60</v>
      </c>
      <c r="I5" s="2">
        <f>Scoresheet!CP6</f>
        <v>0</v>
      </c>
      <c r="J5" s="2">
        <f>Scoresheet!DB6</f>
        <v>0</v>
      </c>
      <c r="K5" s="2">
        <f>Scoresheet!DN6</f>
        <v>0</v>
      </c>
      <c r="L5" s="2">
        <f>Scoresheet!DZ6</f>
        <v>0</v>
      </c>
      <c r="M5" s="2">
        <f>Scoresheet!EL6</f>
        <v>0</v>
      </c>
      <c r="N5" s="2">
        <f>Scoresheet!EX6</f>
        <v>0</v>
      </c>
      <c r="O5" s="2">
        <f>Scoresheet!FJ6</f>
        <v>0</v>
      </c>
      <c r="P5" s="2">
        <f>Scoresheet!FV6</f>
        <v>0</v>
      </c>
      <c r="Q5" s="2">
        <f>Scoresheet!GH6</f>
        <v>0</v>
      </c>
      <c r="R5" s="2">
        <f>Scoresheet!GT6</f>
        <v>0</v>
      </c>
      <c r="S5" s="2">
        <f>Scoresheet!HF6</f>
        <v>0</v>
      </c>
      <c r="T5" s="2">
        <f>Scoresheet!HR6</f>
        <v>27</v>
      </c>
      <c r="U5" s="2">
        <f>Scoresheet!ID6</f>
        <v>0</v>
      </c>
      <c r="V5" s="2">
        <f>Scoresheet!IP6</f>
        <v>0</v>
      </c>
      <c r="W5" s="2">
        <f>Scoresheet!JB6</f>
        <v>0</v>
      </c>
      <c r="X5" s="2">
        <f>Scoresheet!JN6</f>
        <v>0</v>
      </c>
      <c r="Y5" s="2">
        <f>Scoresheet!JZ6</f>
        <v>0</v>
      </c>
      <c r="Z5" s="2">
        <f t="shared" si="0"/>
        <v>7</v>
      </c>
      <c r="AA5" s="2" t="str">
        <f>Data!H5</f>
        <v>16th January, 2026</v>
      </c>
      <c r="AB5" s="2" t="b">
        <f t="shared" si="2"/>
        <v>0</v>
      </c>
      <c r="AC5" s="2">
        <f t="shared" si="3"/>
        <v>700</v>
      </c>
      <c r="AD5" s="2">
        <f t="shared" si="1"/>
        <v>387</v>
      </c>
      <c r="AE5" s="125">
        <f t="shared" si="4"/>
        <v>38.700000000000003</v>
      </c>
      <c r="AF5" s="2">
        <f t="shared" si="5"/>
        <v>15</v>
      </c>
    </row>
    <row r="6" spans="1:32">
      <c r="A6" s="185">
        <v>5</v>
      </c>
      <c r="B6" s="2">
        <f>Scoresheet!J7</f>
        <v>43</v>
      </c>
      <c r="C6" s="2">
        <f>Scoresheet!V7</f>
        <v>0</v>
      </c>
      <c r="D6" s="2">
        <f>Scoresheet!AH7</f>
        <v>43</v>
      </c>
      <c r="E6" s="2">
        <f>Scoresheet!AT7</f>
        <v>43</v>
      </c>
      <c r="F6" s="2">
        <f>Scoresheet!BF7</f>
        <v>43</v>
      </c>
      <c r="G6" s="2">
        <f>Scoresheet!BR7</f>
        <v>43</v>
      </c>
      <c r="H6" s="2">
        <f>Scoresheet!CD7</f>
        <v>43</v>
      </c>
      <c r="I6" s="2">
        <f>Scoresheet!CP7</f>
        <v>0</v>
      </c>
      <c r="J6" s="2">
        <f>Scoresheet!DB7</f>
        <v>0</v>
      </c>
      <c r="K6" s="2">
        <f>Scoresheet!DN7</f>
        <v>0</v>
      </c>
      <c r="L6" s="2">
        <f>Scoresheet!DZ7</f>
        <v>0</v>
      </c>
      <c r="M6" s="2">
        <f>Scoresheet!EL7</f>
        <v>0</v>
      </c>
      <c r="N6" s="2">
        <f>Scoresheet!EX7</f>
        <v>0</v>
      </c>
      <c r="O6" s="2">
        <f>Scoresheet!FJ7</f>
        <v>0</v>
      </c>
      <c r="P6" s="2">
        <f>Scoresheet!FV7</f>
        <v>0</v>
      </c>
      <c r="Q6" s="2">
        <f>Scoresheet!GH7</f>
        <v>0</v>
      </c>
      <c r="R6" s="2">
        <f>Scoresheet!GT7</f>
        <v>0</v>
      </c>
      <c r="S6" s="2">
        <f>Scoresheet!HF7</f>
        <v>0</v>
      </c>
      <c r="T6" s="2">
        <f>Scoresheet!HR7</f>
        <v>0</v>
      </c>
      <c r="U6" s="2">
        <f>Scoresheet!ID7</f>
        <v>0</v>
      </c>
      <c r="V6" s="2">
        <f>Scoresheet!IP7</f>
        <v>0</v>
      </c>
      <c r="W6" s="2">
        <f>Scoresheet!JB7</f>
        <v>0</v>
      </c>
      <c r="X6" s="2">
        <f>Scoresheet!JN7</f>
        <v>0</v>
      </c>
      <c r="Y6" s="2">
        <f>Scoresheet!JZ7</f>
        <v>0</v>
      </c>
      <c r="Z6" s="2">
        <f t="shared" si="0"/>
        <v>6</v>
      </c>
      <c r="AA6" s="2" t="str">
        <f>Data!H6</f>
        <v>16th January, 2026</v>
      </c>
      <c r="AB6" s="2" t="b">
        <f t="shared" si="2"/>
        <v>0</v>
      </c>
      <c r="AC6" s="2">
        <f t="shared" si="3"/>
        <v>600</v>
      </c>
      <c r="AD6" s="2">
        <f t="shared" si="1"/>
        <v>258</v>
      </c>
      <c r="AE6" s="125">
        <f t="shared" si="4"/>
        <v>25.8</v>
      </c>
      <c r="AF6" s="2">
        <f t="shared" si="5"/>
        <v>42</v>
      </c>
    </row>
    <row r="7" spans="1:32">
      <c r="A7" s="185">
        <v>6</v>
      </c>
      <c r="B7" s="2">
        <f>Scoresheet!J8</f>
        <v>48</v>
      </c>
      <c r="C7" s="2">
        <f>Scoresheet!V8</f>
        <v>0</v>
      </c>
      <c r="D7" s="2">
        <f>Scoresheet!AH8</f>
        <v>48</v>
      </c>
      <c r="E7" s="2">
        <f>Scoresheet!AT8</f>
        <v>48</v>
      </c>
      <c r="F7" s="2">
        <f>Scoresheet!BF8</f>
        <v>48</v>
      </c>
      <c r="G7" s="2">
        <f>Scoresheet!BR8</f>
        <v>48</v>
      </c>
      <c r="H7" s="2">
        <f>Scoresheet!CD8</f>
        <v>48</v>
      </c>
      <c r="I7" s="2">
        <f>Scoresheet!CP8</f>
        <v>0</v>
      </c>
      <c r="J7" s="2">
        <f>Scoresheet!DB8</f>
        <v>0</v>
      </c>
      <c r="K7" s="2">
        <f>Scoresheet!DN8</f>
        <v>0</v>
      </c>
      <c r="L7" s="2">
        <f>Scoresheet!DZ8</f>
        <v>0</v>
      </c>
      <c r="M7" s="2">
        <f>Scoresheet!EL8</f>
        <v>0</v>
      </c>
      <c r="N7" s="2">
        <f>Scoresheet!EX8</f>
        <v>0</v>
      </c>
      <c r="O7" s="2">
        <f>Scoresheet!FJ8</f>
        <v>0</v>
      </c>
      <c r="P7" s="2">
        <f>Scoresheet!FV8</f>
        <v>0</v>
      </c>
      <c r="Q7" s="2">
        <f>Scoresheet!GH8</f>
        <v>0</v>
      </c>
      <c r="R7" s="2">
        <f>Scoresheet!GT8</f>
        <v>0</v>
      </c>
      <c r="S7" s="2">
        <f>Scoresheet!HF8</f>
        <v>0</v>
      </c>
      <c r="T7" s="2">
        <f>Scoresheet!HR8</f>
        <v>0</v>
      </c>
      <c r="U7" s="2">
        <f>Scoresheet!ID8</f>
        <v>0</v>
      </c>
      <c r="V7" s="2">
        <f>Scoresheet!IP8</f>
        <v>0</v>
      </c>
      <c r="W7" s="2">
        <f>Scoresheet!JB8</f>
        <v>0</v>
      </c>
      <c r="X7" s="2">
        <f>Scoresheet!JN8</f>
        <v>0</v>
      </c>
      <c r="Y7" s="2">
        <f>Scoresheet!JZ8</f>
        <v>0</v>
      </c>
      <c r="Z7" s="2">
        <f t="shared" si="0"/>
        <v>6</v>
      </c>
      <c r="AA7" s="2" t="str">
        <f>Data!H7</f>
        <v>16th January, 2026</v>
      </c>
      <c r="AB7" s="2" t="b">
        <f t="shared" si="2"/>
        <v>0</v>
      </c>
      <c r="AC7" s="2">
        <f t="shared" si="3"/>
        <v>600</v>
      </c>
      <c r="AD7" s="2">
        <f t="shared" si="1"/>
        <v>288</v>
      </c>
      <c r="AE7" s="125">
        <f t="shared" si="4"/>
        <v>28.8</v>
      </c>
      <c r="AF7" s="2">
        <f t="shared" si="5"/>
        <v>36</v>
      </c>
    </row>
    <row r="8" spans="1:32">
      <c r="A8" s="185">
        <v>7</v>
      </c>
      <c r="B8" s="2">
        <f>Scoresheet!J9</f>
        <v>37</v>
      </c>
      <c r="C8" s="2">
        <f>Scoresheet!V9</f>
        <v>0</v>
      </c>
      <c r="D8" s="2">
        <f>Scoresheet!AH9</f>
        <v>37</v>
      </c>
      <c r="E8" s="2">
        <f>Scoresheet!AT9</f>
        <v>37</v>
      </c>
      <c r="F8" s="2">
        <f>Scoresheet!BF9</f>
        <v>37</v>
      </c>
      <c r="G8" s="2">
        <f>Scoresheet!BR9</f>
        <v>37</v>
      </c>
      <c r="H8" s="2">
        <f>Scoresheet!CD9</f>
        <v>37</v>
      </c>
      <c r="I8" s="2">
        <f>Scoresheet!CP9</f>
        <v>0</v>
      </c>
      <c r="J8" s="2">
        <f>Scoresheet!DB9</f>
        <v>0</v>
      </c>
      <c r="K8" s="2">
        <f>Scoresheet!DN9</f>
        <v>0</v>
      </c>
      <c r="L8" s="2">
        <f>Scoresheet!DZ9</f>
        <v>0</v>
      </c>
      <c r="M8" s="2">
        <f>Scoresheet!EL9</f>
        <v>0</v>
      </c>
      <c r="N8" s="2">
        <f>Scoresheet!EX9</f>
        <v>0</v>
      </c>
      <c r="O8" s="2">
        <f>Scoresheet!FJ9</f>
        <v>0</v>
      </c>
      <c r="P8" s="2">
        <f>Scoresheet!FV9</f>
        <v>0</v>
      </c>
      <c r="Q8" s="2">
        <f>Scoresheet!GH9</f>
        <v>0</v>
      </c>
      <c r="R8" s="2">
        <f>Scoresheet!GT9</f>
        <v>0</v>
      </c>
      <c r="S8" s="2">
        <f>Scoresheet!HF9</f>
        <v>0</v>
      </c>
      <c r="T8" s="2">
        <f>Scoresheet!HR9</f>
        <v>0</v>
      </c>
      <c r="U8" s="2">
        <f>Scoresheet!ID9</f>
        <v>0</v>
      </c>
      <c r="V8" s="2">
        <f>Scoresheet!IP9</f>
        <v>0</v>
      </c>
      <c r="W8" s="2">
        <f>Scoresheet!JB9</f>
        <v>0</v>
      </c>
      <c r="X8" s="2">
        <f>Scoresheet!JN9</f>
        <v>0</v>
      </c>
      <c r="Y8" s="2">
        <f>Scoresheet!JZ9</f>
        <v>0</v>
      </c>
      <c r="Z8" s="2">
        <f t="shared" si="0"/>
        <v>6</v>
      </c>
      <c r="AA8" s="2" t="str">
        <f>Data!H8</f>
        <v>16th January, 2026</v>
      </c>
      <c r="AB8" s="2" t="b">
        <f t="shared" si="2"/>
        <v>0</v>
      </c>
      <c r="AC8" s="2">
        <f t="shared" si="3"/>
        <v>600</v>
      </c>
      <c r="AD8" s="2">
        <f t="shared" si="1"/>
        <v>222</v>
      </c>
      <c r="AE8" s="125">
        <f t="shared" si="4"/>
        <v>22.2</v>
      </c>
      <c r="AF8" s="2">
        <f t="shared" si="5"/>
        <v>46</v>
      </c>
    </row>
    <row r="9" spans="1:32">
      <c r="A9" s="185">
        <v>8</v>
      </c>
      <c r="B9" s="2">
        <f>Scoresheet!J10</f>
        <v>64</v>
      </c>
      <c r="C9" s="2">
        <f>Scoresheet!V10</f>
        <v>0</v>
      </c>
      <c r="D9" s="2">
        <f>Scoresheet!AH10</f>
        <v>64</v>
      </c>
      <c r="E9" s="2">
        <f>Scoresheet!AT10</f>
        <v>64</v>
      </c>
      <c r="F9" s="2">
        <f>Scoresheet!BF10</f>
        <v>64</v>
      </c>
      <c r="G9" s="2">
        <f>Scoresheet!BR10</f>
        <v>64</v>
      </c>
      <c r="H9" s="2">
        <f>Scoresheet!CD10</f>
        <v>64</v>
      </c>
      <c r="I9" s="2">
        <f>Scoresheet!CP10</f>
        <v>0</v>
      </c>
      <c r="J9" s="2">
        <f>Scoresheet!DB10</f>
        <v>0</v>
      </c>
      <c r="K9" s="2">
        <f>Scoresheet!DN10</f>
        <v>0</v>
      </c>
      <c r="L9" s="2">
        <f>Scoresheet!DZ10</f>
        <v>0</v>
      </c>
      <c r="M9" s="2">
        <f>Scoresheet!EL10</f>
        <v>0</v>
      </c>
      <c r="N9" s="2">
        <f>Scoresheet!EX10</f>
        <v>0</v>
      </c>
      <c r="O9" s="2">
        <f>Scoresheet!FJ10</f>
        <v>0</v>
      </c>
      <c r="P9" s="2">
        <f>Scoresheet!FV10</f>
        <v>0</v>
      </c>
      <c r="Q9" s="2">
        <f>Scoresheet!GH10</f>
        <v>0</v>
      </c>
      <c r="R9" s="2">
        <f>Scoresheet!GT10</f>
        <v>0</v>
      </c>
      <c r="S9" s="2">
        <f>Scoresheet!HF10</f>
        <v>0</v>
      </c>
      <c r="T9" s="2">
        <f>Scoresheet!HR10</f>
        <v>0</v>
      </c>
      <c r="U9" s="2">
        <f>Scoresheet!ID10</f>
        <v>0</v>
      </c>
      <c r="V9" s="2">
        <f>Scoresheet!IP10</f>
        <v>0</v>
      </c>
      <c r="W9" s="2">
        <f>Scoresheet!JB10</f>
        <v>0</v>
      </c>
      <c r="X9" s="2">
        <f>Scoresheet!JN10</f>
        <v>0</v>
      </c>
      <c r="Y9" s="2">
        <f>Scoresheet!JZ10</f>
        <v>0</v>
      </c>
      <c r="Z9" s="2">
        <f t="shared" si="0"/>
        <v>6</v>
      </c>
      <c r="AA9" s="2" t="str">
        <f>Data!H9</f>
        <v>16th January, 2026</v>
      </c>
      <c r="AB9" s="2" t="b">
        <f t="shared" si="2"/>
        <v>0</v>
      </c>
      <c r="AC9" s="2">
        <f t="shared" si="3"/>
        <v>600</v>
      </c>
      <c r="AD9" s="2">
        <f t="shared" si="1"/>
        <v>384</v>
      </c>
      <c r="AE9" s="125">
        <f t="shared" si="4"/>
        <v>38.4</v>
      </c>
      <c r="AF9" s="2">
        <f t="shared" si="5"/>
        <v>16</v>
      </c>
    </row>
    <row r="10" spans="1:32">
      <c r="A10" s="185">
        <v>9</v>
      </c>
      <c r="B10" s="2">
        <f>Scoresheet!J11</f>
        <v>52</v>
      </c>
      <c r="C10" s="2">
        <f>Scoresheet!V11</f>
        <v>0</v>
      </c>
      <c r="D10" s="2">
        <f>Scoresheet!AH11</f>
        <v>52</v>
      </c>
      <c r="E10" s="2">
        <f>Scoresheet!AT11</f>
        <v>52</v>
      </c>
      <c r="F10" s="2">
        <f>Scoresheet!BF11</f>
        <v>52</v>
      </c>
      <c r="G10" s="2">
        <f>Scoresheet!BR11</f>
        <v>52</v>
      </c>
      <c r="H10" s="2">
        <f>Scoresheet!CD11</f>
        <v>52</v>
      </c>
      <c r="I10" s="2">
        <f>Scoresheet!CP11</f>
        <v>0</v>
      </c>
      <c r="J10" s="2">
        <f>Scoresheet!DB11</f>
        <v>0</v>
      </c>
      <c r="K10" s="2">
        <f>Scoresheet!DN11</f>
        <v>0</v>
      </c>
      <c r="L10" s="2">
        <f>Scoresheet!DZ11</f>
        <v>0</v>
      </c>
      <c r="M10" s="2">
        <f>Scoresheet!EL11</f>
        <v>0</v>
      </c>
      <c r="N10" s="2">
        <f>Scoresheet!EX11</f>
        <v>0</v>
      </c>
      <c r="O10" s="2">
        <f>Scoresheet!FJ11</f>
        <v>0</v>
      </c>
      <c r="P10" s="2">
        <f>Scoresheet!FV11</f>
        <v>0</v>
      </c>
      <c r="Q10" s="2">
        <f>Scoresheet!GH11</f>
        <v>0</v>
      </c>
      <c r="R10" s="2">
        <f>Scoresheet!GT11</f>
        <v>0</v>
      </c>
      <c r="S10" s="2">
        <f>Scoresheet!HF11</f>
        <v>0</v>
      </c>
      <c r="T10" s="2">
        <f>Scoresheet!HR11</f>
        <v>0</v>
      </c>
      <c r="U10" s="2">
        <f>Scoresheet!ID11</f>
        <v>0</v>
      </c>
      <c r="V10" s="2">
        <f>Scoresheet!IP11</f>
        <v>0</v>
      </c>
      <c r="W10" s="2">
        <f>Scoresheet!JB11</f>
        <v>0</v>
      </c>
      <c r="X10" s="2">
        <f>Scoresheet!JN11</f>
        <v>0</v>
      </c>
      <c r="Y10" s="2">
        <f>Scoresheet!JZ11</f>
        <v>0</v>
      </c>
      <c r="Z10" s="2">
        <f t="shared" si="0"/>
        <v>6</v>
      </c>
      <c r="AA10" s="2" t="str">
        <f>Data!H10</f>
        <v>16th January, 2026</v>
      </c>
      <c r="AB10" s="2" t="b">
        <f t="shared" si="2"/>
        <v>0</v>
      </c>
      <c r="AC10" s="2">
        <f t="shared" si="3"/>
        <v>600</v>
      </c>
      <c r="AD10" s="2">
        <f t="shared" si="1"/>
        <v>312</v>
      </c>
      <c r="AE10" s="125">
        <f t="shared" si="4"/>
        <v>31.2</v>
      </c>
      <c r="AF10" s="2">
        <f t="shared" si="5"/>
        <v>34</v>
      </c>
    </row>
    <row r="11" spans="1:32">
      <c r="A11" s="185">
        <v>10</v>
      </c>
      <c r="B11" s="2">
        <f>Scoresheet!J12</f>
        <v>55</v>
      </c>
      <c r="C11" s="2">
        <f>Scoresheet!V12</f>
        <v>0</v>
      </c>
      <c r="D11" s="2">
        <f>Scoresheet!AH12</f>
        <v>55</v>
      </c>
      <c r="E11" s="2">
        <f>Scoresheet!AT12</f>
        <v>55</v>
      </c>
      <c r="F11" s="2">
        <f>Scoresheet!BF12</f>
        <v>55</v>
      </c>
      <c r="G11" s="2">
        <f>Scoresheet!BR12</f>
        <v>55</v>
      </c>
      <c r="H11" s="2">
        <f>Scoresheet!CD12</f>
        <v>55</v>
      </c>
      <c r="I11" s="2">
        <f>Scoresheet!CP12</f>
        <v>0</v>
      </c>
      <c r="J11" s="2">
        <f>Scoresheet!DB12</f>
        <v>0</v>
      </c>
      <c r="K11" s="2">
        <f>Scoresheet!DN12</f>
        <v>0</v>
      </c>
      <c r="L11" s="2">
        <f>Scoresheet!DZ12</f>
        <v>0</v>
      </c>
      <c r="M11" s="2">
        <f>Scoresheet!EL12</f>
        <v>0</v>
      </c>
      <c r="N11" s="2">
        <f>Scoresheet!EX12</f>
        <v>0</v>
      </c>
      <c r="O11" s="2">
        <f>Scoresheet!FJ12</f>
        <v>0</v>
      </c>
      <c r="P11" s="2">
        <f>Scoresheet!FV12</f>
        <v>0</v>
      </c>
      <c r="Q11" s="2">
        <f>Scoresheet!GH12</f>
        <v>0</v>
      </c>
      <c r="R11" s="2">
        <f>Scoresheet!GT12</f>
        <v>0</v>
      </c>
      <c r="S11" s="2">
        <f>Scoresheet!HF12</f>
        <v>0</v>
      </c>
      <c r="T11" s="2">
        <f>Scoresheet!HR12</f>
        <v>0</v>
      </c>
      <c r="U11" s="2">
        <f>Scoresheet!ID12</f>
        <v>0</v>
      </c>
      <c r="V11" s="2">
        <f>Scoresheet!IP12</f>
        <v>0</v>
      </c>
      <c r="W11" s="2">
        <f>Scoresheet!JB12</f>
        <v>0</v>
      </c>
      <c r="X11" s="2">
        <f>Scoresheet!JN12</f>
        <v>0</v>
      </c>
      <c r="Y11" s="2">
        <f>Scoresheet!JZ12</f>
        <v>0</v>
      </c>
      <c r="Z11" s="2">
        <f t="shared" si="0"/>
        <v>6</v>
      </c>
      <c r="AA11" s="2" t="str">
        <f>Data!H11</f>
        <v>16th January, 2026</v>
      </c>
      <c r="AB11" s="2" t="b">
        <f t="shared" si="2"/>
        <v>0</v>
      </c>
      <c r="AC11" s="2">
        <f t="shared" si="3"/>
        <v>600</v>
      </c>
      <c r="AD11" s="2">
        <f t="shared" si="1"/>
        <v>330</v>
      </c>
      <c r="AE11" s="125">
        <f t="shared" si="4"/>
        <v>33</v>
      </c>
      <c r="AF11" s="2">
        <f t="shared" si="5"/>
        <v>27</v>
      </c>
    </row>
    <row r="12" spans="1:32">
      <c r="A12" s="185">
        <v>11</v>
      </c>
      <c r="B12" s="2">
        <f>Scoresheet!J13</f>
        <v>54</v>
      </c>
      <c r="C12" s="2">
        <f>Scoresheet!V13</f>
        <v>0</v>
      </c>
      <c r="D12" s="2">
        <f>Scoresheet!AH13</f>
        <v>54</v>
      </c>
      <c r="E12" s="2">
        <f>Scoresheet!AT13</f>
        <v>54</v>
      </c>
      <c r="F12" s="2">
        <f>Scoresheet!BF13</f>
        <v>54</v>
      </c>
      <c r="G12" s="2">
        <f>Scoresheet!BR13</f>
        <v>54</v>
      </c>
      <c r="H12" s="2">
        <f>Scoresheet!CD13</f>
        <v>54</v>
      </c>
      <c r="I12" s="2">
        <f>Scoresheet!CP13</f>
        <v>0</v>
      </c>
      <c r="J12" s="2">
        <f>Scoresheet!DB13</f>
        <v>0</v>
      </c>
      <c r="K12" s="2">
        <f>Scoresheet!DN13</f>
        <v>0</v>
      </c>
      <c r="L12" s="2">
        <f>Scoresheet!DZ13</f>
        <v>0</v>
      </c>
      <c r="M12" s="2">
        <f>Scoresheet!EL13</f>
        <v>0</v>
      </c>
      <c r="N12" s="2">
        <f>Scoresheet!EX13</f>
        <v>0</v>
      </c>
      <c r="O12" s="2">
        <f>Scoresheet!FJ13</f>
        <v>0</v>
      </c>
      <c r="P12" s="2">
        <f>Scoresheet!FV13</f>
        <v>0</v>
      </c>
      <c r="Q12" s="2">
        <f>Scoresheet!GH13</f>
        <v>0</v>
      </c>
      <c r="R12" s="2">
        <f>Scoresheet!GT13</f>
        <v>0</v>
      </c>
      <c r="S12" s="2">
        <f>Scoresheet!HF13</f>
        <v>0</v>
      </c>
      <c r="T12" s="2">
        <f>Scoresheet!HR13</f>
        <v>0</v>
      </c>
      <c r="U12" s="2">
        <f>Scoresheet!ID13</f>
        <v>0</v>
      </c>
      <c r="V12" s="2">
        <f>Scoresheet!IP13</f>
        <v>0</v>
      </c>
      <c r="W12" s="2">
        <f>Scoresheet!JB13</f>
        <v>0</v>
      </c>
      <c r="X12" s="2">
        <f>Scoresheet!JN13</f>
        <v>0</v>
      </c>
      <c r="Y12" s="2">
        <f>Scoresheet!JZ13</f>
        <v>0</v>
      </c>
      <c r="Z12" s="2">
        <f t="shared" si="0"/>
        <v>6</v>
      </c>
      <c r="AA12" s="2" t="str">
        <f>Data!H12</f>
        <v>16th January, 2026</v>
      </c>
      <c r="AB12" s="2" t="b">
        <f t="shared" si="2"/>
        <v>0</v>
      </c>
      <c r="AC12" s="2">
        <f t="shared" si="3"/>
        <v>600</v>
      </c>
      <c r="AD12" s="2">
        <f t="shared" si="1"/>
        <v>324</v>
      </c>
      <c r="AE12" s="125">
        <f t="shared" si="4"/>
        <v>32.4</v>
      </c>
      <c r="AF12" s="2">
        <f t="shared" si="5"/>
        <v>29</v>
      </c>
    </row>
    <row r="13" spans="1:32">
      <c r="A13" s="185">
        <v>12</v>
      </c>
      <c r="B13" s="2">
        <f>Scoresheet!J14</f>
        <v>50</v>
      </c>
      <c r="C13" s="2">
        <f>Scoresheet!V14</f>
        <v>0</v>
      </c>
      <c r="D13" s="2">
        <f>Scoresheet!AH14</f>
        <v>50</v>
      </c>
      <c r="E13" s="2">
        <f>Scoresheet!AT14</f>
        <v>50</v>
      </c>
      <c r="F13" s="2">
        <f>Scoresheet!BF14</f>
        <v>50</v>
      </c>
      <c r="G13" s="2">
        <f>Scoresheet!BR14</f>
        <v>50</v>
      </c>
      <c r="H13" s="2">
        <f>Scoresheet!CD14</f>
        <v>50</v>
      </c>
      <c r="I13" s="2">
        <f>Scoresheet!CP14</f>
        <v>0</v>
      </c>
      <c r="J13" s="2">
        <f>Scoresheet!DB14</f>
        <v>0</v>
      </c>
      <c r="K13" s="2">
        <f>Scoresheet!DN14</f>
        <v>43</v>
      </c>
      <c r="L13" s="2">
        <f>Scoresheet!DZ14</f>
        <v>0</v>
      </c>
      <c r="M13" s="2">
        <f>Scoresheet!EL14</f>
        <v>0</v>
      </c>
      <c r="N13" s="2">
        <f>Scoresheet!EX14</f>
        <v>0</v>
      </c>
      <c r="O13" s="2">
        <f>Scoresheet!FJ14</f>
        <v>0</v>
      </c>
      <c r="P13" s="2">
        <f>Scoresheet!FV14</f>
        <v>0</v>
      </c>
      <c r="Q13" s="2">
        <f>Scoresheet!GH14</f>
        <v>0</v>
      </c>
      <c r="R13" s="2">
        <f>Scoresheet!GT14</f>
        <v>0</v>
      </c>
      <c r="S13" s="2">
        <f>Scoresheet!HF14</f>
        <v>0</v>
      </c>
      <c r="T13" s="2">
        <f>Scoresheet!HR14</f>
        <v>0</v>
      </c>
      <c r="U13" s="2">
        <f>Scoresheet!ID14</f>
        <v>0</v>
      </c>
      <c r="V13" s="2">
        <f>Scoresheet!IP14</f>
        <v>0</v>
      </c>
      <c r="W13" s="2">
        <f>Scoresheet!JB14</f>
        <v>0</v>
      </c>
      <c r="X13" s="2">
        <f>Scoresheet!JN14</f>
        <v>0</v>
      </c>
      <c r="Y13" s="2">
        <f>Scoresheet!JZ14</f>
        <v>0</v>
      </c>
      <c r="Z13" s="2">
        <f t="shared" si="0"/>
        <v>7</v>
      </c>
      <c r="AA13" s="2" t="str">
        <f>Data!H13</f>
        <v>16th January, 2026</v>
      </c>
      <c r="AB13" s="2" t="b">
        <f t="shared" si="2"/>
        <v>0</v>
      </c>
      <c r="AC13" s="2">
        <f t="shared" si="3"/>
        <v>700</v>
      </c>
      <c r="AD13" s="2">
        <f t="shared" si="1"/>
        <v>343</v>
      </c>
      <c r="AE13" s="125">
        <f t="shared" si="4"/>
        <v>34.299999999999997</v>
      </c>
      <c r="AF13" s="2">
        <f t="shared" si="5"/>
        <v>26</v>
      </c>
    </row>
    <row r="14" spans="1:32">
      <c r="A14" s="185">
        <v>13</v>
      </c>
      <c r="B14" s="2">
        <f>Scoresheet!J15</f>
        <v>46</v>
      </c>
      <c r="C14" s="2">
        <f>Scoresheet!V15</f>
        <v>0</v>
      </c>
      <c r="D14" s="2">
        <f>Scoresheet!AH15</f>
        <v>46</v>
      </c>
      <c r="E14" s="2">
        <f>Scoresheet!AT15</f>
        <v>46</v>
      </c>
      <c r="F14" s="2">
        <f>Scoresheet!BF15</f>
        <v>46</v>
      </c>
      <c r="G14" s="2">
        <f>Scoresheet!BR15</f>
        <v>46</v>
      </c>
      <c r="H14" s="2">
        <f>Scoresheet!CD15</f>
        <v>46</v>
      </c>
      <c r="I14" s="2">
        <f>Scoresheet!CP15</f>
        <v>0</v>
      </c>
      <c r="J14" s="2">
        <f>Scoresheet!DB15</f>
        <v>0</v>
      </c>
      <c r="K14" s="2">
        <f>Scoresheet!DN15</f>
        <v>0</v>
      </c>
      <c r="L14" s="2">
        <f>Scoresheet!DZ15</f>
        <v>0</v>
      </c>
      <c r="M14" s="2">
        <f>Scoresheet!EL15</f>
        <v>0</v>
      </c>
      <c r="N14" s="2">
        <f>Scoresheet!EX15</f>
        <v>0</v>
      </c>
      <c r="O14" s="2">
        <f>Scoresheet!FJ15</f>
        <v>0</v>
      </c>
      <c r="P14" s="2">
        <f>Scoresheet!FV15</f>
        <v>0</v>
      </c>
      <c r="Q14" s="2">
        <f>Scoresheet!GH15</f>
        <v>0</v>
      </c>
      <c r="R14" s="2">
        <f>Scoresheet!GT15</f>
        <v>0</v>
      </c>
      <c r="S14" s="2">
        <f>Scoresheet!HF15</f>
        <v>0</v>
      </c>
      <c r="T14" s="2">
        <f>Scoresheet!HR15</f>
        <v>18</v>
      </c>
      <c r="U14" s="2">
        <f>Scoresheet!ID15</f>
        <v>0</v>
      </c>
      <c r="V14" s="2">
        <f>Scoresheet!IP15</f>
        <v>0</v>
      </c>
      <c r="W14" s="2">
        <f>Scoresheet!JB15</f>
        <v>0</v>
      </c>
      <c r="X14" s="2">
        <f>Scoresheet!JN15</f>
        <v>0</v>
      </c>
      <c r="Y14" s="2">
        <f>Scoresheet!JZ15</f>
        <v>0</v>
      </c>
      <c r="Z14" s="2">
        <f t="shared" si="0"/>
        <v>7</v>
      </c>
      <c r="AA14" s="2" t="str">
        <f>Data!H14</f>
        <v>16th January, 2026</v>
      </c>
      <c r="AB14" s="2" t="b">
        <f t="shared" si="2"/>
        <v>0</v>
      </c>
      <c r="AC14" s="2">
        <f t="shared" si="3"/>
        <v>700</v>
      </c>
      <c r="AD14" s="2">
        <f t="shared" si="1"/>
        <v>294</v>
      </c>
      <c r="AE14" s="125">
        <f t="shared" si="4"/>
        <v>29.4</v>
      </c>
      <c r="AF14" s="2">
        <f t="shared" si="5"/>
        <v>35</v>
      </c>
    </row>
    <row r="15" spans="1:32">
      <c r="A15" s="185">
        <v>14</v>
      </c>
      <c r="B15" s="2">
        <f>Scoresheet!J16</f>
        <v>61</v>
      </c>
      <c r="C15" s="2">
        <f>Scoresheet!V16</f>
        <v>0</v>
      </c>
      <c r="D15" s="2">
        <f>Scoresheet!AH16</f>
        <v>61</v>
      </c>
      <c r="E15" s="2">
        <f>Scoresheet!AT16</f>
        <v>61</v>
      </c>
      <c r="F15" s="2">
        <f>Scoresheet!BF16</f>
        <v>61</v>
      </c>
      <c r="G15" s="2">
        <f>Scoresheet!BR16</f>
        <v>61</v>
      </c>
      <c r="H15" s="2">
        <f>Scoresheet!CD16</f>
        <v>61</v>
      </c>
      <c r="I15" s="2">
        <f>Scoresheet!CP16</f>
        <v>0</v>
      </c>
      <c r="J15" s="2">
        <f>Scoresheet!DB16</f>
        <v>0</v>
      </c>
      <c r="K15" s="2">
        <f>Scoresheet!DN16</f>
        <v>44</v>
      </c>
      <c r="L15" s="2">
        <f>Scoresheet!DZ16</f>
        <v>0</v>
      </c>
      <c r="M15" s="2">
        <f>Scoresheet!EL16</f>
        <v>0</v>
      </c>
      <c r="N15" s="2">
        <f>Scoresheet!EX16</f>
        <v>0</v>
      </c>
      <c r="O15" s="2">
        <f>Scoresheet!FJ16</f>
        <v>0</v>
      </c>
      <c r="P15" s="2">
        <f>Scoresheet!FV16</f>
        <v>0</v>
      </c>
      <c r="Q15" s="2">
        <f>Scoresheet!GH16</f>
        <v>0</v>
      </c>
      <c r="R15" s="2">
        <f>Scoresheet!GT16</f>
        <v>0</v>
      </c>
      <c r="S15" s="2">
        <f>Scoresheet!HF16</f>
        <v>0</v>
      </c>
      <c r="T15" s="2">
        <f>Scoresheet!HR16</f>
        <v>0</v>
      </c>
      <c r="U15" s="2">
        <f>Scoresheet!ID16</f>
        <v>0</v>
      </c>
      <c r="V15" s="2">
        <f>Scoresheet!IP16</f>
        <v>0</v>
      </c>
      <c r="W15" s="2">
        <f>Scoresheet!JB16</f>
        <v>0</v>
      </c>
      <c r="X15" s="2">
        <f>Scoresheet!JN16</f>
        <v>0</v>
      </c>
      <c r="Y15" s="2">
        <f>Scoresheet!JZ16</f>
        <v>0</v>
      </c>
      <c r="Z15" s="2">
        <f t="shared" si="0"/>
        <v>7</v>
      </c>
      <c r="AA15" s="2" t="str">
        <f>Data!H15</f>
        <v>16th January, 2026</v>
      </c>
      <c r="AB15" s="2" t="b">
        <f t="shared" si="2"/>
        <v>0</v>
      </c>
      <c r="AC15" s="2">
        <f t="shared" si="3"/>
        <v>700</v>
      </c>
      <c r="AD15" s="2">
        <f t="shared" si="1"/>
        <v>410</v>
      </c>
      <c r="AE15" s="125">
        <f t="shared" si="4"/>
        <v>41</v>
      </c>
      <c r="AF15" s="2">
        <f t="shared" si="5"/>
        <v>13</v>
      </c>
    </row>
    <row r="16" spans="1:32">
      <c r="A16" s="185">
        <v>15</v>
      </c>
      <c r="B16" s="2">
        <f>Scoresheet!J17</f>
        <v>54</v>
      </c>
      <c r="C16" s="2">
        <f>Scoresheet!V17</f>
        <v>0</v>
      </c>
      <c r="D16" s="2">
        <f>Scoresheet!AH17</f>
        <v>54</v>
      </c>
      <c r="E16" s="2">
        <f>Scoresheet!AT17</f>
        <v>54</v>
      </c>
      <c r="F16" s="2">
        <f>Scoresheet!BF17</f>
        <v>54</v>
      </c>
      <c r="G16" s="2">
        <f>Scoresheet!BR17</f>
        <v>54</v>
      </c>
      <c r="H16" s="2">
        <f>Scoresheet!CD17</f>
        <v>54</v>
      </c>
      <c r="I16" s="2">
        <f>Scoresheet!CP17</f>
        <v>0</v>
      </c>
      <c r="J16" s="2">
        <f>Scoresheet!DB17</f>
        <v>0</v>
      </c>
      <c r="K16" s="2">
        <f>Scoresheet!DN17</f>
        <v>0</v>
      </c>
      <c r="L16" s="2">
        <f>Scoresheet!DZ17</f>
        <v>0</v>
      </c>
      <c r="M16" s="2">
        <f>Scoresheet!EL17</f>
        <v>0</v>
      </c>
      <c r="N16" s="2">
        <f>Scoresheet!EX17</f>
        <v>0</v>
      </c>
      <c r="O16" s="2">
        <f>Scoresheet!FJ17</f>
        <v>0</v>
      </c>
      <c r="P16" s="2">
        <f>Scoresheet!FV17</f>
        <v>0</v>
      </c>
      <c r="Q16" s="2">
        <f>Scoresheet!GH17</f>
        <v>0</v>
      </c>
      <c r="R16" s="2">
        <f>Scoresheet!GT17</f>
        <v>0</v>
      </c>
      <c r="S16" s="2">
        <f>Scoresheet!HF17</f>
        <v>0</v>
      </c>
      <c r="T16" s="2">
        <f>Scoresheet!HR17</f>
        <v>0</v>
      </c>
      <c r="U16" s="2">
        <f>Scoresheet!ID17</f>
        <v>0</v>
      </c>
      <c r="V16" s="2">
        <f>Scoresheet!IP17</f>
        <v>0</v>
      </c>
      <c r="W16" s="2">
        <f>Scoresheet!JB17</f>
        <v>0</v>
      </c>
      <c r="X16" s="2">
        <f>Scoresheet!JN17</f>
        <v>0</v>
      </c>
      <c r="Y16" s="2">
        <f>Scoresheet!JZ17</f>
        <v>0</v>
      </c>
      <c r="Z16" s="2">
        <f t="shared" si="0"/>
        <v>6</v>
      </c>
      <c r="AA16" s="2" t="str">
        <f>Data!H16</f>
        <v>16th January, 2026</v>
      </c>
      <c r="AB16" s="2" t="b">
        <f t="shared" si="2"/>
        <v>0</v>
      </c>
      <c r="AC16" s="2">
        <f t="shared" si="3"/>
        <v>600</v>
      </c>
      <c r="AD16" s="2">
        <f t="shared" si="1"/>
        <v>324</v>
      </c>
      <c r="AE16" s="125">
        <f t="shared" si="4"/>
        <v>32.4</v>
      </c>
      <c r="AF16" s="2">
        <f t="shared" si="5"/>
        <v>29</v>
      </c>
    </row>
    <row r="17" spans="1:32">
      <c r="A17" s="185">
        <v>16</v>
      </c>
      <c r="B17" s="2">
        <f>Scoresheet!J18</f>
        <v>64</v>
      </c>
      <c r="C17" s="2">
        <f>Scoresheet!V18</f>
        <v>0</v>
      </c>
      <c r="D17" s="2">
        <f>Scoresheet!AH18</f>
        <v>64</v>
      </c>
      <c r="E17" s="2">
        <f>Scoresheet!AT18</f>
        <v>64</v>
      </c>
      <c r="F17" s="2">
        <f>Scoresheet!BF18</f>
        <v>64</v>
      </c>
      <c r="G17" s="2">
        <f>Scoresheet!BR18</f>
        <v>64</v>
      </c>
      <c r="H17" s="2">
        <f>Scoresheet!CD18</f>
        <v>64</v>
      </c>
      <c r="I17" s="2">
        <f>Scoresheet!CP18</f>
        <v>0</v>
      </c>
      <c r="J17" s="2">
        <f>Scoresheet!DB18</f>
        <v>0</v>
      </c>
      <c r="K17" s="2">
        <f>Scoresheet!DN18</f>
        <v>0</v>
      </c>
      <c r="L17" s="2">
        <f>Scoresheet!DZ18</f>
        <v>0</v>
      </c>
      <c r="M17" s="2">
        <f>Scoresheet!EL18</f>
        <v>0</v>
      </c>
      <c r="N17" s="2">
        <f>Scoresheet!EX18</f>
        <v>0</v>
      </c>
      <c r="O17" s="2">
        <f>Scoresheet!FJ18</f>
        <v>0</v>
      </c>
      <c r="P17" s="2">
        <f>Scoresheet!FV18</f>
        <v>0</v>
      </c>
      <c r="Q17" s="2">
        <f>Scoresheet!GH18</f>
        <v>0</v>
      </c>
      <c r="R17" s="2">
        <f>Scoresheet!GT18</f>
        <v>0</v>
      </c>
      <c r="S17" s="2">
        <f>Scoresheet!HF18</f>
        <v>0</v>
      </c>
      <c r="T17" s="2">
        <f>Scoresheet!HR18</f>
        <v>0</v>
      </c>
      <c r="U17" s="2">
        <f>Scoresheet!ID18</f>
        <v>0</v>
      </c>
      <c r="V17" s="2">
        <f>Scoresheet!IP18</f>
        <v>0</v>
      </c>
      <c r="W17" s="2">
        <f>Scoresheet!JB18</f>
        <v>0</v>
      </c>
      <c r="X17" s="2">
        <f>Scoresheet!JN18</f>
        <v>0</v>
      </c>
      <c r="Y17" s="2">
        <f>Scoresheet!JZ18</f>
        <v>0</v>
      </c>
      <c r="Z17" s="2">
        <f t="shared" si="0"/>
        <v>6</v>
      </c>
      <c r="AA17" s="2" t="str">
        <f>Data!H17</f>
        <v>16th January, 2026</v>
      </c>
      <c r="AB17" s="2" t="b">
        <f t="shared" si="2"/>
        <v>0</v>
      </c>
      <c r="AC17" s="2">
        <f t="shared" si="3"/>
        <v>600</v>
      </c>
      <c r="AD17" s="2">
        <f t="shared" si="1"/>
        <v>384</v>
      </c>
      <c r="AE17" s="125">
        <f t="shared" si="4"/>
        <v>38.4</v>
      </c>
      <c r="AF17" s="2">
        <f t="shared" si="5"/>
        <v>16</v>
      </c>
    </row>
    <row r="18" spans="1:32">
      <c r="A18" s="185">
        <v>17</v>
      </c>
      <c r="B18" s="2">
        <f>Scoresheet!J19</f>
        <v>53</v>
      </c>
      <c r="C18" s="2">
        <f>Scoresheet!V19</f>
        <v>0</v>
      </c>
      <c r="D18" s="2">
        <f>Scoresheet!AH19</f>
        <v>53</v>
      </c>
      <c r="E18" s="2">
        <f>Scoresheet!AT19</f>
        <v>53</v>
      </c>
      <c r="F18" s="2">
        <f>Scoresheet!BF19</f>
        <v>53</v>
      </c>
      <c r="G18" s="2">
        <f>Scoresheet!BR19</f>
        <v>53</v>
      </c>
      <c r="H18" s="2">
        <f>Scoresheet!CD19</f>
        <v>53</v>
      </c>
      <c r="I18" s="2">
        <f>Scoresheet!CP19</f>
        <v>0</v>
      </c>
      <c r="J18" s="2">
        <f>Scoresheet!DB19</f>
        <v>0</v>
      </c>
      <c r="K18" s="2">
        <f>Scoresheet!DN19</f>
        <v>0</v>
      </c>
      <c r="L18" s="2">
        <f>Scoresheet!DZ19</f>
        <v>0</v>
      </c>
      <c r="M18" s="2">
        <f>Scoresheet!EL19</f>
        <v>0</v>
      </c>
      <c r="N18" s="2">
        <f>Scoresheet!EX19</f>
        <v>0</v>
      </c>
      <c r="O18" s="2">
        <f>Scoresheet!FJ19</f>
        <v>0</v>
      </c>
      <c r="P18" s="2">
        <f>Scoresheet!FV19</f>
        <v>0</v>
      </c>
      <c r="Q18" s="2">
        <f>Scoresheet!GH19</f>
        <v>0</v>
      </c>
      <c r="R18" s="2">
        <f>Scoresheet!GT19</f>
        <v>0</v>
      </c>
      <c r="S18" s="2">
        <f>Scoresheet!HF19</f>
        <v>0</v>
      </c>
      <c r="T18" s="2">
        <f>Scoresheet!HR19</f>
        <v>0</v>
      </c>
      <c r="U18" s="2">
        <f>Scoresheet!ID19</f>
        <v>0</v>
      </c>
      <c r="V18" s="2">
        <f>Scoresheet!IP19</f>
        <v>0</v>
      </c>
      <c r="W18" s="2">
        <f>Scoresheet!JB19</f>
        <v>0</v>
      </c>
      <c r="X18" s="2">
        <f>Scoresheet!JN19</f>
        <v>0</v>
      </c>
      <c r="Y18" s="2">
        <f>Scoresheet!JZ19</f>
        <v>0</v>
      </c>
      <c r="Z18" s="2">
        <f t="shared" si="0"/>
        <v>6</v>
      </c>
      <c r="AA18" s="2" t="str">
        <f>Data!H18</f>
        <v>16th January, 2026</v>
      </c>
      <c r="AB18" s="2" t="b">
        <f t="shared" si="2"/>
        <v>0</v>
      </c>
      <c r="AC18" s="2">
        <f t="shared" si="3"/>
        <v>600</v>
      </c>
      <c r="AD18" s="2">
        <f t="shared" si="1"/>
        <v>318</v>
      </c>
      <c r="AE18" s="125">
        <f t="shared" si="4"/>
        <v>31.8</v>
      </c>
      <c r="AF18" s="2">
        <f t="shared" si="5"/>
        <v>32</v>
      </c>
    </row>
    <row r="19" spans="1:32">
      <c r="A19" s="185">
        <v>18</v>
      </c>
      <c r="B19" s="2">
        <f>Scoresheet!J20</f>
        <v>59</v>
      </c>
      <c r="C19" s="2">
        <f>Scoresheet!V20</f>
        <v>0</v>
      </c>
      <c r="D19" s="2">
        <f>Scoresheet!AH20</f>
        <v>59</v>
      </c>
      <c r="E19" s="2">
        <f>Scoresheet!AT20</f>
        <v>59</v>
      </c>
      <c r="F19" s="2">
        <f>Scoresheet!BF20</f>
        <v>59</v>
      </c>
      <c r="G19" s="2">
        <f>Scoresheet!BR20</f>
        <v>59</v>
      </c>
      <c r="H19" s="2">
        <f>Scoresheet!CD20</f>
        <v>59</v>
      </c>
      <c r="I19" s="2">
        <f>Scoresheet!CP20</f>
        <v>0</v>
      </c>
      <c r="J19" s="2">
        <f>Scoresheet!DB20</f>
        <v>0</v>
      </c>
      <c r="K19" s="2">
        <f>Scoresheet!DN20</f>
        <v>0</v>
      </c>
      <c r="L19" s="2">
        <f>Scoresheet!DZ20</f>
        <v>0</v>
      </c>
      <c r="M19" s="2">
        <f>Scoresheet!EL20</f>
        <v>0</v>
      </c>
      <c r="N19" s="2">
        <f>Scoresheet!EX20</f>
        <v>0</v>
      </c>
      <c r="O19" s="2">
        <f>Scoresheet!FJ20</f>
        <v>0</v>
      </c>
      <c r="P19" s="2">
        <f>Scoresheet!FV20</f>
        <v>0</v>
      </c>
      <c r="Q19" s="2">
        <f>Scoresheet!GH20</f>
        <v>0</v>
      </c>
      <c r="R19" s="2">
        <f>Scoresheet!GT20</f>
        <v>0</v>
      </c>
      <c r="S19" s="2">
        <f>Scoresheet!HF20</f>
        <v>0</v>
      </c>
      <c r="T19" s="2">
        <f>Scoresheet!HR20</f>
        <v>0</v>
      </c>
      <c r="U19" s="2">
        <f>Scoresheet!ID20</f>
        <v>0</v>
      </c>
      <c r="V19" s="2">
        <f>Scoresheet!IP20</f>
        <v>0</v>
      </c>
      <c r="W19" s="2">
        <f>Scoresheet!JB20</f>
        <v>0</v>
      </c>
      <c r="X19" s="2">
        <f>Scoresheet!JN20</f>
        <v>0</v>
      </c>
      <c r="Y19" s="2">
        <f>Scoresheet!JZ20</f>
        <v>0</v>
      </c>
      <c r="Z19" s="2">
        <f t="shared" si="0"/>
        <v>6</v>
      </c>
      <c r="AA19" s="2" t="str">
        <f>Data!H19</f>
        <v>16th January, 2026</v>
      </c>
      <c r="AB19" s="2" t="b">
        <f t="shared" si="2"/>
        <v>0</v>
      </c>
      <c r="AC19" s="2">
        <f t="shared" si="3"/>
        <v>600</v>
      </c>
      <c r="AD19" s="2">
        <f t="shared" si="1"/>
        <v>354</v>
      </c>
      <c r="AE19" s="125">
        <f t="shared" si="4"/>
        <v>35.4</v>
      </c>
      <c r="AF19" s="2">
        <f t="shared" si="5"/>
        <v>24</v>
      </c>
    </row>
    <row r="20" spans="1:32">
      <c r="A20" s="185">
        <v>19</v>
      </c>
      <c r="B20" s="2">
        <f>Scoresheet!J21</f>
        <v>48</v>
      </c>
      <c r="C20" s="2">
        <f>Scoresheet!V21</f>
        <v>0</v>
      </c>
      <c r="D20" s="2">
        <f>Scoresheet!AH21</f>
        <v>48</v>
      </c>
      <c r="E20" s="2">
        <f>Scoresheet!AT21</f>
        <v>48</v>
      </c>
      <c r="F20" s="2">
        <f>Scoresheet!BF21</f>
        <v>48</v>
      </c>
      <c r="G20" s="2">
        <f>Scoresheet!BR21</f>
        <v>48</v>
      </c>
      <c r="H20" s="2">
        <f>Scoresheet!CD21</f>
        <v>48</v>
      </c>
      <c r="I20" s="2">
        <f>Scoresheet!CP21</f>
        <v>0</v>
      </c>
      <c r="J20" s="2">
        <f>Scoresheet!DB21</f>
        <v>0</v>
      </c>
      <c r="K20" s="2">
        <f>Scoresheet!DN21</f>
        <v>26</v>
      </c>
      <c r="L20" s="2">
        <f>Scoresheet!DZ21</f>
        <v>0</v>
      </c>
      <c r="M20" s="2">
        <f>Scoresheet!EL21</f>
        <v>0</v>
      </c>
      <c r="N20" s="2">
        <f>Scoresheet!EX21</f>
        <v>0</v>
      </c>
      <c r="O20" s="2">
        <f>Scoresheet!FJ21</f>
        <v>0</v>
      </c>
      <c r="P20" s="2">
        <f>Scoresheet!FV21</f>
        <v>0</v>
      </c>
      <c r="Q20" s="2">
        <f>Scoresheet!GH21</f>
        <v>0</v>
      </c>
      <c r="R20" s="2">
        <f>Scoresheet!GT21</f>
        <v>0</v>
      </c>
      <c r="S20" s="2">
        <f>Scoresheet!HF21</f>
        <v>0</v>
      </c>
      <c r="T20" s="2">
        <f>Scoresheet!HR21</f>
        <v>0</v>
      </c>
      <c r="U20" s="2">
        <f>Scoresheet!ID21</f>
        <v>0</v>
      </c>
      <c r="V20" s="2">
        <f>Scoresheet!IP21</f>
        <v>0</v>
      </c>
      <c r="W20" s="2">
        <f>Scoresheet!JB21</f>
        <v>0</v>
      </c>
      <c r="X20" s="2">
        <f>Scoresheet!JN21</f>
        <v>0</v>
      </c>
      <c r="Y20" s="2">
        <f>Scoresheet!JZ21</f>
        <v>0</v>
      </c>
      <c r="Z20" s="2">
        <f t="shared" si="0"/>
        <v>7</v>
      </c>
      <c r="AA20" s="2" t="str">
        <f>Data!H20</f>
        <v>16th January, 2026</v>
      </c>
      <c r="AB20" s="2" t="b">
        <f t="shared" si="2"/>
        <v>0</v>
      </c>
      <c r="AC20" s="2">
        <f t="shared" si="3"/>
        <v>700</v>
      </c>
      <c r="AD20" s="2">
        <f t="shared" si="1"/>
        <v>314</v>
      </c>
      <c r="AE20" s="125">
        <f t="shared" si="4"/>
        <v>31.4</v>
      </c>
      <c r="AF20" s="2">
        <f t="shared" si="5"/>
        <v>33</v>
      </c>
    </row>
    <row r="21" spans="1:32">
      <c r="A21" s="185">
        <v>20</v>
      </c>
      <c r="B21" s="2">
        <f>Scoresheet!J22</f>
        <v>57</v>
      </c>
      <c r="C21" s="2">
        <f>Scoresheet!V22</f>
        <v>0</v>
      </c>
      <c r="D21" s="2">
        <f>Scoresheet!AH22</f>
        <v>57</v>
      </c>
      <c r="E21" s="2">
        <f>Scoresheet!AT22</f>
        <v>57</v>
      </c>
      <c r="F21" s="2">
        <f>Scoresheet!BF22</f>
        <v>57</v>
      </c>
      <c r="G21" s="2">
        <f>Scoresheet!BR22</f>
        <v>57</v>
      </c>
      <c r="H21" s="2">
        <f>Scoresheet!CD22</f>
        <v>57</v>
      </c>
      <c r="I21" s="2">
        <f>Scoresheet!CP22</f>
        <v>0</v>
      </c>
      <c r="J21" s="2">
        <f>Scoresheet!DB22</f>
        <v>0</v>
      </c>
      <c r="K21" s="2">
        <f>Scoresheet!DN22</f>
        <v>0</v>
      </c>
      <c r="L21" s="2">
        <f>Scoresheet!DZ22</f>
        <v>0</v>
      </c>
      <c r="M21" s="2">
        <f>Scoresheet!EL22</f>
        <v>0</v>
      </c>
      <c r="N21" s="2">
        <f>Scoresheet!EX22</f>
        <v>0</v>
      </c>
      <c r="O21" s="2">
        <f>Scoresheet!FJ22</f>
        <v>0</v>
      </c>
      <c r="P21" s="2">
        <f>Scoresheet!FV22</f>
        <v>0</v>
      </c>
      <c r="Q21" s="2">
        <f>Scoresheet!GH22</f>
        <v>0</v>
      </c>
      <c r="R21" s="2">
        <f>Scoresheet!GT22</f>
        <v>0</v>
      </c>
      <c r="S21" s="2">
        <f>Scoresheet!HF22</f>
        <v>0</v>
      </c>
      <c r="T21" s="2">
        <f>Scoresheet!HR22</f>
        <v>31</v>
      </c>
      <c r="U21" s="2">
        <f>Scoresheet!ID22</f>
        <v>0</v>
      </c>
      <c r="V21" s="2">
        <f>Scoresheet!IP22</f>
        <v>0</v>
      </c>
      <c r="W21" s="2">
        <f>Scoresheet!JB22</f>
        <v>0</v>
      </c>
      <c r="X21" s="2">
        <f>Scoresheet!JN22</f>
        <v>0</v>
      </c>
      <c r="Y21" s="2">
        <f>Scoresheet!JZ22</f>
        <v>0</v>
      </c>
      <c r="Z21" s="2">
        <f t="shared" si="0"/>
        <v>7</v>
      </c>
      <c r="AA21" s="2" t="str">
        <f>Data!H21</f>
        <v>16th January, 2026</v>
      </c>
      <c r="AB21" s="2" t="b">
        <f t="shared" si="2"/>
        <v>0</v>
      </c>
      <c r="AC21" s="2">
        <f t="shared" si="3"/>
        <v>700</v>
      </c>
      <c r="AD21" s="2">
        <f t="shared" si="1"/>
        <v>373</v>
      </c>
      <c r="AE21" s="125">
        <f t="shared" si="4"/>
        <v>37.299999999999997</v>
      </c>
      <c r="AF21" s="2">
        <f t="shared" si="5"/>
        <v>21</v>
      </c>
    </row>
    <row r="22" spans="1:32">
      <c r="A22" s="185">
        <v>21</v>
      </c>
      <c r="B22" s="2">
        <f>Scoresheet!J23</f>
        <v>48</v>
      </c>
      <c r="C22" s="2">
        <f>Scoresheet!V23</f>
        <v>0</v>
      </c>
      <c r="D22" s="2">
        <f>Scoresheet!AH23</f>
        <v>48</v>
      </c>
      <c r="E22" s="2">
        <f>Scoresheet!AT23</f>
        <v>48</v>
      </c>
      <c r="F22" s="2">
        <f>Scoresheet!BF23</f>
        <v>48</v>
      </c>
      <c r="G22" s="2">
        <f>Scoresheet!BR23</f>
        <v>48</v>
      </c>
      <c r="H22" s="2">
        <f>Scoresheet!CD23</f>
        <v>48</v>
      </c>
      <c r="I22" s="2">
        <f>Scoresheet!CP23</f>
        <v>0</v>
      </c>
      <c r="J22" s="2">
        <f>Scoresheet!DB23</f>
        <v>0</v>
      </c>
      <c r="K22" s="2">
        <f>Scoresheet!DN23</f>
        <v>0</v>
      </c>
      <c r="L22" s="2">
        <f>Scoresheet!DZ23</f>
        <v>0</v>
      </c>
      <c r="M22" s="2">
        <f>Scoresheet!EL23</f>
        <v>0</v>
      </c>
      <c r="N22" s="2">
        <f>Scoresheet!EX23</f>
        <v>0</v>
      </c>
      <c r="O22" s="2">
        <f>Scoresheet!FJ23</f>
        <v>0</v>
      </c>
      <c r="P22" s="2">
        <f>Scoresheet!FV23</f>
        <v>0</v>
      </c>
      <c r="Q22" s="2">
        <f>Scoresheet!GH23</f>
        <v>0</v>
      </c>
      <c r="R22" s="2">
        <f>Scoresheet!GT23</f>
        <v>0</v>
      </c>
      <c r="S22" s="2">
        <f>Scoresheet!HF23</f>
        <v>0</v>
      </c>
      <c r="T22" s="2">
        <f>Scoresheet!HR23</f>
        <v>0</v>
      </c>
      <c r="U22" s="2">
        <f>Scoresheet!ID23</f>
        <v>0</v>
      </c>
      <c r="V22" s="2">
        <f>Scoresheet!IP23</f>
        <v>0</v>
      </c>
      <c r="W22" s="2">
        <f>Scoresheet!JB23</f>
        <v>0</v>
      </c>
      <c r="X22" s="2">
        <f>Scoresheet!JN23</f>
        <v>0</v>
      </c>
      <c r="Y22" s="2">
        <f>Scoresheet!JZ23</f>
        <v>0</v>
      </c>
      <c r="Z22" s="2">
        <f t="shared" si="0"/>
        <v>6</v>
      </c>
      <c r="AA22" s="2" t="str">
        <f>Data!H22</f>
        <v>16th January, 2026</v>
      </c>
      <c r="AB22" s="2" t="b">
        <f t="shared" si="2"/>
        <v>0</v>
      </c>
      <c r="AC22" s="2">
        <f t="shared" si="3"/>
        <v>600</v>
      </c>
      <c r="AD22" s="2">
        <f t="shared" si="1"/>
        <v>288</v>
      </c>
      <c r="AE22" s="125">
        <f t="shared" si="4"/>
        <v>28.8</v>
      </c>
      <c r="AF22" s="2">
        <f t="shared" si="5"/>
        <v>36</v>
      </c>
    </row>
    <row r="23" spans="1:32">
      <c r="A23" s="185">
        <v>22</v>
      </c>
      <c r="B23" s="2">
        <f>Scoresheet!J24</f>
        <v>47</v>
      </c>
      <c r="C23" s="2">
        <f>Scoresheet!V24</f>
        <v>0</v>
      </c>
      <c r="D23" s="2">
        <f>Scoresheet!AH24</f>
        <v>47</v>
      </c>
      <c r="E23" s="2">
        <f>Scoresheet!AT24</f>
        <v>47</v>
      </c>
      <c r="F23" s="2">
        <f>Scoresheet!BF24</f>
        <v>47</v>
      </c>
      <c r="G23" s="2">
        <f>Scoresheet!BR24</f>
        <v>47</v>
      </c>
      <c r="H23" s="2">
        <f>Scoresheet!CD24</f>
        <v>47</v>
      </c>
      <c r="I23" s="2">
        <f>Scoresheet!CP24</f>
        <v>0</v>
      </c>
      <c r="J23" s="2">
        <f>Scoresheet!DB24</f>
        <v>0</v>
      </c>
      <c r="K23" s="2">
        <f>Scoresheet!DN24</f>
        <v>0</v>
      </c>
      <c r="L23" s="2">
        <f>Scoresheet!DZ24</f>
        <v>0</v>
      </c>
      <c r="M23" s="2">
        <f>Scoresheet!EL24</f>
        <v>0</v>
      </c>
      <c r="N23" s="2">
        <f>Scoresheet!EX24</f>
        <v>0</v>
      </c>
      <c r="O23" s="2">
        <f>Scoresheet!FJ24</f>
        <v>0</v>
      </c>
      <c r="P23" s="2">
        <f>Scoresheet!FV24</f>
        <v>0</v>
      </c>
      <c r="Q23" s="2">
        <f>Scoresheet!GH24</f>
        <v>0</v>
      </c>
      <c r="R23" s="2">
        <f>Scoresheet!GT24</f>
        <v>0</v>
      </c>
      <c r="S23" s="2">
        <f>Scoresheet!HF24</f>
        <v>0</v>
      </c>
      <c r="T23" s="2">
        <f>Scoresheet!HR24</f>
        <v>0</v>
      </c>
      <c r="U23" s="2">
        <f>Scoresheet!ID24</f>
        <v>0</v>
      </c>
      <c r="V23" s="2">
        <f>Scoresheet!IP24</f>
        <v>0</v>
      </c>
      <c r="W23" s="2">
        <f>Scoresheet!JB24</f>
        <v>0</v>
      </c>
      <c r="X23" s="2">
        <f>Scoresheet!JN24</f>
        <v>0</v>
      </c>
      <c r="Y23" s="2">
        <f>Scoresheet!JZ24</f>
        <v>0</v>
      </c>
      <c r="Z23" s="2">
        <f t="shared" si="0"/>
        <v>6</v>
      </c>
      <c r="AA23" s="2" t="str">
        <f>Data!H23</f>
        <v>16th January, 2026</v>
      </c>
      <c r="AB23" s="2" t="b">
        <f t="shared" si="2"/>
        <v>0</v>
      </c>
      <c r="AC23" s="2">
        <f t="shared" si="3"/>
        <v>600</v>
      </c>
      <c r="AD23" s="2">
        <f t="shared" si="1"/>
        <v>282</v>
      </c>
      <c r="AE23" s="125">
        <f t="shared" si="4"/>
        <v>28.2</v>
      </c>
      <c r="AF23" s="2">
        <f t="shared" si="5"/>
        <v>38</v>
      </c>
    </row>
    <row r="24" spans="1:32">
      <c r="A24" s="185">
        <v>23</v>
      </c>
      <c r="B24" s="2">
        <f>Scoresheet!J25</f>
        <v>41</v>
      </c>
      <c r="C24" s="2">
        <f>Scoresheet!V25</f>
        <v>0</v>
      </c>
      <c r="D24" s="2">
        <f>Scoresheet!AH25</f>
        <v>41</v>
      </c>
      <c r="E24" s="2">
        <f>Scoresheet!AT25</f>
        <v>41</v>
      </c>
      <c r="F24" s="2">
        <f>Scoresheet!BF25</f>
        <v>41</v>
      </c>
      <c r="G24" s="2">
        <f>Scoresheet!BR25</f>
        <v>41</v>
      </c>
      <c r="H24" s="2">
        <f>Scoresheet!CD25</f>
        <v>41</v>
      </c>
      <c r="I24" s="2">
        <f>Scoresheet!CP25</f>
        <v>0</v>
      </c>
      <c r="J24" s="2">
        <f>Scoresheet!DB25</f>
        <v>0</v>
      </c>
      <c r="K24" s="2">
        <f>Scoresheet!DN25</f>
        <v>0</v>
      </c>
      <c r="L24" s="2">
        <f>Scoresheet!DZ25</f>
        <v>0</v>
      </c>
      <c r="M24" s="2">
        <f>Scoresheet!EL25</f>
        <v>0</v>
      </c>
      <c r="N24" s="2">
        <f>Scoresheet!EX25</f>
        <v>0</v>
      </c>
      <c r="O24" s="2">
        <f>Scoresheet!FJ25</f>
        <v>0</v>
      </c>
      <c r="P24" s="2">
        <f>Scoresheet!FV25</f>
        <v>0</v>
      </c>
      <c r="Q24" s="2">
        <f>Scoresheet!GH25</f>
        <v>0</v>
      </c>
      <c r="R24" s="2">
        <f>Scoresheet!GT25</f>
        <v>0</v>
      </c>
      <c r="S24" s="2">
        <f>Scoresheet!HF25</f>
        <v>0</v>
      </c>
      <c r="T24" s="2">
        <f>Scoresheet!HR25</f>
        <v>0</v>
      </c>
      <c r="U24" s="2">
        <f>Scoresheet!ID25</f>
        <v>0</v>
      </c>
      <c r="V24" s="2">
        <f>Scoresheet!IP25</f>
        <v>0</v>
      </c>
      <c r="W24" s="2">
        <f>Scoresheet!JB25</f>
        <v>0</v>
      </c>
      <c r="X24" s="2">
        <f>Scoresheet!JN25</f>
        <v>0</v>
      </c>
      <c r="Y24" s="2">
        <f>Scoresheet!JZ25</f>
        <v>0</v>
      </c>
      <c r="Z24" s="2">
        <f t="shared" si="0"/>
        <v>6</v>
      </c>
      <c r="AA24" s="2" t="str">
        <f>Data!H24</f>
        <v>16th January, 2026</v>
      </c>
      <c r="AB24" s="2" t="b">
        <f t="shared" si="2"/>
        <v>0</v>
      </c>
      <c r="AC24" s="2">
        <f t="shared" si="3"/>
        <v>600</v>
      </c>
      <c r="AD24" s="2">
        <f t="shared" si="1"/>
        <v>246</v>
      </c>
      <c r="AE24" s="125">
        <f t="shared" si="4"/>
        <v>24.6</v>
      </c>
      <c r="AF24" s="2">
        <f t="shared" si="5"/>
        <v>44</v>
      </c>
    </row>
    <row r="25" spans="1:32">
      <c r="A25" s="185">
        <v>24</v>
      </c>
      <c r="B25" s="2">
        <f>Scoresheet!J26</f>
        <v>70</v>
      </c>
      <c r="C25" s="2">
        <f>Scoresheet!V26</f>
        <v>0</v>
      </c>
      <c r="D25" s="2">
        <f>Scoresheet!AH26</f>
        <v>70</v>
      </c>
      <c r="E25" s="2">
        <f>Scoresheet!AT26</f>
        <v>70</v>
      </c>
      <c r="F25" s="2">
        <f>Scoresheet!BF26</f>
        <v>70</v>
      </c>
      <c r="G25" s="2">
        <f>Scoresheet!BR26</f>
        <v>70</v>
      </c>
      <c r="H25" s="2">
        <f>Scoresheet!CD26</f>
        <v>70</v>
      </c>
      <c r="I25" s="2">
        <f>Scoresheet!CP26</f>
        <v>0</v>
      </c>
      <c r="J25" s="2">
        <f>Scoresheet!DB26</f>
        <v>0</v>
      </c>
      <c r="K25" s="2">
        <f>Scoresheet!DN26</f>
        <v>0</v>
      </c>
      <c r="L25" s="2">
        <f>Scoresheet!DZ26</f>
        <v>0</v>
      </c>
      <c r="M25" s="2">
        <f>Scoresheet!EL26</f>
        <v>0</v>
      </c>
      <c r="N25" s="2">
        <f>Scoresheet!EX26</f>
        <v>0</v>
      </c>
      <c r="O25" s="2">
        <f>Scoresheet!FJ26</f>
        <v>0</v>
      </c>
      <c r="P25" s="2">
        <f>Scoresheet!FV26</f>
        <v>0</v>
      </c>
      <c r="Q25" s="2">
        <f>Scoresheet!GH26</f>
        <v>0</v>
      </c>
      <c r="R25" s="2">
        <f>Scoresheet!GT26</f>
        <v>0</v>
      </c>
      <c r="S25" s="2">
        <f>Scoresheet!HF26</f>
        <v>0</v>
      </c>
      <c r="T25" s="2">
        <f>Scoresheet!HR26</f>
        <v>0</v>
      </c>
      <c r="U25" s="2">
        <f>Scoresheet!ID26</f>
        <v>0</v>
      </c>
      <c r="V25" s="2">
        <f>Scoresheet!IP26</f>
        <v>0</v>
      </c>
      <c r="W25" s="2">
        <f>Scoresheet!JB26</f>
        <v>0</v>
      </c>
      <c r="X25" s="2">
        <f>Scoresheet!JN26</f>
        <v>0</v>
      </c>
      <c r="Y25" s="2">
        <f>Scoresheet!JZ26</f>
        <v>0</v>
      </c>
      <c r="Z25" s="2">
        <f t="shared" si="0"/>
        <v>6</v>
      </c>
      <c r="AA25" s="2" t="str">
        <f>Data!H25</f>
        <v>16th January, 2026</v>
      </c>
      <c r="AB25" s="2" t="b">
        <f t="shared" si="2"/>
        <v>0</v>
      </c>
      <c r="AC25" s="2">
        <f t="shared" si="3"/>
        <v>600</v>
      </c>
      <c r="AD25" s="2">
        <f t="shared" si="1"/>
        <v>420</v>
      </c>
      <c r="AE25" s="125">
        <f t="shared" si="4"/>
        <v>42</v>
      </c>
      <c r="AF25" s="2">
        <f t="shared" si="5"/>
        <v>11</v>
      </c>
    </row>
    <row r="26" spans="1:32">
      <c r="A26" s="185">
        <v>25</v>
      </c>
      <c r="B26" s="2">
        <f>Scoresheet!J27</f>
        <v>37</v>
      </c>
      <c r="C26" s="2">
        <f>Scoresheet!V27</f>
        <v>0</v>
      </c>
      <c r="D26" s="2">
        <f>Scoresheet!AH27</f>
        <v>37</v>
      </c>
      <c r="E26" s="2">
        <f>Scoresheet!AT27</f>
        <v>37</v>
      </c>
      <c r="F26" s="2">
        <f>Scoresheet!BF27</f>
        <v>37</v>
      </c>
      <c r="G26" s="2">
        <f>Scoresheet!BR27</f>
        <v>37</v>
      </c>
      <c r="H26" s="2">
        <f>Scoresheet!CD27</f>
        <v>37</v>
      </c>
      <c r="I26" s="2">
        <f>Scoresheet!CP27</f>
        <v>0</v>
      </c>
      <c r="J26" s="2">
        <f>Scoresheet!DB27</f>
        <v>0</v>
      </c>
      <c r="K26" s="2">
        <f>Scoresheet!DN27</f>
        <v>0</v>
      </c>
      <c r="L26" s="2">
        <f>Scoresheet!DZ27</f>
        <v>0</v>
      </c>
      <c r="M26" s="2">
        <f>Scoresheet!EL27</f>
        <v>0</v>
      </c>
      <c r="N26" s="2">
        <f>Scoresheet!EX27</f>
        <v>0</v>
      </c>
      <c r="O26" s="2">
        <f>Scoresheet!FJ27</f>
        <v>0</v>
      </c>
      <c r="P26" s="2">
        <f>Scoresheet!FV27</f>
        <v>0</v>
      </c>
      <c r="Q26" s="2">
        <f>Scoresheet!GH27</f>
        <v>0</v>
      </c>
      <c r="R26" s="2">
        <f>Scoresheet!GT27</f>
        <v>0</v>
      </c>
      <c r="S26" s="2">
        <f>Scoresheet!HF27</f>
        <v>0</v>
      </c>
      <c r="T26" s="2">
        <f>Scoresheet!HR27</f>
        <v>0</v>
      </c>
      <c r="U26" s="2">
        <f>Scoresheet!ID27</f>
        <v>0</v>
      </c>
      <c r="V26" s="2">
        <f>Scoresheet!IP27</f>
        <v>0</v>
      </c>
      <c r="W26" s="2">
        <f>Scoresheet!JB27</f>
        <v>0</v>
      </c>
      <c r="X26" s="2">
        <f>Scoresheet!JN27</f>
        <v>0</v>
      </c>
      <c r="Y26" s="2">
        <f>Scoresheet!JZ27</f>
        <v>0</v>
      </c>
      <c r="Z26" s="2">
        <f t="shared" si="0"/>
        <v>6</v>
      </c>
      <c r="AA26" s="2" t="str">
        <f>Data!H26</f>
        <v>16th January, 2026</v>
      </c>
      <c r="AB26" s="2" t="b">
        <f t="shared" si="2"/>
        <v>0</v>
      </c>
      <c r="AC26" s="2">
        <f t="shared" si="3"/>
        <v>600</v>
      </c>
      <c r="AD26" s="2">
        <f t="shared" si="1"/>
        <v>222</v>
      </c>
      <c r="AE26" s="125">
        <f t="shared" si="4"/>
        <v>22.2</v>
      </c>
      <c r="AF26" s="2">
        <f t="shared" si="5"/>
        <v>46</v>
      </c>
    </row>
    <row r="27" spans="1:32">
      <c r="A27" s="185">
        <v>26</v>
      </c>
      <c r="B27" s="2">
        <f>Scoresheet!J28</f>
        <v>37</v>
      </c>
      <c r="C27" s="2">
        <f>Scoresheet!V28</f>
        <v>0</v>
      </c>
      <c r="D27" s="2">
        <f>Scoresheet!AH28</f>
        <v>37</v>
      </c>
      <c r="E27" s="2">
        <f>Scoresheet!AT28</f>
        <v>37</v>
      </c>
      <c r="F27" s="2">
        <f>Scoresheet!BF28</f>
        <v>37</v>
      </c>
      <c r="G27" s="2">
        <f>Scoresheet!BR28</f>
        <v>37</v>
      </c>
      <c r="H27" s="2">
        <f>Scoresheet!CD28</f>
        <v>37</v>
      </c>
      <c r="I27" s="2">
        <f>Scoresheet!CP28</f>
        <v>0</v>
      </c>
      <c r="J27" s="2">
        <f>Scoresheet!DB28</f>
        <v>0</v>
      </c>
      <c r="K27" s="2">
        <f>Scoresheet!DN28</f>
        <v>0</v>
      </c>
      <c r="L27" s="2">
        <f>Scoresheet!DZ28</f>
        <v>0</v>
      </c>
      <c r="M27" s="2">
        <f>Scoresheet!EL28</f>
        <v>0</v>
      </c>
      <c r="N27" s="2">
        <f>Scoresheet!EX28</f>
        <v>0</v>
      </c>
      <c r="O27" s="2">
        <f>Scoresheet!FJ28</f>
        <v>0</v>
      </c>
      <c r="P27" s="2">
        <f>Scoresheet!FV28</f>
        <v>0</v>
      </c>
      <c r="Q27" s="2">
        <f>Scoresheet!GH28</f>
        <v>0</v>
      </c>
      <c r="R27" s="2">
        <f>Scoresheet!GT28</f>
        <v>0</v>
      </c>
      <c r="S27" s="2">
        <f>Scoresheet!HF28</f>
        <v>0</v>
      </c>
      <c r="T27" s="2">
        <f>Scoresheet!HR28</f>
        <v>0</v>
      </c>
      <c r="U27" s="2">
        <f>Scoresheet!ID28</f>
        <v>0</v>
      </c>
      <c r="V27" s="2">
        <f>Scoresheet!IP28</f>
        <v>0</v>
      </c>
      <c r="W27" s="2">
        <f>Scoresheet!JB28</f>
        <v>0</v>
      </c>
      <c r="X27" s="2">
        <f>Scoresheet!JN28</f>
        <v>0</v>
      </c>
      <c r="Y27" s="2">
        <f>Scoresheet!JZ28</f>
        <v>0</v>
      </c>
      <c r="Z27" s="2">
        <f t="shared" si="0"/>
        <v>6</v>
      </c>
      <c r="AA27" s="2" t="str">
        <f>Data!H27</f>
        <v>16th January, 2026</v>
      </c>
      <c r="AB27" s="2" t="b">
        <f t="shared" si="2"/>
        <v>0</v>
      </c>
      <c r="AC27" s="2">
        <f t="shared" si="3"/>
        <v>600</v>
      </c>
      <c r="AD27" s="2">
        <f t="shared" si="1"/>
        <v>222</v>
      </c>
      <c r="AE27" s="125">
        <f t="shared" si="4"/>
        <v>22.2</v>
      </c>
      <c r="AF27" s="2">
        <f t="shared" si="5"/>
        <v>46</v>
      </c>
    </row>
    <row r="28" spans="1:32">
      <c r="A28" s="185">
        <v>27</v>
      </c>
      <c r="B28" s="2">
        <f>Scoresheet!J29</f>
        <v>59</v>
      </c>
      <c r="C28" s="2">
        <f>Scoresheet!V29</f>
        <v>0</v>
      </c>
      <c r="D28" s="2">
        <f>Scoresheet!AH29</f>
        <v>59</v>
      </c>
      <c r="E28" s="2">
        <f>Scoresheet!AT29</f>
        <v>59</v>
      </c>
      <c r="F28" s="2">
        <f>Scoresheet!BF29</f>
        <v>59</v>
      </c>
      <c r="G28" s="2">
        <f>Scoresheet!BR29</f>
        <v>59</v>
      </c>
      <c r="H28" s="2">
        <f>Scoresheet!CD29</f>
        <v>59</v>
      </c>
      <c r="I28" s="2">
        <f>Scoresheet!CP29</f>
        <v>0</v>
      </c>
      <c r="J28" s="2">
        <f>Scoresheet!DB29</f>
        <v>0</v>
      </c>
      <c r="K28" s="2">
        <f>Scoresheet!DN29</f>
        <v>0</v>
      </c>
      <c r="L28" s="2">
        <f>Scoresheet!DZ29</f>
        <v>0</v>
      </c>
      <c r="M28" s="2">
        <f>Scoresheet!EL29</f>
        <v>0</v>
      </c>
      <c r="N28" s="2">
        <f>Scoresheet!EX29</f>
        <v>0</v>
      </c>
      <c r="O28" s="2">
        <f>Scoresheet!FJ29</f>
        <v>0</v>
      </c>
      <c r="P28" s="2">
        <f>Scoresheet!FV29</f>
        <v>0</v>
      </c>
      <c r="Q28" s="2">
        <f>Scoresheet!GH29</f>
        <v>0</v>
      </c>
      <c r="R28" s="2">
        <f>Scoresheet!GT29</f>
        <v>0</v>
      </c>
      <c r="S28" s="2">
        <f>Scoresheet!HF29</f>
        <v>0</v>
      </c>
      <c r="T28" s="2">
        <f>Scoresheet!HR29</f>
        <v>0</v>
      </c>
      <c r="U28" s="2">
        <f>Scoresheet!ID29</f>
        <v>0</v>
      </c>
      <c r="V28" s="2">
        <f>Scoresheet!IP29</f>
        <v>0</v>
      </c>
      <c r="W28" s="2">
        <f>Scoresheet!JB29</f>
        <v>0</v>
      </c>
      <c r="X28" s="2">
        <f>Scoresheet!JN29</f>
        <v>0</v>
      </c>
      <c r="Y28" s="2">
        <f>Scoresheet!JZ29</f>
        <v>0</v>
      </c>
      <c r="Z28" s="2">
        <f t="shared" si="0"/>
        <v>6</v>
      </c>
      <c r="AA28" s="2" t="str">
        <f>Data!H28</f>
        <v>16th January, 2026</v>
      </c>
      <c r="AB28" s="2" t="b">
        <f t="shared" si="2"/>
        <v>0</v>
      </c>
      <c r="AC28" s="2">
        <f t="shared" si="3"/>
        <v>600</v>
      </c>
      <c r="AD28" s="2">
        <f t="shared" si="1"/>
        <v>354</v>
      </c>
      <c r="AE28" s="125">
        <f t="shared" si="4"/>
        <v>35.4</v>
      </c>
      <c r="AF28" s="2">
        <f t="shared" si="5"/>
        <v>24</v>
      </c>
    </row>
    <row r="29" spans="1:32">
      <c r="A29" s="185">
        <v>28</v>
      </c>
      <c r="B29" s="2">
        <f>Scoresheet!J30</f>
        <v>61</v>
      </c>
      <c r="C29" s="2">
        <f>Scoresheet!V30</f>
        <v>0</v>
      </c>
      <c r="D29" s="2">
        <f>Scoresheet!AH30</f>
        <v>61</v>
      </c>
      <c r="E29" s="2">
        <f>Scoresheet!AT30</f>
        <v>61</v>
      </c>
      <c r="F29" s="2">
        <f>Scoresheet!BF30</f>
        <v>61</v>
      </c>
      <c r="G29" s="2">
        <f>Scoresheet!BR30</f>
        <v>61</v>
      </c>
      <c r="H29" s="2">
        <f>Scoresheet!CD30</f>
        <v>61</v>
      </c>
      <c r="I29" s="2">
        <f>Scoresheet!CP30</f>
        <v>0</v>
      </c>
      <c r="J29" s="2">
        <f>Scoresheet!DB30</f>
        <v>0</v>
      </c>
      <c r="K29" s="2">
        <f>Scoresheet!DN30</f>
        <v>0</v>
      </c>
      <c r="L29" s="2">
        <f>Scoresheet!DZ30</f>
        <v>0</v>
      </c>
      <c r="M29" s="2">
        <f>Scoresheet!EL30</f>
        <v>0</v>
      </c>
      <c r="N29" s="2">
        <f>Scoresheet!EX30</f>
        <v>0</v>
      </c>
      <c r="O29" s="2">
        <f>Scoresheet!FJ30</f>
        <v>0</v>
      </c>
      <c r="P29" s="2">
        <f>Scoresheet!FV30</f>
        <v>0</v>
      </c>
      <c r="Q29" s="2">
        <f>Scoresheet!GH30</f>
        <v>0</v>
      </c>
      <c r="R29" s="2">
        <f>Scoresheet!GT30</f>
        <v>0</v>
      </c>
      <c r="S29" s="2">
        <f>Scoresheet!HF30</f>
        <v>0</v>
      </c>
      <c r="T29" s="2">
        <f>Scoresheet!HR30</f>
        <v>35</v>
      </c>
      <c r="U29" s="2">
        <f>Scoresheet!ID30</f>
        <v>0</v>
      </c>
      <c r="V29" s="2">
        <f>Scoresheet!IP30</f>
        <v>0</v>
      </c>
      <c r="W29" s="2">
        <f>Scoresheet!JB30</f>
        <v>0</v>
      </c>
      <c r="X29" s="2">
        <f>Scoresheet!JN30</f>
        <v>0</v>
      </c>
      <c r="Y29" s="2">
        <f>Scoresheet!JZ30</f>
        <v>0</v>
      </c>
      <c r="Z29" s="2">
        <f t="shared" si="0"/>
        <v>7</v>
      </c>
      <c r="AA29" s="2" t="str">
        <f>Data!H29</f>
        <v>16th January, 2026</v>
      </c>
      <c r="AB29" s="2" t="b">
        <f t="shared" si="2"/>
        <v>0</v>
      </c>
      <c r="AC29" s="2">
        <f t="shared" si="3"/>
        <v>700</v>
      </c>
      <c r="AD29" s="2">
        <f t="shared" si="1"/>
        <v>401</v>
      </c>
      <c r="AE29" s="125">
        <f t="shared" si="4"/>
        <v>40.1</v>
      </c>
      <c r="AF29" s="2">
        <f t="shared" si="5"/>
        <v>14</v>
      </c>
    </row>
    <row r="30" spans="1:32">
      <c r="A30" s="185">
        <v>29</v>
      </c>
      <c r="B30" s="2">
        <f>Scoresheet!J31</f>
        <v>58</v>
      </c>
      <c r="C30" s="2">
        <f>Scoresheet!V31</f>
        <v>0</v>
      </c>
      <c r="D30" s="2">
        <f>Scoresheet!AH31</f>
        <v>58</v>
      </c>
      <c r="E30" s="2">
        <f>Scoresheet!AT31</f>
        <v>58</v>
      </c>
      <c r="F30" s="2">
        <f>Scoresheet!BF31</f>
        <v>58</v>
      </c>
      <c r="G30" s="2">
        <f>Scoresheet!BR31</f>
        <v>58</v>
      </c>
      <c r="H30" s="2">
        <f>Scoresheet!CD31</f>
        <v>58</v>
      </c>
      <c r="I30" s="2">
        <f>Scoresheet!CP31</f>
        <v>0</v>
      </c>
      <c r="J30" s="2">
        <f>Scoresheet!DB31</f>
        <v>0</v>
      </c>
      <c r="K30" s="2">
        <f>Scoresheet!DN31</f>
        <v>0</v>
      </c>
      <c r="L30" s="2">
        <f>Scoresheet!DZ31</f>
        <v>0</v>
      </c>
      <c r="M30" s="2">
        <f>Scoresheet!EL31</f>
        <v>0</v>
      </c>
      <c r="N30" s="2">
        <f>Scoresheet!EX31</f>
        <v>0</v>
      </c>
      <c r="O30" s="2">
        <f>Scoresheet!FJ31</f>
        <v>0</v>
      </c>
      <c r="P30" s="2">
        <f>Scoresheet!FV31</f>
        <v>0</v>
      </c>
      <c r="Q30" s="2">
        <f>Scoresheet!GH31</f>
        <v>0</v>
      </c>
      <c r="R30" s="2">
        <f>Scoresheet!GT31</f>
        <v>0</v>
      </c>
      <c r="S30" s="2">
        <f>Scoresheet!HF31</f>
        <v>0</v>
      </c>
      <c r="T30" s="2">
        <f>Scoresheet!HR31</f>
        <v>36</v>
      </c>
      <c r="U30" s="2">
        <f>Scoresheet!ID31</f>
        <v>0</v>
      </c>
      <c r="V30" s="2">
        <f>Scoresheet!IP31</f>
        <v>0</v>
      </c>
      <c r="W30" s="2">
        <f>Scoresheet!JB31</f>
        <v>0</v>
      </c>
      <c r="X30" s="2">
        <f>Scoresheet!JN31</f>
        <v>0</v>
      </c>
      <c r="Y30" s="2">
        <f>Scoresheet!JZ31</f>
        <v>0</v>
      </c>
      <c r="Z30" s="2">
        <f t="shared" si="0"/>
        <v>7</v>
      </c>
      <c r="AA30" s="2" t="str">
        <f>Data!H30</f>
        <v>16th January, 2026</v>
      </c>
      <c r="AB30" s="2" t="b">
        <f t="shared" si="2"/>
        <v>0</v>
      </c>
      <c r="AC30" s="2">
        <f t="shared" si="3"/>
        <v>700</v>
      </c>
      <c r="AD30" s="2">
        <f t="shared" si="1"/>
        <v>384</v>
      </c>
      <c r="AE30" s="125">
        <f t="shared" si="4"/>
        <v>38.4</v>
      </c>
      <c r="AF30" s="2">
        <f t="shared" si="5"/>
        <v>16</v>
      </c>
    </row>
    <row r="31" spans="1:32">
      <c r="A31" s="185">
        <v>30</v>
      </c>
      <c r="B31" s="2">
        <f>Scoresheet!J32</f>
        <v>76</v>
      </c>
      <c r="C31" s="2">
        <f>Scoresheet!V32</f>
        <v>0</v>
      </c>
      <c r="D31" s="2">
        <f>Scoresheet!AH32</f>
        <v>76</v>
      </c>
      <c r="E31" s="2">
        <f>Scoresheet!AT32</f>
        <v>76</v>
      </c>
      <c r="F31" s="2">
        <f>Scoresheet!BF32</f>
        <v>76</v>
      </c>
      <c r="G31" s="2">
        <f>Scoresheet!BR32</f>
        <v>76</v>
      </c>
      <c r="H31" s="2">
        <f>Scoresheet!CD32</f>
        <v>76</v>
      </c>
      <c r="I31" s="2">
        <f>Scoresheet!CP32</f>
        <v>0</v>
      </c>
      <c r="J31" s="2">
        <f>Scoresheet!DB32</f>
        <v>0</v>
      </c>
      <c r="K31" s="2">
        <f>Scoresheet!DN32</f>
        <v>0</v>
      </c>
      <c r="L31" s="2">
        <f>Scoresheet!DZ32</f>
        <v>0</v>
      </c>
      <c r="M31" s="2">
        <f>Scoresheet!EL32</f>
        <v>0</v>
      </c>
      <c r="N31" s="2">
        <f>Scoresheet!EX32</f>
        <v>0</v>
      </c>
      <c r="O31" s="2">
        <f>Scoresheet!FJ32</f>
        <v>0</v>
      </c>
      <c r="P31" s="2">
        <f>Scoresheet!FV32</f>
        <v>0</v>
      </c>
      <c r="Q31" s="2">
        <f>Scoresheet!GH32</f>
        <v>0</v>
      </c>
      <c r="R31" s="2">
        <f>Scoresheet!GT32</f>
        <v>0</v>
      </c>
      <c r="S31" s="2">
        <f>Scoresheet!HF32</f>
        <v>0</v>
      </c>
      <c r="T31" s="2">
        <f>Scoresheet!HR32</f>
        <v>34</v>
      </c>
      <c r="U31" s="2">
        <f>Scoresheet!ID32</f>
        <v>0</v>
      </c>
      <c r="V31" s="2">
        <f>Scoresheet!IP32</f>
        <v>0</v>
      </c>
      <c r="W31" s="2">
        <f>Scoresheet!JB32</f>
        <v>0</v>
      </c>
      <c r="X31" s="2">
        <f>Scoresheet!JN32</f>
        <v>0</v>
      </c>
      <c r="Y31" s="2">
        <f>Scoresheet!JZ32</f>
        <v>0</v>
      </c>
      <c r="Z31" s="2">
        <f t="shared" si="0"/>
        <v>7</v>
      </c>
      <c r="AA31" s="2" t="str">
        <f>Data!H31</f>
        <v>16th January, 2026</v>
      </c>
      <c r="AB31" s="2" t="b">
        <f t="shared" si="2"/>
        <v>0</v>
      </c>
      <c r="AC31" s="2">
        <f t="shared" si="3"/>
        <v>700</v>
      </c>
      <c r="AD31" s="2">
        <f t="shared" si="1"/>
        <v>490</v>
      </c>
      <c r="AE31" s="125">
        <f t="shared" si="4"/>
        <v>49</v>
      </c>
      <c r="AF31" s="2">
        <f t="shared" si="5"/>
        <v>5</v>
      </c>
    </row>
    <row r="32" spans="1:32">
      <c r="A32" s="185">
        <v>31</v>
      </c>
      <c r="B32" s="2">
        <f>Scoresheet!J33</f>
        <v>65</v>
      </c>
      <c r="C32" s="2">
        <f>Scoresheet!V33</f>
        <v>0</v>
      </c>
      <c r="D32" s="2">
        <f>Scoresheet!AH33</f>
        <v>65</v>
      </c>
      <c r="E32" s="2">
        <f>Scoresheet!AT33</f>
        <v>65</v>
      </c>
      <c r="F32" s="2">
        <f>Scoresheet!BF33</f>
        <v>65</v>
      </c>
      <c r="G32" s="2">
        <f>Scoresheet!BR33</f>
        <v>65</v>
      </c>
      <c r="H32" s="2">
        <f>Scoresheet!CD33</f>
        <v>65</v>
      </c>
      <c r="I32" s="2">
        <f>Scoresheet!CP33</f>
        <v>0</v>
      </c>
      <c r="J32" s="2">
        <f>Scoresheet!DB33</f>
        <v>0</v>
      </c>
      <c r="K32" s="2">
        <f>Scoresheet!DN33</f>
        <v>0</v>
      </c>
      <c r="L32" s="2">
        <f>Scoresheet!DZ33</f>
        <v>0</v>
      </c>
      <c r="M32" s="2">
        <f>Scoresheet!EL33</f>
        <v>0</v>
      </c>
      <c r="N32" s="2">
        <f>Scoresheet!EX33</f>
        <v>0</v>
      </c>
      <c r="O32" s="2">
        <f>Scoresheet!FJ33</f>
        <v>0</v>
      </c>
      <c r="P32" s="2">
        <f>Scoresheet!FV33</f>
        <v>0</v>
      </c>
      <c r="Q32" s="2">
        <f>Scoresheet!GH33</f>
        <v>0</v>
      </c>
      <c r="R32" s="2">
        <f>Scoresheet!GT33</f>
        <v>0</v>
      </c>
      <c r="S32" s="2">
        <f>Scoresheet!HF33</f>
        <v>0</v>
      </c>
      <c r="T32" s="2">
        <f>Scoresheet!HR33</f>
        <v>34</v>
      </c>
      <c r="U32" s="2">
        <f>Scoresheet!ID33</f>
        <v>0</v>
      </c>
      <c r="V32" s="2">
        <f>Scoresheet!IP33</f>
        <v>0</v>
      </c>
      <c r="W32" s="2">
        <f>Scoresheet!JB33</f>
        <v>0</v>
      </c>
      <c r="X32" s="2">
        <f>Scoresheet!JN33</f>
        <v>0</v>
      </c>
      <c r="Y32" s="2">
        <f>Scoresheet!JZ33</f>
        <v>0</v>
      </c>
      <c r="Z32" s="2">
        <f t="shared" si="0"/>
        <v>7</v>
      </c>
      <c r="AA32" s="2" t="str">
        <f>Data!H32</f>
        <v>16th January, 2026</v>
      </c>
      <c r="AB32" s="2" t="b">
        <f t="shared" si="2"/>
        <v>0</v>
      </c>
      <c r="AC32" s="2">
        <f t="shared" si="3"/>
        <v>700</v>
      </c>
      <c r="AD32" s="2">
        <f t="shared" si="1"/>
        <v>424</v>
      </c>
      <c r="AE32" s="125">
        <f t="shared" si="4"/>
        <v>42.4</v>
      </c>
      <c r="AF32" s="2">
        <f t="shared" si="5"/>
        <v>10</v>
      </c>
    </row>
    <row r="33" spans="1:32">
      <c r="A33" s="185">
        <v>32</v>
      </c>
      <c r="B33" s="2">
        <f>Scoresheet!J34</f>
        <v>56</v>
      </c>
      <c r="C33" s="2">
        <f>Scoresheet!V34</f>
        <v>0</v>
      </c>
      <c r="D33" s="2">
        <f>Scoresheet!AH34</f>
        <v>56</v>
      </c>
      <c r="E33" s="2">
        <f>Scoresheet!AT34</f>
        <v>56</v>
      </c>
      <c r="F33" s="2">
        <f>Scoresheet!BF34</f>
        <v>56</v>
      </c>
      <c r="G33" s="2">
        <f>Scoresheet!BR34</f>
        <v>56</v>
      </c>
      <c r="H33" s="2">
        <f>Scoresheet!CD34</f>
        <v>56</v>
      </c>
      <c r="I33" s="2">
        <f>Scoresheet!CP34</f>
        <v>0</v>
      </c>
      <c r="J33" s="2">
        <f>Scoresheet!DB34</f>
        <v>0</v>
      </c>
      <c r="K33" s="2">
        <f>Scoresheet!DN34</f>
        <v>43</v>
      </c>
      <c r="L33" s="2">
        <f>Scoresheet!DZ34</f>
        <v>0</v>
      </c>
      <c r="M33" s="2">
        <f>Scoresheet!EL34</f>
        <v>0</v>
      </c>
      <c r="N33" s="2">
        <f>Scoresheet!EX34</f>
        <v>0</v>
      </c>
      <c r="O33" s="2">
        <f>Scoresheet!FJ34</f>
        <v>0</v>
      </c>
      <c r="P33" s="2">
        <f>Scoresheet!FV34</f>
        <v>0</v>
      </c>
      <c r="Q33" s="2">
        <f>Scoresheet!GH34</f>
        <v>0</v>
      </c>
      <c r="R33" s="2">
        <f>Scoresheet!GT34</f>
        <v>0</v>
      </c>
      <c r="S33" s="2">
        <f>Scoresheet!HF34</f>
        <v>0</v>
      </c>
      <c r="T33" s="2">
        <f>Scoresheet!HR34</f>
        <v>0</v>
      </c>
      <c r="U33" s="2">
        <f>Scoresheet!ID34</f>
        <v>0</v>
      </c>
      <c r="V33" s="2">
        <f>Scoresheet!IP34</f>
        <v>0</v>
      </c>
      <c r="W33" s="2">
        <f>Scoresheet!JB34</f>
        <v>0</v>
      </c>
      <c r="X33" s="2">
        <f>Scoresheet!JN34</f>
        <v>0</v>
      </c>
      <c r="Y33" s="2">
        <f>Scoresheet!JZ34</f>
        <v>0</v>
      </c>
      <c r="Z33" s="2">
        <f t="shared" si="0"/>
        <v>7</v>
      </c>
      <c r="AA33" s="2" t="str">
        <f>Data!H33</f>
        <v>16th January, 2026</v>
      </c>
      <c r="AB33" s="2" t="b">
        <f t="shared" si="2"/>
        <v>0</v>
      </c>
      <c r="AC33" s="2">
        <f t="shared" si="3"/>
        <v>700</v>
      </c>
      <c r="AD33" s="2">
        <f t="shared" si="1"/>
        <v>379</v>
      </c>
      <c r="AE33" s="125">
        <f t="shared" si="4"/>
        <v>37.9</v>
      </c>
      <c r="AF33" s="2">
        <f t="shared" si="5"/>
        <v>20</v>
      </c>
    </row>
    <row r="34" spans="1:32">
      <c r="A34" s="185">
        <v>33</v>
      </c>
      <c r="B34" s="2">
        <f>Scoresheet!J35</f>
        <v>53</v>
      </c>
      <c r="C34" s="2">
        <f>Scoresheet!V35</f>
        <v>0</v>
      </c>
      <c r="D34" s="2">
        <f>Scoresheet!AH35</f>
        <v>53</v>
      </c>
      <c r="E34" s="2">
        <f>Scoresheet!AT35</f>
        <v>53</v>
      </c>
      <c r="F34" s="2">
        <f>Scoresheet!BF35</f>
        <v>53</v>
      </c>
      <c r="G34" s="2">
        <f>Scoresheet!BR35</f>
        <v>53</v>
      </c>
      <c r="H34" s="2">
        <f>Scoresheet!CD35</f>
        <v>53</v>
      </c>
      <c r="I34" s="2">
        <f>Scoresheet!CP35</f>
        <v>0</v>
      </c>
      <c r="J34" s="2">
        <f>Scoresheet!DB35</f>
        <v>0</v>
      </c>
      <c r="K34" s="2">
        <f>Scoresheet!DN35</f>
        <v>5</v>
      </c>
      <c r="L34" s="2">
        <f>Scoresheet!DZ35</f>
        <v>0</v>
      </c>
      <c r="M34" s="2">
        <f>Scoresheet!EL35</f>
        <v>0</v>
      </c>
      <c r="N34" s="2">
        <f>Scoresheet!EX35</f>
        <v>0</v>
      </c>
      <c r="O34" s="2">
        <f>Scoresheet!FJ35</f>
        <v>0</v>
      </c>
      <c r="P34" s="2">
        <f>Scoresheet!FV35</f>
        <v>0</v>
      </c>
      <c r="Q34" s="2">
        <f>Scoresheet!GH35</f>
        <v>0</v>
      </c>
      <c r="R34" s="2">
        <f>Scoresheet!GT35</f>
        <v>0</v>
      </c>
      <c r="S34" s="2">
        <f>Scoresheet!HF35</f>
        <v>0</v>
      </c>
      <c r="T34" s="2">
        <f>Scoresheet!HR35</f>
        <v>0</v>
      </c>
      <c r="U34" s="2">
        <f>Scoresheet!ID35</f>
        <v>0</v>
      </c>
      <c r="V34" s="2">
        <f>Scoresheet!IP35</f>
        <v>0</v>
      </c>
      <c r="W34" s="2">
        <f>Scoresheet!JB35</f>
        <v>0</v>
      </c>
      <c r="X34" s="2">
        <f>Scoresheet!JN35</f>
        <v>0</v>
      </c>
      <c r="Y34" s="2">
        <f>Scoresheet!JZ35</f>
        <v>0</v>
      </c>
      <c r="Z34" s="2">
        <f t="shared" ref="Z34:Z51" si="6">COUNTIF(B34:Y34,"&gt;5")</f>
        <v>6</v>
      </c>
      <c r="AA34" s="2" t="str">
        <f>Data!H34</f>
        <v>16th January, 2026</v>
      </c>
      <c r="AB34" s="2" t="b">
        <f t="shared" si="2"/>
        <v>0</v>
      </c>
      <c r="AC34" s="2">
        <f t="shared" si="3"/>
        <v>600</v>
      </c>
      <c r="AD34" s="2">
        <f t="shared" ref="AD34:AD51" si="7">SUM(B34:Y34)</f>
        <v>323</v>
      </c>
      <c r="AE34" s="125">
        <f t="shared" si="4"/>
        <v>32.299999999999997</v>
      </c>
      <c r="AF34" s="2">
        <f t="shared" si="5"/>
        <v>31</v>
      </c>
    </row>
    <row r="35" spans="1:32">
      <c r="A35" s="185">
        <v>34</v>
      </c>
      <c r="B35" s="2">
        <f>Scoresheet!J36</f>
        <v>74</v>
      </c>
      <c r="C35" s="2">
        <f>Scoresheet!V36</f>
        <v>0</v>
      </c>
      <c r="D35" s="2">
        <f>Scoresheet!AH36</f>
        <v>74</v>
      </c>
      <c r="E35" s="2">
        <f>Scoresheet!AT36</f>
        <v>74</v>
      </c>
      <c r="F35" s="2">
        <f>Scoresheet!BF36</f>
        <v>74</v>
      </c>
      <c r="G35" s="2">
        <f>Scoresheet!BR36</f>
        <v>74</v>
      </c>
      <c r="H35" s="2">
        <f>Scoresheet!CD36</f>
        <v>74</v>
      </c>
      <c r="I35" s="2">
        <f>Scoresheet!CP36</f>
        <v>0</v>
      </c>
      <c r="J35" s="2">
        <f>Scoresheet!DB36</f>
        <v>0</v>
      </c>
      <c r="K35" s="2">
        <f>Scoresheet!DN36</f>
        <v>0</v>
      </c>
      <c r="L35" s="2">
        <f>Scoresheet!DZ36</f>
        <v>0</v>
      </c>
      <c r="M35" s="2">
        <f>Scoresheet!EL36</f>
        <v>0</v>
      </c>
      <c r="N35" s="2">
        <f>Scoresheet!EX36</f>
        <v>0</v>
      </c>
      <c r="O35" s="2">
        <f>Scoresheet!FJ36</f>
        <v>0</v>
      </c>
      <c r="P35" s="2">
        <f>Scoresheet!FV36</f>
        <v>0</v>
      </c>
      <c r="Q35" s="2">
        <f>Scoresheet!GH36</f>
        <v>0</v>
      </c>
      <c r="R35" s="2">
        <f>Scoresheet!GT36</f>
        <v>0</v>
      </c>
      <c r="S35" s="2">
        <f>Scoresheet!HF36</f>
        <v>0</v>
      </c>
      <c r="T35" s="2">
        <f>Scoresheet!HR36</f>
        <v>33</v>
      </c>
      <c r="U35" s="2">
        <f>Scoresheet!ID36</f>
        <v>0</v>
      </c>
      <c r="V35" s="2">
        <f>Scoresheet!IP36</f>
        <v>0</v>
      </c>
      <c r="W35" s="2">
        <f>Scoresheet!JB36</f>
        <v>0</v>
      </c>
      <c r="X35" s="2">
        <f>Scoresheet!JN36</f>
        <v>0</v>
      </c>
      <c r="Y35" s="2">
        <f>Scoresheet!JZ36</f>
        <v>0</v>
      </c>
      <c r="Z35" s="2">
        <f t="shared" si="6"/>
        <v>7</v>
      </c>
      <c r="AA35" s="2" t="str">
        <f>Data!H35</f>
        <v>16th January, 2026</v>
      </c>
      <c r="AB35" s="2" t="b">
        <f t="shared" si="2"/>
        <v>0</v>
      </c>
      <c r="AC35" s="2">
        <f t="shared" si="3"/>
        <v>700</v>
      </c>
      <c r="AD35" s="2">
        <f t="shared" si="7"/>
        <v>477</v>
      </c>
      <c r="AE35" s="125">
        <f t="shared" si="4"/>
        <v>47.7</v>
      </c>
      <c r="AF35" s="2">
        <f t="shared" ref="AF35:AF52" si="8">IFERROR(RANK(AE35,$AE$2:$AE$49),"")</f>
        <v>7</v>
      </c>
    </row>
    <row r="36" spans="1:32">
      <c r="A36" s="185">
        <v>35</v>
      </c>
      <c r="B36" s="2">
        <f>Scoresheet!J37</f>
        <v>41</v>
      </c>
      <c r="C36" s="2">
        <f>Scoresheet!V37</f>
        <v>0</v>
      </c>
      <c r="D36" s="2">
        <f>Scoresheet!AH37</f>
        <v>41</v>
      </c>
      <c r="E36" s="2">
        <f>Scoresheet!AT37</f>
        <v>41</v>
      </c>
      <c r="F36" s="2">
        <f>Scoresheet!BF37</f>
        <v>41</v>
      </c>
      <c r="G36" s="2">
        <f>Scoresheet!BR37</f>
        <v>41</v>
      </c>
      <c r="H36" s="2">
        <f>Scoresheet!CD37</f>
        <v>41</v>
      </c>
      <c r="I36" s="2">
        <f>Scoresheet!CP37</f>
        <v>0</v>
      </c>
      <c r="J36" s="2">
        <f>Scoresheet!DB37</f>
        <v>0</v>
      </c>
      <c r="K36" s="2">
        <f>Scoresheet!DN37</f>
        <v>0</v>
      </c>
      <c r="L36" s="2">
        <f>Scoresheet!DZ37</f>
        <v>0</v>
      </c>
      <c r="M36" s="2">
        <f>Scoresheet!EL37</f>
        <v>0</v>
      </c>
      <c r="N36" s="2">
        <f>Scoresheet!EX37</f>
        <v>0</v>
      </c>
      <c r="O36" s="2">
        <f>Scoresheet!FJ37</f>
        <v>0</v>
      </c>
      <c r="P36" s="2">
        <f>Scoresheet!FV37</f>
        <v>0</v>
      </c>
      <c r="Q36" s="2">
        <f>Scoresheet!GH37</f>
        <v>0</v>
      </c>
      <c r="R36" s="2">
        <f>Scoresheet!GT37</f>
        <v>0</v>
      </c>
      <c r="S36" s="2">
        <f>Scoresheet!HF37</f>
        <v>0</v>
      </c>
      <c r="T36" s="2">
        <f>Scoresheet!HR37</f>
        <v>22</v>
      </c>
      <c r="U36" s="2">
        <f>Scoresheet!ID37</f>
        <v>0</v>
      </c>
      <c r="V36" s="2">
        <f>Scoresheet!IP37</f>
        <v>0</v>
      </c>
      <c r="W36" s="2">
        <f>Scoresheet!JB37</f>
        <v>0</v>
      </c>
      <c r="X36" s="2">
        <f>Scoresheet!JN37</f>
        <v>0</v>
      </c>
      <c r="Y36" s="2">
        <f>Scoresheet!JZ37</f>
        <v>0</v>
      </c>
      <c r="Z36" s="2">
        <f t="shared" si="6"/>
        <v>7</v>
      </c>
      <c r="AA36" s="2" t="str">
        <f>Data!H36</f>
        <v>16th January, 2026</v>
      </c>
      <c r="AB36" s="2" t="b">
        <f t="shared" si="2"/>
        <v>0</v>
      </c>
      <c r="AC36" s="2">
        <f t="shared" si="3"/>
        <v>700</v>
      </c>
      <c r="AD36" s="2">
        <f t="shared" si="7"/>
        <v>268</v>
      </c>
      <c r="AE36" s="125">
        <f t="shared" si="4"/>
        <v>26.8</v>
      </c>
      <c r="AF36" s="2">
        <f t="shared" si="8"/>
        <v>41</v>
      </c>
    </row>
    <row r="37" spans="1:32">
      <c r="A37" s="185">
        <v>36</v>
      </c>
      <c r="B37" s="2">
        <f>Scoresheet!J38</f>
        <v>74</v>
      </c>
      <c r="C37" s="2">
        <f>Scoresheet!V38</f>
        <v>0</v>
      </c>
      <c r="D37" s="2">
        <f>Scoresheet!AH38</f>
        <v>74</v>
      </c>
      <c r="E37" s="2">
        <f>Scoresheet!AT38</f>
        <v>74</v>
      </c>
      <c r="F37" s="2">
        <f>Scoresheet!BF38</f>
        <v>74</v>
      </c>
      <c r="G37" s="2">
        <f>Scoresheet!BR38</f>
        <v>74</v>
      </c>
      <c r="H37" s="2">
        <f>Scoresheet!CD38</f>
        <v>74</v>
      </c>
      <c r="I37" s="2">
        <f>Scoresheet!CP38</f>
        <v>0</v>
      </c>
      <c r="J37" s="2">
        <f>Scoresheet!DB38</f>
        <v>0</v>
      </c>
      <c r="K37" s="2">
        <f>Scoresheet!DN38</f>
        <v>0</v>
      </c>
      <c r="L37" s="2">
        <f>Scoresheet!DZ38</f>
        <v>0</v>
      </c>
      <c r="M37" s="2">
        <f>Scoresheet!EL38</f>
        <v>0</v>
      </c>
      <c r="N37" s="2">
        <f>Scoresheet!EX38</f>
        <v>0</v>
      </c>
      <c r="O37" s="2">
        <f>Scoresheet!FJ38</f>
        <v>0</v>
      </c>
      <c r="P37" s="2">
        <f>Scoresheet!FV38</f>
        <v>0</v>
      </c>
      <c r="Q37" s="2">
        <f>Scoresheet!GH38</f>
        <v>0</v>
      </c>
      <c r="R37" s="2">
        <f>Scoresheet!GT38</f>
        <v>0</v>
      </c>
      <c r="S37" s="2">
        <f>Scoresheet!HF38</f>
        <v>0</v>
      </c>
      <c r="T37" s="2">
        <f>Scoresheet!HR38</f>
        <v>28</v>
      </c>
      <c r="U37" s="2">
        <f>Scoresheet!ID38</f>
        <v>0</v>
      </c>
      <c r="V37" s="2">
        <f>Scoresheet!IP38</f>
        <v>0</v>
      </c>
      <c r="W37" s="2">
        <f>Scoresheet!JB38</f>
        <v>0</v>
      </c>
      <c r="X37" s="2">
        <f>Scoresheet!JN38</f>
        <v>0</v>
      </c>
      <c r="Y37" s="2">
        <f>Scoresheet!JZ38</f>
        <v>0</v>
      </c>
      <c r="Z37" s="2">
        <f t="shared" si="6"/>
        <v>7</v>
      </c>
      <c r="AA37" s="2" t="str">
        <f>Data!H37</f>
        <v>16th January, 2026</v>
      </c>
      <c r="AB37" s="2" t="b">
        <f t="shared" si="2"/>
        <v>0</v>
      </c>
      <c r="AC37" s="2">
        <f t="shared" si="3"/>
        <v>700</v>
      </c>
      <c r="AD37" s="2">
        <f t="shared" si="7"/>
        <v>472</v>
      </c>
      <c r="AE37" s="125">
        <f t="shared" si="4"/>
        <v>47.2</v>
      </c>
      <c r="AF37" s="2">
        <f t="shared" si="8"/>
        <v>8</v>
      </c>
    </row>
    <row r="38" spans="1:32">
      <c r="A38" s="185">
        <v>37</v>
      </c>
      <c r="B38" s="2">
        <f>Scoresheet!J39</f>
        <v>75</v>
      </c>
      <c r="C38" s="2">
        <f>Scoresheet!V39</f>
        <v>0</v>
      </c>
      <c r="D38" s="2">
        <f>Scoresheet!AH39</f>
        <v>75</v>
      </c>
      <c r="E38" s="2">
        <f>Scoresheet!AT39</f>
        <v>75</v>
      </c>
      <c r="F38" s="2">
        <f>Scoresheet!BF39</f>
        <v>75</v>
      </c>
      <c r="G38" s="2">
        <f>Scoresheet!BR39</f>
        <v>75</v>
      </c>
      <c r="H38" s="2">
        <f>Scoresheet!CD39</f>
        <v>75</v>
      </c>
      <c r="I38" s="2">
        <f>Scoresheet!CP39</f>
        <v>0</v>
      </c>
      <c r="J38" s="2">
        <f>Scoresheet!DB39</f>
        <v>0</v>
      </c>
      <c r="K38" s="2">
        <f>Scoresheet!DN39</f>
        <v>0</v>
      </c>
      <c r="L38" s="2">
        <f>Scoresheet!DZ39</f>
        <v>0</v>
      </c>
      <c r="M38" s="2">
        <f>Scoresheet!EL39</f>
        <v>0</v>
      </c>
      <c r="N38" s="2">
        <f>Scoresheet!EX39</f>
        <v>0</v>
      </c>
      <c r="O38" s="2">
        <f>Scoresheet!FJ39</f>
        <v>0</v>
      </c>
      <c r="P38" s="2">
        <f>Scoresheet!FV39</f>
        <v>0</v>
      </c>
      <c r="Q38" s="2">
        <f>Scoresheet!GH39</f>
        <v>0</v>
      </c>
      <c r="R38" s="2">
        <f>Scoresheet!GT39</f>
        <v>0</v>
      </c>
      <c r="S38" s="2">
        <f>Scoresheet!HF39</f>
        <v>0</v>
      </c>
      <c r="T38" s="2">
        <f>Scoresheet!HR39</f>
        <v>34</v>
      </c>
      <c r="U38" s="2">
        <f>Scoresheet!ID39</f>
        <v>0</v>
      </c>
      <c r="V38" s="2">
        <f>Scoresheet!IP39</f>
        <v>0</v>
      </c>
      <c r="W38" s="2">
        <f>Scoresheet!JB39</f>
        <v>0</v>
      </c>
      <c r="X38" s="2">
        <f>Scoresheet!JN39</f>
        <v>0</v>
      </c>
      <c r="Y38" s="2">
        <f>Scoresheet!JZ39</f>
        <v>0</v>
      </c>
      <c r="Z38" s="2">
        <f t="shared" si="6"/>
        <v>7</v>
      </c>
      <c r="AA38" s="2" t="str">
        <f>Data!H38</f>
        <v>16th January, 2026</v>
      </c>
      <c r="AB38" s="2" t="b">
        <f t="shared" si="2"/>
        <v>0</v>
      </c>
      <c r="AC38" s="2">
        <f t="shared" si="3"/>
        <v>700</v>
      </c>
      <c r="AD38" s="2">
        <f t="shared" si="7"/>
        <v>484</v>
      </c>
      <c r="AE38" s="125">
        <f t="shared" si="4"/>
        <v>48.4</v>
      </c>
      <c r="AF38" s="2">
        <f t="shared" si="8"/>
        <v>6</v>
      </c>
    </row>
    <row r="39" spans="1:32">
      <c r="A39" s="185">
        <v>38</v>
      </c>
      <c r="B39" s="2">
        <f>Scoresheet!J40</f>
        <v>46</v>
      </c>
      <c r="C39" s="2">
        <f>Scoresheet!V40</f>
        <v>0</v>
      </c>
      <c r="D39" s="2">
        <f>Scoresheet!AH40</f>
        <v>46</v>
      </c>
      <c r="E39" s="2">
        <f>Scoresheet!AT40</f>
        <v>46</v>
      </c>
      <c r="F39" s="2">
        <f>Scoresheet!BF40</f>
        <v>46</v>
      </c>
      <c r="G39" s="2">
        <f>Scoresheet!BR40</f>
        <v>46</v>
      </c>
      <c r="H39" s="2">
        <f>Scoresheet!CD40</f>
        <v>46</v>
      </c>
      <c r="I39" s="2">
        <f>Scoresheet!CP40</f>
        <v>0</v>
      </c>
      <c r="J39" s="2">
        <f>Scoresheet!DB40</f>
        <v>0</v>
      </c>
      <c r="K39" s="2">
        <f>Scoresheet!DN40</f>
        <v>3</v>
      </c>
      <c r="L39" s="2">
        <f>Scoresheet!DZ40</f>
        <v>0</v>
      </c>
      <c r="M39" s="2">
        <f>Scoresheet!EL40</f>
        <v>0</v>
      </c>
      <c r="N39" s="2">
        <f>Scoresheet!EX40</f>
        <v>0</v>
      </c>
      <c r="O39" s="2">
        <f>Scoresheet!FJ40</f>
        <v>0</v>
      </c>
      <c r="P39" s="2">
        <f>Scoresheet!FV40</f>
        <v>0</v>
      </c>
      <c r="Q39" s="2">
        <f>Scoresheet!GH40</f>
        <v>0</v>
      </c>
      <c r="R39" s="2">
        <f>Scoresheet!GT40</f>
        <v>0</v>
      </c>
      <c r="S39" s="2">
        <f>Scoresheet!HF40</f>
        <v>0</v>
      </c>
      <c r="T39" s="2">
        <f>Scoresheet!HR40</f>
        <v>0</v>
      </c>
      <c r="U39" s="2">
        <f>Scoresheet!ID40</f>
        <v>0</v>
      </c>
      <c r="V39" s="2">
        <f>Scoresheet!IP40</f>
        <v>0</v>
      </c>
      <c r="W39" s="2">
        <f>Scoresheet!JB40</f>
        <v>0</v>
      </c>
      <c r="X39" s="2">
        <f>Scoresheet!JN40</f>
        <v>0</v>
      </c>
      <c r="Y39" s="2">
        <f>Scoresheet!JZ40</f>
        <v>0</v>
      </c>
      <c r="Z39" s="2">
        <f t="shared" si="6"/>
        <v>6</v>
      </c>
      <c r="AA39" s="2" t="str">
        <f>Data!H39</f>
        <v>16th January, 2026</v>
      </c>
      <c r="AB39" s="2" t="b">
        <f t="shared" si="2"/>
        <v>0</v>
      </c>
      <c r="AC39" s="2">
        <f t="shared" si="3"/>
        <v>600</v>
      </c>
      <c r="AD39" s="2">
        <f t="shared" si="7"/>
        <v>279</v>
      </c>
      <c r="AE39" s="125">
        <f t="shared" si="4"/>
        <v>27.6</v>
      </c>
      <c r="AF39" s="2">
        <f t="shared" si="8"/>
        <v>39</v>
      </c>
    </row>
    <row r="40" spans="1:32">
      <c r="A40" s="185">
        <v>39</v>
      </c>
      <c r="B40" s="2">
        <f>Scoresheet!J41</f>
        <v>65</v>
      </c>
      <c r="C40" s="2">
        <f>Scoresheet!V41</f>
        <v>0</v>
      </c>
      <c r="D40" s="2">
        <f>Scoresheet!AH41</f>
        <v>65</v>
      </c>
      <c r="E40" s="2">
        <f>Scoresheet!AT41</f>
        <v>65</v>
      </c>
      <c r="F40" s="2">
        <f>Scoresheet!BF41</f>
        <v>65</v>
      </c>
      <c r="G40" s="2">
        <f>Scoresheet!BR41</f>
        <v>65</v>
      </c>
      <c r="H40" s="2">
        <f>Scoresheet!CD41</f>
        <v>65</v>
      </c>
      <c r="I40" s="2">
        <f>Scoresheet!CP41</f>
        <v>0</v>
      </c>
      <c r="J40" s="2">
        <f>Scoresheet!DB41</f>
        <v>0</v>
      </c>
      <c r="K40" s="2">
        <f>Scoresheet!DN41</f>
        <v>59</v>
      </c>
      <c r="L40" s="2">
        <f>Scoresheet!DZ41</f>
        <v>0</v>
      </c>
      <c r="M40" s="2">
        <f>Scoresheet!EL41</f>
        <v>0</v>
      </c>
      <c r="N40" s="2">
        <f>Scoresheet!EX41</f>
        <v>0</v>
      </c>
      <c r="O40" s="2">
        <f>Scoresheet!FJ41</f>
        <v>0</v>
      </c>
      <c r="P40" s="2">
        <f>Scoresheet!FV41</f>
        <v>0</v>
      </c>
      <c r="Q40" s="2">
        <f>Scoresheet!GH41</f>
        <v>0</v>
      </c>
      <c r="R40" s="2">
        <f>Scoresheet!GT41</f>
        <v>0</v>
      </c>
      <c r="S40" s="2">
        <f>Scoresheet!HF41</f>
        <v>0</v>
      </c>
      <c r="T40" s="2">
        <f>Scoresheet!HR41</f>
        <v>0</v>
      </c>
      <c r="U40" s="2">
        <f>Scoresheet!ID41</f>
        <v>0</v>
      </c>
      <c r="V40" s="2">
        <f>Scoresheet!IP41</f>
        <v>0</v>
      </c>
      <c r="W40" s="2">
        <f>Scoresheet!JB41</f>
        <v>0</v>
      </c>
      <c r="X40" s="2">
        <f>Scoresheet!JN41</f>
        <v>0</v>
      </c>
      <c r="Y40" s="2">
        <f>Scoresheet!JZ41</f>
        <v>0</v>
      </c>
      <c r="Z40" s="2">
        <f t="shared" si="6"/>
        <v>7</v>
      </c>
      <c r="AA40" s="2" t="str">
        <f>Data!H40</f>
        <v>16th January, 2026</v>
      </c>
      <c r="AB40" s="2" t="b">
        <f t="shared" si="2"/>
        <v>0</v>
      </c>
      <c r="AC40" s="2">
        <f t="shared" si="3"/>
        <v>700</v>
      </c>
      <c r="AD40" s="2">
        <f t="shared" si="7"/>
        <v>449</v>
      </c>
      <c r="AE40" s="125">
        <f t="shared" si="4"/>
        <v>44.9</v>
      </c>
      <c r="AF40" s="2">
        <f t="shared" si="8"/>
        <v>9</v>
      </c>
    </row>
    <row r="41" spans="1:32">
      <c r="A41" s="185">
        <v>40</v>
      </c>
      <c r="B41" s="2">
        <f>Scoresheet!J42</f>
        <v>55</v>
      </c>
      <c r="C41" s="2">
        <f>Scoresheet!V42</f>
        <v>0</v>
      </c>
      <c r="D41" s="2">
        <f>Scoresheet!AH42</f>
        <v>55</v>
      </c>
      <c r="E41" s="2">
        <f>Scoresheet!AT42</f>
        <v>55</v>
      </c>
      <c r="F41" s="2">
        <f>Scoresheet!BF42</f>
        <v>55</v>
      </c>
      <c r="G41" s="2">
        <f>Scoresheet!BR42</f>
        <v>55</v>
      </c>
      <c r="H41" s="2">
        <f>Scoresheet!CD42</f>
        <v>55</v>
      </c>
      <c r="I41" s="2">
        <f>Scoresheet!CP42</f>
        <v>0</v>
      </c>
      <c r="J41" s="2">
        <f>Scoresheet!DB42</f>
        <v>0</v>
      </c>
      <c r="K41" s="2">
        <f>Scoresheet!DN42</f>
        <v>0</v>
      </c>
      <c r="L41" s="2">
        <f>Scoresheet!DZ42</f>
        <v>0</v>
      </c>
      <c r="M41" s="2">
        <f>Scoresheet!EL42</f>
        <v>0</v>
      </c>
      <c r="N41" s="2">
        <f>Scoresheet!EX42</f>
        <v>0</v>
      </c>
      <c r="O41" s="2">
        <f>Scoresheet!FJ42</f>
        <v>0</v>
      </c>
      <c r="P41" s="2">
        <f>Scoresheet!FV42</f>
        <v>0</v>
      </c>
      <c r="Q41" s="2">
        <f>Scoresheet!GH42</f>
        <v>0</v>
      </c>
      <c r="R41" s="2">
        <f>Scoresheet!GT42</f>
        <v>0</v>
      </c>
      <c r="S41" s="2">
        <f>Scoresheet!HF42</f>
        <v>0</v>
      </c>
      <c r="T41" s="2">
        <f>Scoresheet!HR42</f>
        <v>32</v>
      </c>
      <c r="U41" s="2">
        <f>Scoresheet!ID42</f>
        <v>0</v>
      </c>
      <c r="V41" s="2">
        <f>Scoresheet!IP42</f>
        <v>0</v>
      </c>
      <c r="W41" s="2">
        <f>Scoresheet!JB42</f>
        <v>0</v>
      </c>
      <c r="X41" s="2">
        <f>Scoresheet!JN42</f>
        <v>0</v>
      </c>
      <c r="Y41" s="2">
        <f>Scoresheet!JZ42</f>
        <v>0</v>
      </c>
      <c r="Z41" s="2">
        <f t="shared" si="6"/>
        <v>7</v>
      </c>
      <c r="AA41" s="2" t="str">
        <f>Data!H41</f>
        <v>16th January, 2026</v>
      </c>
      <c r="AB41" s="2" t="b">
        <f t="shared" si="2"/>
        <v>0</v>
      </c>
      <c r="AC41" s="2">
        <f t="shared" si="3"/>
        <v>700</v>
      </c>
      <c r="AD41" s="2">
        <f t="shared" si="7"/>
        <v>362</v>
      </c>
      <c r="AE41" s="125">
        <f t="shared" si="4"/>
        <v>36.200000000000003</v>
      </c>
      <c r="AF41" s="2">
        <f t="shared" si="8"/>
        <v>23</v>
      </c>
    </row>
    <row r="42" spans="1:32">
      <c r="A42" s="185">
        <v>41</v>
      </c>
      <c r="B42" s="2">
        <f>Scoresheet!J43</f>
        <v>63</v>
      </c>
      <c r="C42" s="2">
        <f>Scoresheet!V43</f>
        <v>0</v>
      </c>
      <c r="D42" s="2">
        <f>Scoresheet!AH43</f>
        <v>63</v>
      </c>
      <c r="E42" s="2">
        <f>Scoresheet!AT43</f>
        <v>63</v>
      </c>
      <c r="F42" s="2">
        <f>Scoresheet!BF43</f>
        <v>63</v>
      </c>
      <c r="G42" s="2">
        <f>Scoresheet!BR43</f>
        <v>63</v>
      </c>
      <c r="H42" s="2">
        <f>Scoresheet!CD43</f>
        <v>63</v>
      </c>
      <c r="I42" s="2">
        <f>Scoresheet!CP43</f>
        <v>0</v>
      </c>
      <c r="J42" s="2">
        <f>Scoresheet!DB43</f>
        <v>0</v>
      </c>
      <c r="K42" s="2">
        <f>Scoresheet!DN43</f>
        <v>0</v>
      </c>
      <c r="L42" s="2">
        <f>Scoresheet!DZ43</f>
        <v>0</v>
      </c>
      <c r="M42" s="2">
        <f>Scoresheet!EL43</f>
        <v>0</v>
      </c>
      <c r="N42" s="2">
        <f>Scoresheet!EX43</f>
        <v>0</v>
      </c>
      <c r="O42" s="2">
        <f>Scoresheet!FJ43</f>
        <v>0</v>
      </c>
      <c r="P42" s="2">
        <f>Scoresheet!FV43</f>
        <v>0</v>
      </c>
      <c r="Q42" s="2">
        <f>Scoresheet!GH43</f>
        <v>0</v>
      </c>
      <c r="R42" s="2">
        <f>Scoresheet!GT43</f>
        <v>0</v>
      </c>
      <c r="S42" s="2">
        <f>Scoresheet!HF43</f>
        <v>0</v>
      </c>
      <c r="T42" s="2">
        <f>Scoresheet!HR43</f>
        <v>36</v>
      </c>
      <c r="U42" s="2">
        <f>Scoresheet!ID43</f>
        <v>0</v>
      </c>
      <c r="V42" s="2">
        <f>Scoresheet!IP43</f>
        <v>0</v>
      </c>
      <c r="W42" s="2">
        <f>Scoresheet!JB43</f>
        <v>0</v>
      </c>
      <c r="X42" s="2">
        <f>Scoresheet!JN43</f>
        <v>0</v>
      </c>
      <c r="Y42" s="2">
        <f>Scoresheet!JZ43</f>
        <v>0</v>
      </c>
      <c r="Z42" s="2">
        <f t="shared" si="6"/>
        <v>7</v>
      </c>
      <c r="AA42" s="2" t="str">
        <f>Data!H42</f>
        <v>16th January, 2026</v>
      </c>
      <c r="AB42" s="2" t="b">
        <f t="shared" si="2"/>
        <v>0</v>
      </c>
      <c r="AC42" s="2">
        <f t="shared" si="3"/>
        <v>700</v>
      </c>
      <c r="AD42" s="2">
        <f t="shared" si="7"/>
        <v>414</v>
      </c>
      <c r="AE42" s="125">
        <f t="shared" si="4"/>
        <v>41.4</v>
      </c>
      <c r="AF42" s="2">
        <f t="shared" si="8"/>
        <v>12</v>
      </c>
    </row>
    <row r="43" spans="1:32">
      <c r="A43" s="185">
        <v>42</v>
      </c>
      <c r="B43" s="2">
        <f>Scoresheet!J44</f>
        <v>38</v>
      </c>
      <c r="C43" s="2">
        <f>Scoresheet!V44</f>
        <v>0</v>
      </c>
      <c r="D43" s="2">
        <f>Scoresheet!AH44</f>
        <v>38</v>
      </c>
      <c r="E43" s="2">
        <f>Scoresheet!AT44</f>
        <v>38</v>
      </c>
      <c r="F43" s="2">
        <f>Scoresheet!BF44</f>
        <v>38</v>
      </c>
      <c r="G43" s="2">
        <f>Scoresheet!BR44</f>
        <v>38</v>
      </c>
      <c r="H43" s="2">
        <f>Scoresheet!CD44</f>
        <v>38</v>
      </c>
      <c r="I43" s="2">
        <f>Scoresheet!CP44</f>
        <v>0</v>
      </c>
      <c r="J43" s="2">
        <f>Scoresheet!DB44</f>
        <v>0</v>
      </c>
      <c r="K43" s="2">
        <f>Scoresheet!DN44</f>
        <v>0</v>
      </c>
      <c r="L43" s="2">
        <f>Scoresheet!DZ44</f>
        <v>0</v>
      </c>
      <c r="M43" s="2">
        <f>Scoresheet!EL44</f>
        <v>0</v>
      </c>
      <c r="N43" s="2">
        <f>Scoresheet!EX44</f>
        <v>0</v>
      </c>
      <c r="O43" s="2">
        <f>Scoresheet!FJ44</f>
        <v>0</v>
      </c>
      <c r="P43" s="2">
        <f>Scoresheet!FV44</f>
        <v>0</v>
      </c>
      <c r="Q43" s="2">
        <f>Scoresheet!GH44</f>
        <v>0</v>
      </c>
      <c r="R43" s="2">
        <f>Scoresheet!GT44</f>
        <v>0</v>
      </c>
      <c r="S43" s="2">
        <f>Scoresheet!HF44</f>
        <v>0</v>
      </c>
      <c r="T43" s="2">
        <f>Scoresheet!HR44</f>
        <v>24</v>
      </c>
      <c r="U43" s="2">
        <f>Scoresheet!ID44</f>
        <v>0</v>
      </c>
      <c r="V43" s="2">
        <f>Scoresheet!IP44</f>
        <v>0</v>
      </c>
      <c r="W43" s="2">
        <f>Scoresheet!JB44</f>
        <v>0</v>
      </c>
      <c r="X43" s="2">
        <f>Scoresheet!JN44</f>
        <v>0</v>
      </c>
      <c r="Y43" s="2">
        <f>Scoresheet!JZ44</f>
        <v>0</v>
      </c>
      <c r="Z43" s="2">
        <f t="shared" si="6"/>
        <v>7</v>
      </c>
      <c r="AA43" s="2" t="str">
        <f>Data!H43</f>
        <v>16th January, 2026</v>
      </c>
      <c r="AB43" s="2" t="b">
        <f t="shared" si="2"/>
        <v>0</v>
      </c>
      <c r="AC43" s="2">
        <f t="shared" si="3"/>
        <v>700</v>
      </c>
      <c r="AD43" s="2">
        <f t="shared" si="7"/>
        <v>252</v>
      </c>
      <c r="AE43" s="125">
        <f t="shared" si="4"/>
        <v>25.2</v>
      </c>
      <c r="AF43" s="2">
        <f t="shared" si="8"/>
        <v>43</v>
      </c>
    </row>
    <row r="44" spans="1:32">
      <c r="A44" s="185">
        <v>43</v>
      </c>
      <c r="B44" s="2">
        <f>Scoresheet!J45</f>
        <v>57</v>
      </c>
      <c r="C44" s="2">
        <f>Scoresheet!V45</f>
        <v>0</v>
      </c>
      <c r="D44" s="2">
        <f>Scoresheet!AH45</f>
        <v>57</v>
      </c>
      <c r="E44" s="2">
        <f>Scoresheet!AT45</f>
        <v>57</v>
      </c>
      <c r="F44" s="2">
        <f>Scoresheet!BF45</f>
        <v>57</v>
      </c>
      <c r="G44" s="2">
        <f>Scoresheet!BR45</f>
        <v>57</v>
      </c>
      <c r="H44" s="2">
        <f>Scoresheet!CD45</f>
        <v>57</v>
      </c>
      <c r="I44" s="2">
        <f>Scoresheet!CP45</f>
        <v>0</v>
      </c>
      <c r="J44" s="2">
        <f>Scoresheet!DB45</f>
        <v>0</v>
      </c>
      <c r="K44" s="2">
        <f>Scoresheet!DN45</f>
        <v>0</v>
      </c>
      <c r="L44" s="2">
        <f>Scoresheet!DZ45</f>
        <v>0</v>
      </c>
      <c r="M44" s="2">
        <f>Scoresheet!EL45</f>
        <v>0</v>
      </c>
      <c r="N44" s="2">
        <f>Scoresheet!EX45</f>
        <v>0</v>
      </c>
      <c r="O44" s="2">
        <f>Scoresheet!FJ45</f>
        <v>0</v>
      </c>
      <c r="P44" s="2">
        <f>Scoresheet!FV45</f>
        <v>0</v>
      </c>
      <c r="Q44" s="2">
        <f>Scoresheet!GH45</f>
        <v>0</v>
      </c>
      <c r="R44" s="2">
        <f>Scoresheet!GT45</f>
        <v>0</v>
      </c>
      <c r="S44" s="2">
        <f>Scoresheet!HF45</f>
        <v>0</v>
      </c>
      <c r="T44" s="2">
        <f>Scoresheet!HR45</f>
        <v>29</v>
      </c>
      <c r="U44" s="2">
        <f>Scoresheet!ID45</f>
        <v>0</v>
      </c>
      <c r="V44" s="2">
        <f>Scoresheet!IP45</f>
        <v>0</v>
      </c>
      <c r="W44" s="2">
        <f>Scoresheet!JB45</f>
        <v>0</v>
      </c>
      <c r="X44" s="2">
        <f>Scoresheet!JN45</f>
        <v>0</v>
      </c>
      <c r="Y44" s="2">
        <f>Scoresheet!JZ45</f>
        <v>0</v>
      </c>
      <c r="Z44" s="2">
        <f t="shared" si="6"/>
        <v>7</v>
      </c>
      <c r="AA44" s="2" t="str">
        <f>Data!H44</f>
        <v>16th January, 2026</v>
      </c>
      <c r="AB44" s="2" t="b">
        <f t="shared" si="2"/>
        <v>0</v>
      </c>
      <c r="AC44" s="2">
        <f t="shared" si="3"/>
        <v>700</v>
      </c>
      <c r="AD44" s="2">
        <f t="shared" si="7"/>
        <v>371</v>
      </c>
      <c r="AE44" s="125">
        <f t="shared" si="4"/>
        <v>37.1</v>
      </c>
      <c r="AF44" s="2">
        <f t="shared" si="8"/>
        <v>22</v>
      </c>
    </row>
    <row r="45" spans="1:32">
      <c r="A45" s="185">
        <v>44</v>
      </c>
      <c r="B45" s="2">
        <f>Scoresheet!J46</f>
        <v>88</v>
      </c>
      <c r="C45" s="2">
        <f>Scoresheet!V46</f>
        <v>0</v>
      </c>
      <c r="D45" s="2">
        <f>Scoresheet!AH46</f>
        <v>88</v>
      </c>
      <c r="E45" s="2">
        <f>Scoresheet!AT46</f>
        <v>88</v>
      </c>
      <c r="F45" s="2">
        <f>Scoresheet!BF46</f>
        <v>88</v>
      </c>
      <c r="G45" s="2">
        <f>Scoresheet!BR46</f>
        <v>88</v>
      </c>
      <c r="H45" s="2">
        <f>Scoresheet!CD46</f>
        <v>88</v>
      </c>
      <c r="I45" s="2">
        <f>Scoresheet!CP46</f>
        <v>0</v>
      </c>
      <c r="J45" s="2">
        <f>Scoresheet!DB46</f>
        <v>0</v>
      </c>
      <c r="K45" s="2">
        <f>Scoresheet!DN46</f>
        <v>0</v>
      </c>
      <c r="L45" s="2">
        <f>Scoresheet!DZ46</f>
        <v>0</v>
      </c>
      <c r="M45" s="2">
        <f>Scoresheet!EL46</f>
        <v>0</v>
      </c>
      <c r="N45" s="2">
        <f>Scoresheet!EX46</f>
        <v>0</v>
      </c>
      <c r="O45" s="2">
        <f>Scoresheet!FJ46</f>
        <v>0</v>
      </c>
      <c r="P45" s="2">
        <f>Scoresheet!FV46</f>
        <v>0</v>
      </c>
      <c r="Q45" s="2">
        <f>Scoresheet!GH46</f>
        <v>0</v>
      </c>
      <c r="R45" s="2">
        <f>Scoresheet!GT46</f>
        <v>0</v>
      </c>
      <c r="S45" s="2">
        <f>Scoresheet!HF46</f>
        <v>0</v>
      </c>
      <c r="T45" s="2">
        <f>Scoresheet!HR46</f>
        <v>37</v>
      </c>
      <c r="U45" s="2">
        <f>Scoresheet!ID46</f>
        <v>0</v>
      </c>
      <c r="V45" s="2">
        <f>Scoresheet!IP46</f>
        <v>0</v>
      </c>
      <c r="W45" s="2">
        <f>Scoresheet!JB46</f>
        <v>0</v>
      </c>
      <c r="X45" s="2">
        <f>Scoresheet!JN46</f>
        <v>0</v>
      </c>
      <c r="Y45" s="2">
        <f>Scoresheet!JZ46</f>
        <v>0</v>
      </c>
      <c r="Z45" s="2">
        <f t="shared" si="6"/>
        <v>7</v>
      </c>
      <c r="AA45" s="2" t="str">
        <f>Data!H45</f>
        <v>16th January, 2026</v>
      </c>
      <c r="AB45" s="2" t="b">
        <f t="shared" si="2"/>
        <v>0</v>
      </c>
      <c r="AC45" s="2">
        <f t="shared" si="3"/>
        <v>700</v>
      </c>
      <c r="AD45" s="2">
        <f t="shared" si="7"/>
        <v>565</v>
      </c>
      <c r="AE45" s="125">
        <f t="shared" si="4"/>
        <v>56.5</v>
      </c>
      <c r="AF45" s="2">
        <f t="shared" si="8"/>
        <v>2</v>
      </c>
    </row>
    <row r="46" spans="1:32">
      <c r="A46" s="185">
        <v>45</v>
      </c>
      <c r="B46" s="2">
        <f>Scoresheet!J47</f>
        <v>88</v>
      </c>
      <c r="C46" s="2">
        <f>Scoresheet!V47</f>
        <v>0</v>
      </c>
      <c r="D46" s="2">
        <f>Scoresheet!AH47</f>
        <v>88</v>
      </c>
      <c r="E46" s="2">
        <f>Scoresheet!AT47</f>
        <v>88</v>
      </c>
      <c r="F46" s="2">
        <f>Scoresheet!BF47</f>
        <v>88</v>
      </c>
      <c r="G46" s="2">
        <f>Scoresheet!BR47</f>
        <v>88</v>
      </c>
      <c r="H46" s="2">
        <f>Scoresheet!CD47</f>
        <v>88</v>
      </c>
      <c r="I46" s="2">
        <f>Scoresheet!CP47</f>
        <v>0</v>
      </c>
      <c r="J46" s="2">
        <f>Scoresheet!DB47</f>
        <v>0</v>
      </c>
      <c r="K46" s="2">
        <f>Scoresheet!DN47</f>
        <v>85</v>
      </c>
      <c r="L46" s="2">
        <f>Scoresheet!DZ47</f>
        <v>0</v>
      </c>
      <c r="M46" s="2">
        <f>Scoresheet!EL47</f>
        <v>0</v>
      </c>
      <c r="N46" s="2">
        <f>Scoresheet!EX47</f>
        <v>0</v>
      </c>
      <c r="O46" s="2">
        <f>Scoresheet!FJ47</f>
        <v>0</v>
      </c>
      <c r="P46" s="2">
        <f>Scoresheet!FV47</f>
        <v>0</v>
      </c>
      <c r="Q46" s="2">
        <f>Scoresheet!GH47</f>
        <v>0</v>
      </c>
      <c r="R46" s="2">
        <f>Scoresheet!GT47</f>
        <v>0</v>
      </c>
      <c r="S46" s="2">
        <f>Scoresheet!HF47</f>
        <v>0</v>
      </c>
      <c r="T46" s="2">
        <f>Scoresheet!HR47</f>
        <v>0</v>
      </c>
      <c r="U46" s="2">
        <f>Scoresheet!ID47</f>
        <v>0</v>
      </c>
      <c r="V46" s="2">
        <f>Scoresheet!IP47</f>
        <v>0</v>
      </c>
      <c r="W46" s="2">
        <f>Scoresheet!JB47</f>
        <v>0</v>
      </c>
      <c r="X46" s="2">
        <f>Scoresheet!JN47</f>
        <v>0</v>
      </c>
      <c r="Y46" s="2">
        <f>Scoresheet!JZ47</f>
        <v>0</v>
      </c>
      <c r="Z46" s="2">
        <f t="shared" si="6"/>
        <v>7</v>
      </c>
      <c r="AA46" s="2" t="str">
        <f>Data!H46</f>
        <v>16th January, 2026</v>
      </c>
      <c r="AB46" s="2" t="b">
        <f t="shared" si="2"/>
        <v>0</v>
      </c>
      <c r="AC46" s="2">
        <f t="shared" si="3"/>
        <v>700</v>
      </c>
      <c r="AD46" s="2">
        <f t="shared" si="7"/>
        <v>613</v>
      </c>
      <c r="AE46" s="125">
        <f t="shared" si="4"/>
        <v>61.3</v>
      </c>
      <c r="AF46" s="2">
        <f t="shared" si="8"/>
        <v>1</v>
      </c>
    </row>
    <row r="47" spans="1:32">
      <c r="A47" s="185">
        <v>46</v>
      </c>
      <c r="B47" s="2">
        <f>Scoresheet!J48</f>
        <v>49</v>
      </c>
      <c r="C47" s="2">
        <f>Scoresheet!V48</f>
        <v>0</v>
      </c>
      <c r="D47" s="2">
        <f>Scoresheet!AH48</f>
        <v>49</v>
      </c>
      <c r="E47" s="2">
        <f>Scoresheet!AT48</f>
        <v>49</v>
      </c>
      <c r="F47" s="2">
        <f>Scoresheet!BF48</f>
        <v>49</v>
      </c>
      <c r="G47" s="2">
        <f>Scoresheet!BR48</f>
        <v>49</v>
      </c>
      <c r="H47" s="2">
        <f>Scoresheet!CD48</f>
        <v>49</v>
      </c>
      <c r="I47" s="2">
        <f>Scoresheet!CP48</f>
        <v>0</v>
      </c>
      <c r="J47" s="2">
        <f>Scoresheet!DB48</f>
        <v>0</v>
      </c>
      <c r="K47" s="2">
        <f>Scoresheet!DN48</f>
        <v>0</v>
      </c>
      <c r="L47" s="2">
        <f>Scoresheet!DZ48</f>
        <v>0</v>
      </c>
      <c r="M47" s="2">
        <f>Scoresheet!EL48</f>
        <v>0</v>
      </c>
      <c r="N47" s="2">
        <f>Scoresheet!EX48</f>
        <v>0</v>
      </c>
      <c r="O47" s="2">
        <f>Scoresheet!FJ48</f>
        <v>0</v>
      </c>
      <c r="P47" s="2">
        <f>Scoresheet!FV48</f>
        <v>0</v>
      </c>
      <c r="Q47" s="2">
        <f>Scoresheet!GH48</f>
        <v>0</v>
      </c>
      <c r="R47" s="2">
        <f>Scoresheet!GT48</f>
        <v>0</v>
      </c>
      <c r="S47" s="2">
        <f>Scoresheet!HF48</f>
        <v>0</v>
      </c>
      <c r="T47" s="2">
        <f>Scoresheet!HR48</f>
        <v>31</v>
      </c>
      <c r="U47" s="2">
        <f>Scoresheet!ID48</f>
        <v>0</v>
      </c>
      <c r="V47" s="2">
        <f>Scoresheet!IP48</f>
        <v>0</v>
      </c>
      <c r="W47" s="2">
        <f>Scoresheet!JB48</f>
        <v>0</v>
      </c>
      <c r="X47" s="2">
        <f>Scoresheet!JN48</f>
        <v>0</v>
      </c>
      <c r="Y47" s="2">
        <f>Scoresheet!JZ48</f>
        <v>0</v>
      </c>
      <c r="Z47" s="2">
        <f t="shared" si="6"/>
        <v>7</v>
      </c>
      <c r="AA47" s="2" t="str">
        <f>Data!H47</f>
        <v>16th January, 2026</v>
      </c>
      <c r="AB47" s="2" t="b">
        <f t="shared" si="2"/>
        <v>0</v>
      </c>
      <c r="AC47" s="2">
        <f t="shared" si="3"/>
        <v>700</v>
      </c>
      <c r="AD47" s="2">
        <f t="shared" si="7"/>
        <v>325</v>
      </c>
      <c r="AE47" s="125">
        <f t="shared" si="4"/>
        <v>32.5</v>
      </c>
      <c r="AF47" s="2">
        <f t="shared" si="8"/>
        <v>28</v>
      </c>
    </row>
    <row r="48" spans="1:32">
      <c r="A48" s="185">
        <v>47</v>
      </c>
      <c r="B48" s="2">
        <f>Scoresheet!J49</f>
        <v>82</v>
      </c>
      <c r="C48" s="2">
        <f>Scoresheet!V49</f>
        <v>0</v>
      </c>
      <c r="D48" s="2">
        <f>Scoresheet!AH49</f>
        <v>82</v>
      </c>
      <c r="E48" s="2">
        <f>Scoresheet!AT49</f>
        <v>82</v>
      </c>
      <c r="F48" s="2">
        <f>Scoresheet!BF49</f>
        <v>82</v>
      </c>
      <c r="G48" s="2">
        <f>Scoresheet!BR49</f>
        <v>82</v>
      </c>
      <c r="H48" s="2">
        <f>Scoresheet!CD49</f>
        <v>82</v>
      </c>
      <c r="I48" s="2">
        <f>Scoresheet!CP49</f>
        <v>0</v>
      </c>
      <c r="J48" s="2">
        <f>Scoresheet!DB49</f>
        <v>0</v>
      </c>
      <c r="K48" s="2">
        <f>Scoresheet!DN49</f>
        <v>0</v>
      </c>
      <c r="L48" s="2">
        <f>Scoresheet!DZ49</f>
        <v>0</v>
      </c>
      <c r="M48" s="2">
        <f>Scoresheet!EL49</f>
        <v>0</v>
      </c>
      <c r="N48" s="2">
        <f>Scoresheet!EX49</f>
        <v>0</v>
      </c>
      <c r="O48" s="2">
        <f>Scoresheet!FJ49</f>
        <v>0</v>
      </c>
      <c r="P48" s="2">
        <f>Scoresheet!FV49</f>
        <v>0</v>
      </c>
      <c r="Q48" s="2">
        <f>Scoresheet!GH49</f>
        <v>0</v>
      </c>
      <c r="R48" s="2">
        <f>Scoresheet!GT49</f>
        <v>0</v>
      </c>
      <c r="S48" s="2">
        <f>Scoresheet!HF49</f>
        <v>0</v>
      </c>
      <c r="T48" s="2">
        <f>Scoresheet!HR49</f>
        <v>35</v>
      </c>
      <c r="U48" s="2">
        <f>Scoresheet!ID49</f>
        <v>0</v>
      </c>
      <c r="V48" s="2">
        <f>Scoresheet!IP49</f>
        <v>0</v>
      </c>
      <c r="W48" s="2">
        <f>Scoresheet!JB49</f>
        <v>0</v>
      </c>
      <c r="X48" s="2">
        <f>Scoresheet!JN49</f>
        <v>0</v>
      </c>
      <c r="Y48" s="2">
        <f>Scoresheet!JZ49</f>
        <v>0</v>
      </c>
      <c r="Z48" s="2">
        <f t="shared" si="6"/>
        <v>7</v>
      </c>
      <c r="AA48" s="2" t="str">
        <f>Data!H48</f>
        <v>16th January, 2026</v>
      </c>
      <c r="AB48" s="2" t="b">
        <f t="shared" si="2"/>
        <v>0</v>
      </c>
      <c r="AC48" s="2">
        <f t="shared" si="3"/>
        <v>700</v>
      </c>
      <c r="AD48" s="2">
        <f t="shared" si="7"/>
        <v>527</v>
      </c>
      <c r="AE48" s="125">
        <f t="shared" si="4"/>
        <v>52.7</v>
      </c>
      <c r="AF48" s="2">
        <f t="shared" si="8"/>
        <v>4</v>
      </c>
    </row>
    <row r="49" spans="1:32">
      <c r="A49" s="185">
        <v>48</v>
      </c>
      <c r="B49" s="2">
        <f>Scoresheet!J50</f>
        <v>87</v>
      </c>
      <c r="C49" s="2">
        <f>Scoresheet!V50</f>
        <v>0</v>
      </c>
      <c r="D49" s="2">
        <f>Scoresheet!AH50</f>
        <v>87</v>
      </c>
      <c r="E49" s="2">
        <f>Scoresheet!AT50</f>
        <v>87</v>
      </c>
      <c r="F49" s="2">
        <f>Scoresheet!BF50</f>
        <v>87</v>
      </c>
      <c r="G49" s="2">
        <f>Scoresheet!BR50</f>
        <v>87</v>
      </c>
      <c r="H49" s="2">
        <f>Scoresheet!CD50</f>
        <v>87</v>
      </c>
      <c r="I49" s="2">
        <f>Scoresheet!CP50</f>
        <v>0</v>
      </c>
      <c r="J49" s="2">
        <f>Scoresheet!DB50</f>
        <v>0</v>
      </c>
      <c r="K49" s="2">
        <f>Scoresheet!DN50</f>
        <v>0</v>
      </c>
      <c r="L49" s="2">
        <f>Scoresheet!DZ50</f>
        <v>0</v>
      </c>
      <c r="M49" s="2">
        <f>Scoresheet!EL50</f>
        <v>0</v>
      </c>
      <c r="N49" s="2">
        <f>Scoresheet!EX50</f>
        <v>0</v>
      </c>
      <c r="O49" s="2">
        <f>Scoresheet!FJ50</f>
        <v>0</v>
      </c>
      <c r="P49" s="2">
        <f>Scoresheet!FV50</f>
        <v>0</v>
      </c>
      <c r="Q49" s="2">
        <f>Scoresheet!GH50</f>
        <v>0</v>
      </c>
      <c r="R49" s="2">
        <f>Scoresheet!GT50</f>
        <v>0</v>
      </c>
      <c r="S49" s="2">
        <f>Scoresheet!HF50</f>
        <v>0</v>
      </c>
      <c r="T49" s="2">
        <f>Scoresheet!HR50</f>
        <v>36</v>
      </c>
      <c r="U49" s="2">
        <f>Scoresheet!ID50</f>
        <v>0</v>
      </c>
      <c r="V49" s="2">
        <f>Scoresheet!IP50</f>
        <v>0</v>
      </c>
      <c r="W49" s="2">
        <f>Scoresheet!JB50</f>
        <v>0</v>
      </c>
      <c r="X49" s="2">
        <f>Scoresheet!JN50</f>
        <v>0</v>
      </c>
      <c r="Y49" s="2">
        <f>Scoresheet!JZ50</f>
        <v>0</v>
      </c>
      <c r="Z49" s="2">
        <f t="shared" si="6"/>
        <v>7</v>
      </c>
      <c r="AA49" s="2" t="str">
        <f>Data!H49</f>
        <v>16th January, 2026</v>
      </c>
      <c r="AB49" s="2" t="b">
        <f t="shared" si="2"/>
        <v>0</v>
      </c>
      <c r="AC49" s="2">
        <f t="shared" si="3"/>
        <v>700</v>
      </c>
      <c r="AD49" s="2">
        <f t="shared" si="7"/>
        <v>558</v>
      </c>
      <c r="AE49" s="125">
        <f t="shared" si="4"/>
        <v>55.8</v>
      </c>
      <c r="AF49" s="2">
        <f t="shared" si="8"/>
        <v>3</v>
      </c>
    </row>
    <row r="50" spans="1:32">
      <c r="A50" s="185">
        <v>49</v>
      </c>
      <c r="B50" s="2">
        <f>Scoresheet!J51</f>
        <v>70</v>
      </c>
      <c r="C50" s="2">
        <f>Scoresheet!V51</f>
        <v>0</v>
      </c>
      <c r="D50" s="2">
        <f>Scoresheet!AH51</f>
        <v>70</v>
      </c>
      <c r="E50" s="2">
        <f>Scoresheet!AT51</f>
        <v>70</v>
      </c>
      <c r="F50" s="2">
        <f>Scoresheet!BF51</f>
        <v>70</v>
      </c>
      <c r="G50" s="2">
        <f>Scoresheet!BR51</f>
        <v>70</v>
      </c>
      <c r="H50" s="2">
        <f>Scoresheet!CD51</f>
        <v>70</v>
      </c>
      <c r="I50" s="2">
        <f>Scoresheet!CP51</f>
        <v>0</v>
      </c>
      <c r="J50" s="2">
        <f>Scoresheet!DB51</f>
        <v>0</v>
      </c>
      <c r="K50" s="2">
        <f>Scoresheet!DN51</f>
        <v>0</v>
      </c>
      <c r="L50" s="2">
        <f>Scoresheet!DZ51</f>
        <v>0</v>
      </c>
      <c r="M50" s="2">
        <f>Scoresheet!EL51</f>
        <v>0</v>
      </c>
      <c r="N50" s="2">
        <f>Scoresheet!EX51</f>
        <v>0</v>
      </c>
      <c r="O50" s="2">
        <f>Scoresheet!FJ51</f>
        <v>0</v>
      </c>
      <c r="P50" s="2">
        <f>Scoresheet!FV51</f>
        <v>0</v>
      </c>
      <c r="Q50" s="2">
        <f>Scoresheet!GH51</f>
        <v>0</v>
      </c>
      <c r="R50" s="2">
        <f>Scoresheet!GT51</f>
        <v>0</v>
      </c>
      <c r="S50" s="2">
        <f>Scoresheet!HF51</f>
        <v>0</v>
      </c>
      <c r="T50" s="2">
        <f>Scoresheet!HR51</f>
        <v>26</v>
      </c>
      <c r="U50" s="2">
        <f>Scoresheet!ID51</f>
        <v>0</v>
      </c>
      <c r="V50" s="2">
        <f>Scoresheet!IP51</f>
        <v>0</v>
      </c>
      <c r="W50" s="2">
        <f>Scoresheet!JB51</f>
        <v>0</v>
      </c>
      <c r="X50" s="2">
        <f>Scoresheet!JN51</f>
        <v>0</v>
      </c>
      <c r="Y50" s="2">
        <f>Scoresheet!JZ51</f>
        <v>0</v>
      </c>
      <c r="Z50" s="2">
        <f t="shared" si="6"/>
        <v>7</v>
      </c>
      <c r="AA50" s="2" t="str">
        <f>Data!H50</f>
        <v>16th January, 2026</v>
      </c>
      <c r="AB50" s="2" t="b">
        <f t="shared" si="2"/>
        <v>0</v>
      </c>
      <c r="AC50" s="2">
        <f t="shared" si="3"/>
        <v>700</v>
      </c>
      <c r="AD50" s="2">
        <f t="shared" si="7"/>
        <v>446</v>
      </c>
      <c r="AE50" s="125">
        <f t="shared" si="4"/>
        <v>44.6</v>
      </c>
      <c r="AF50" s="2" t="str">
        <f t="shared" si="8"/>
        <v/>
      </c>
    </row>
    <row r="51" spans="1:32">
      <c r="A51" s="185">
        <v>50</v>
      </c>
      <c r="B51" s="2">
        <f>Scoresheet!J52</f>
        <v>57</v>
      </c>
      <c r="C51" s="2">
        <f>Scoresheet!V52</f>
        <v>0</v>
      </c>
      <c r="D51" s="2">
        <f>Scoresheet!AH52</f>
        <v>57</v>
      </c>
      <c r="E51" s="2">
        <f>Scoresheet!AT52</f>
        <v>57</v>
      </c>
      <c r="F51" s="2">
        <f>Scoresheet!BF52</f>
        <v>57</v>
      </c>
      <c r="G51" s="2">
        <f>Scoresheet!BR52</f>
        <v>57</v>
      </c>
      <c r="H51" s="2">
        <f>Scoresheet!CD52</f>
        <v>57</v>
      </c>
      <c r="I51" s="2">
        <f>Scoresheet!CP52</f>
        <v>0</v>
      </c>
      <c r="J51" s="2">
        <f>Scoresheet!DB52</f>
        <v>0</v>
      </c>
      <c r="K51" s="2">
        <f>Scoresheet!DN52</f>
        <v>0</v>
      </c>
      <c r="L51" s="2">
        <f>Scoresheet!DZ52</f>
        <v>0</v>
      </c>
      <c r="M51" s="2">
        <f>Scoresheet!EL52</f>
        <v>0</v>
      </c>
      <c r="N51" s="2">
        <f>Scoresheet!EX52</f>
        <v>0</v>
      </c>
      <c r="O51" s="2">
        <f>Scoresheet!FJ52</f>
        <v>0</v>
      </c>
      <c r="P51" s="2">
        <f>Scoresheet!FV52</f>
        <v>0</v>
      </c>
      <c r="Q51" s="2">
        <f>Scoresheet!GH52</f>
        <v>0</v>
      </c>
      <c r="R51" s="2">
        <f>Scoresheet!GT52</f>
        <v>0</v>
      </c>
      <c r="S51" s="2">
        <f>Scoresheet!HF52</f>
        <v>0</v>
      </c>
      <c r="T51" s="2">
        <f>Scoresheet!HR52</f>
        <v>32</v>
      </c>
      <c r="U51" s="2">
        <f>Scoresheet!ID52</f>
        <v>0</v>
      </c>
      <c r="V51" s="2">
        <f>Scoresheet!IP52</f>
        <v>0</v>
      </c>
      <c r="W51" s="2">
        <f>Scoresheet!JB52</f>
        <v>0</v>
      </c>
      <c r="X51" s="2">
        <f>Scoresheet!JN52</f>
        <v>0</v>
      </c>
      <c r="Y51" s="2">
        <f>Scoresheet!JZ52</f>
        <v>0</v>
      </c>
      <c r="Z51" s="2">
        <f t="shared" si="6"/>
        <v>7</v>
      </c>
      <c r="AA51" s="2" t="str">
        <f>Data!H51</f>
        <v>16th January, 2026</v>
      </c>
      <c r="AB51" s="2" t="b">
        <f t="shared" si="2"/>
        <v>0</v>
      </c>
      <c r="AC51" s="2">
        <f t="shared" si="3"/>
        <v>700</v>
      </c>
      <c r="AD51" s="2">
        <f t="shared" si="7"/>
        <v>374</v>
      </c>
      <c r="AE51" s="125">
        <f t="shared" si="4"/>
        <v>37.4</v>
      </c>
      <c r="AF51" s="2" t="str">
        <f t="shared" si="8"/>
        <v/>
      </c>
    </row>
    <row r="52" spans="1:32">
      <c r="A52" s="185">
        <v>51</v>
      </c>
      <c r="B52" s="2"/>
      <c r="C52" s="2">
        <f>Scoresheet!V53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 t="str">
        <f>Data!H52</f>
        <v>16th January, 2026</v>
      </c>
      <c r="AB52" s="2"/>
      <c r="AC52" s="2"/>
      <c r="AD52" s="2"/>
      <c r="AE52" s="125">
        <f t="shared" si="4"/>
        <v>0</v>
      </c>
      <c r="AF52" s="2" t="str">
        <f t="shared" si="8"/>
        <v/>
      </c>
    </row>
    <row r="53" spans="1:32">
      <c r="A53" s="185">
        <v>52</v>
      </c>
    </row>
    <row r="54" spans="1:32">
      <c r="A54" s="185">
        <v>53</v>
      </c>
    </row>
    <row r="55" spans="1:32">
      <c r="A55" s="185">
        <v>54</v>
      </c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25"/>
      <c r="AF55" s="214"/>
    </row>
    <row r="56" spans="1:32">
      <c r="A56" s="185">
        <v>55</v>
      </c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25"/>
      <c r="AF56" s="214"/>
    </row>
  </sheetData>
  <dataValidations count="1">
    <dataValidation type="list" allowBlank="1" showInputMessage="1" showErrorMessage="1" sqref="A2">
      <formula1>$A$3:$A$45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16" workbookViewId="0">
      <selection activeCell="B4" sqref="B4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56" t="s">
        <v>18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</row>
    <row r="2" spans="1:12">
      <c r="A2" s="3"/>
      <c r="B2" s="6" t="s">
        <v>19</v>
      </c>
      <c r="C2" s="257" t="s">
        <v>20</v>
      </c>
      <c r="D2" s="257"/>
      <c r="E2" s="257"/>
      <c r="F2" s="257"/>
      <c r="G2" s="257"/>
      <c r="H2" s="258" t="s">
        <v>21</v>
      </c>
      <c r="I2" s="259"/>
      <c r="J2" s="259"/>
      <c r="K2" s="259"/>
      <c r="L2" s="260"/>
    </row>
    <row r="3" spans="1:12" ht="53.25">
      <c r="A3" s="3" t="s">
        <v>4</v>
      </c>
      <c r="B3" s="3" t="s">
        <v>22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23</v>
      </c>
      <c r="H3" s="7" t="s">
        <v>10</v>
      </c>
      <c r="I3" s="7" t="s">
        <v>24</v>
      </c>
      <c r="J3" s="7" t="s">
        <v>25</v>
      </c>
      <c r="K3" s="7" t="s">
        <v>26</v>
      </c>
      <c r="L3" s="8" t="s">
        <v>27</v>
      </c>
    </row>
    <row r="4" spans="1:12" ht="12.95" customHeight="1">
      <c r="A4" s="3">
        <v>1</v>
      </c>
      <c r="B4" s="9"/>
      <c r="C4" s="3"/>
      <c r="D4" s="3"/>
      <c r="E4" s="3"/>
      <c r="F4" s="3"/>
      <c r="G4" s="3">
        <f>SUM(C4:F4)</f>
        <v>0</v>
      </c>
      <c r="H4" s="3"/>
      <c r="I4" s="3">
        <f>G4+H4</f>
        <v>0</v>
      </c>
      <c r="J4" s="3" t="str">
        <f>IF(I4&lt;10,"",RANK(I4,I$4:I$53))</f>
        <v/>
      </c>
      <c r="K4" s="3" t="str">
        <f>IF(I4&gt;=75,"A",IF(I4&gt;=70,"B2",IF(I4&gt;=50,"C",IF(I4&gt;=45,"D",IF(I4&gt;=40,"E",IF(I4&gt;=6,"F",IF(I4&lt;5,"")))))))</f>
        <v/>
      </c>
      <c r="L4" s="3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3">
        <v>2</v>
      </c>
      <c r="B5" s="9"/>
      <c r="C5" s="3"/>
      <c r="D5" s="3"/>
      <c r="E5" s="3"/>
      <c r="F5" s="3"/>
      <c r="G5" s="3">
        <f t="shared" ref="G5:G31" si="0">SUM(C5:F5)</f>
        <v>0</v>
      </c>
      <c r="H5" s="3"/>
      <c r="I5" s="3">
        <f t="shared" ref="I5:I53" si="1">G5+H5</f>
        <v>0</v>
      </c>
      <c r="J5" s="3" t="str">
        <f t="shared" ref="J5:J53" si="2">IF(I5&lt;10,"",RANK(I5,I$4:I$53))</f>
        <v/>
      </c>
      <c r="K5" s="3" t="str">
        <f t="shared" ref="K5:K53" si="3">IF(I5&gt;=75,"A",IF(I5&gt;=70,"B2",IF(I5&gt;=50,"C",IF(I5&gt;=45,"D",IF(I5&gt;=40,"E",IF(I5&gt;=6,"F",IF(I5&lt;5,"")))))))</f>
        <v/>
      </c>
      <c r="L5" s="3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3">
        <v>3</v>
      </c>
      <c r="B6" s="9"/>
      <c r="C6" s="3"/>
      <c r="D6" s="3"/>
      <c r="E6" s="3"/>
      <c r="F6" s="3"/>
      <c r="G6" s="3">
        <f t="shared" si="0"/>
        <v>0</v>
      </c>
      <c r="H6" s="3"/>
      <c r="I6" s="3">
        <f t="shared" si="1"/>
        <v>0</v>
      </c>
      <c r="J6" s="3" t="str">
        <f t="shared" si="2"/>
        <v/>
      </c>
      <c r="K6" s="3" t="str">
        <f t="shared" si="3"/>
        <v/>
      </c>
      <c r="L6" s="3" t="str">
        <f t="shared" si="4"/>
        <v/>
      </c>
    </row>
    <row r="7" spans="1:12" ht="12.95" customHeight="1">
      <c r="A7" s="3">
        <v>4</v>
      </c>
      <c r="B7" s="9"/>
      <c r="C7" s="3"/>
      <c r="D7" s="3"/>
      <c r="E7" s="3"/>
      <c r="F7" s="3"/>
      <c r="G7" s="3">
        <f t="shared" si="0"/>
        <v>0</v>
      </c>
      <c r="H7" s="3"/>
      <c r="I7" s="3">
        <f t="shared" si="1"/>
        <v>0</v>
      </c>
      <c r="J7" s="3" t="str">
        <f t="shared" si="2"/>
        <v/>
      </c>
      <c r="K7" s="3" t="str">
        <f t="shared" si="3"/>
        <v/>
      </c>
      <c r="L7" s="3" t="str">
        <f t="shared" si="4"/>
        <v/>
      </c>
    </row>
    <row r="8" spans="1:12" ht="12.95" customHeight="1">
      <c r="A8" s="3">
        <v>5</v>
      </c>
      <c r="B8" s="9"/>
      <c r="C8" s="3"/>
      <c r="D8" s="3"/>
      <c r="E8" s="3"/>
      <c r="F8" s="3"/>
      <c r="G8" s="3">
        <f t="shared" si="0"/>
        <v>0</v>
      </c>
      <c r="H8" s="3"/>
      <c r="I8" s="3">
        <f t="shared" si="1"/>
        <v>0</v>
      </c>
      <c r="J8" s="3" t="str">
        <f t="shared" si="2"/>
        <v/>
      </c>
      <c r="K8" s="3" t="str">
        <f t="shared" si="3"/>
        <v/>
      </c>
      <c r="L8" s="3" t="str">
        <f t="shared" si="4"/>
        <v/>
      </c>
    </row>
    <row r="9" spans="1:12" ht="12.95" customHeight="1">
      <c r="A9" s="3">
        <v>6</v>
      </c>
      <c r="B9" s="9"/>
      <c r="C9" s="3"/>
      <c r="D9" s="3"/>
      <c r="E9" s="3"/>
      <c r="F9" s="3"/>
      <c r="G9" s="3">
        <f t="shared" si="0"/>
        <v>0</v>
      </c>
      <c r="H9" s="3"/>
      <c r="I9" s="3">
        <f t="shared" si="1"/>
        <v>0</v>
      </c>
      <c r="J9" s="3" t="str">
        <f t="shared" si="2"/>
        <v/>
      </c>
      <c r="K9" s="3" t="str">
        <f t="shared" si="3"/>
        <v/>
      </c>
      <c r="L9" s="3" t="str">
        <f t="shared" si="4"/>
        <v/>
      </c>
    </row>
    <row r="10" spans="1:12" ht="12.95" customHeight="1">
      <c r="A10" s="3">
        <v>7</v>
      </c>
      <c r="B10" s="9"/>
      <c r="C10" s="3"/>
      <c r="D10" s="3"/>
      <c r="E10" s="3"/>
      <c r="F10" s="3"/>
      <c r="G10" s="3">
        <f t="shared" si="0"/>
        <v>0</v>
      </c>
      <c r="H10" s="3"/>
      <c r="I10" s="3">
        <f t="shared" si="1"/>
        <v>0</v>
      </c>
      <c r="J10" s="3" t="str">
        <f t="shared" si="2"/>
        <v/>
      </c>
      <c r="K10" s="3" t="str">
        <f t="shared" si="3"/>
        <v/>
      </c>
      <c r="L10" s="3" t="str">
        <f t="shared" si="4"/>
        <v/>
      </c>
    </row>
    <row r="11" spans="1:12" ht="12.95" customHeight="1">
      <c r="A11" s="3">
        <v>8</v>
      </c>
      <c r="B11" s="9"/>
      <c r="C11" s="3"/>
      <c r="D11" s="3"/>
      <c r="E11" s="3"/>
      <c r="F11" s="3"/>
      <c r="G11" s="3">
        <f t="shared" si="0"/>
        <v>0</v>
      </c>
      <c r="H11" s="3"/>
      <c r="I11" s="3">
        <f t="shared" si="1"/>
        <v>0</v>
      </c>
      <c r="J11" s="3" t="str">
        <f t="shared" si="2"/>
        <v/>
      </c>
      <c r="K11" s="3" t="str">
        <f t="shared" si="3"/>
        <v/>
      </c>
      <c r="L11" s="3" t="str">
        <f t="shared" si="4"/>
        <v/>
      </c>
    </row>
    <row r="12" spans="1:12" ht="12.95" customHeight="1">
      <c r="A12" s="3">
        <v>9</v>
      </c>
      <c r="B12" s="9"/>
      <c r="C12" s="3"/>
      <c r="D12" s="3"/>
      <c r="E12" s="3"/>
      <c r="F12" s="3"/>
      <c r="G12" s="3">
        <f t="shared" si="0"/>
        <v>0</v>
      </c>
      <c r="H12" s="3"/>
      <c r="I12" s="3">
        <f t="shared" si="1"/>
        <v>0</v>
      </c>
      <c r="J12" s="3" t="str">
        <f t="shared" si="2"/>
        <v/>
      </c>
      <c r="K12" s="3" t="str">
        <f t="shared" si="3"/>
        <v/>
      </c>
      <c r="L12" s="3" t="str">
        <f t="shared" si="4"/>
        <v/>
      </c>
    </row>
    <row r="13" spans="1:12" ht="12.95" customHeight="1">
      <c r="A13" s="3">
        <v>10</v>
      </c>
      <c r="B13" s="9"/>
      <c r="C13" s="3"/>
      <c r="D13" s="3"/>
      <c r="E13" s="3"/>
      <c r="F13" s="3"/>
      <c r="G13" s="3">
        <f t="shared" si="0"/>
        <v>0</v>
      </c>
      <c r="H13" s="3"/>
      <c r="I13" s="3">
        <f t="shared" si="1"/>
        <v>0</v>
      </c>
      <c r="J13" s="3" t="str">
        <f t="shared" si="2"/>
        <v/>
      </c>
      <c r="K13" s="3" t="str">
        <f t="shared" si="3"/>
        <v/>
      </c>
      <c r="L13" s="3" t="str">
        <f t="shared" si="4"/>
        <v/>
      </c>
    </row>
    <row r="14" spans="1:12" ht="12.95" customHeight="1">
      <c r="A14" s="3">
        <v>11</v>
      </c>
      <c r="B14" s="9"/>
      <c r="C14" s="3"/>
      <c r="D14" s="3"/>
      <c r="E14" s="3"/>
      <c r="F14" s="3"/>
      <c r="G14" s="3">
        <f t="shared" si="0"/>
        <v>0</v>
      </c>
      <c r="H14" s="3"/>
      <c r="I14" s="3">
        <f t="shared" si="1"/>
        <v>0</v>
      </c>
      <c r="J14" s="3" t="str">
        <f t="shared" si="2"/>
        <v/>
      </c>
      <c r="K14" s="3" t="str">
        <f t="shared" si="3"/>
        <v/>
      </c>
      <c r="L14" s="3" t="str">
        <f t="shared" si="4"/>
        <v/>
      </c>
    </row>
    <row r="15" spans="1:12" ht="12.95" customHeight="1">
      <c r="A15" s="3">
        <v>12</v>
      </c>
      <c r="B15" s="9"/>
      <c r="C15" s="3"/>
      <c r="D15" s="3"/>
      <c r="E15" s="3"/>
      <c r="F15" s="3"/>
      <c r="G15" s="3">
        <f t="shared" si="0"/>
        <v>0</v>
      </c>
      <c r="H15" s="3"/>
      <c r="I15" s="3">
        <f t="shared" si="1"/>
        <v>0</v>
      </c>
      <c r="J15" s="3" t="str">
        <f t="shared" si="2"/>
        <v/>
      </c>
      <c r="K15" s="3" t="str">
        <f t="shared" si="3"/>
        <v/>
      </c>
      <c r="L15" s="3" t="str">
        <f t="shared" si="4"/>
        <v/>
      </c>
    </row>
    <row r="16" spans="1:12" ht="12.95" customHeight="1">
      <c r="A16" s="3">
        <v>13</v>
      </c>
      <c r="B16" s="9"/>
      <c r="C16" s="3"/>
      <c r="D16" s="3"/>
      <c r="E16" s="3"/>
      <c r="F16" s="3"/>
      <c r="G16" s="3">
        <f t="shared" si="0"/>
        <v>0</v>
      </c>
      <c r="H16" s="3"/>
      <c r="I16" s="3">
        <f t="shared" si="1"/>
        <v>0</v>
      </c>
      <c r="J16" s="3" t="str">
        <f t="shared" si="2"/>
        <v/>
      </c>
      <c r="K16" s="3" t="str">
        <f t="shared" si="3"/>
        <v/>
      </c>
      <c r="L16" s="3" t="str">
        <f t="shared" si="4"/>
        <v/>
      </c>
    </row>
    <row r="17" spans="1:12" ht="12.95" customHeight="1">
      <c r="A17" s="3">
        <v>14</v>
      </c>
      <c r="B17" s="9"/>
      <c r="C17" s="3"/>
      <c r="D17" s="3"/>
      <c r="E17" s="3"/>
      <c r="F17" s="3"/>
      <c r="G17" s="3">
        <f t="shared" si="0"/>
        <v>0</v>
      </c>
      <c r="H17" s="3"/>
      <c r="I17" s="3">
        <f t="shared" si="1"/>
        <v>0</v>
      </c>
      <c r="J17" s="3" t="str">
        <f t="shared" si="2"/>
        <v/>
      </c>
      <c r="K17" s="3" t="str">
        <f t="shared" si="3"/>
        <v/>
      </c>
      <c r="L17" s="3" t="str">
        <f t="shared" si="4"/>
        <v/>
      </c>
    </row>
    <row r="18" spans="1:12" ht="12.95" customHeight="1">
      <c r="A18" s="3">
        <v>15</v>
      </c>
      <c r="B18" s="9"/>
      <c r="C18" s="3"/>
      <c r="D18" s="3"/>
      <c r="E18" s="3"/>
      <c r="F18" s="3"/>
      <c r="G18" s="3">
        <f t="shared" si="0"/>
        <v>0</v>
      </c>
      <c r="H18" s="3"/>
      <c r="I18" s="3">
        <f t="shared" si="1"/>
        <v>0</v>
      </c>
      <c r="J18" s="3" t="str">
        <f t="shared" si="2"/>
        <v/>
      </c>
      <c r="K18" s="3" t="str">
        <f t="shared" si="3"/>
        <v/>
      </c>
      <c r="L18" s="3" t="str">
        <f t="shared" si="4"/>
        <v/>
      </c>
    </row>
    <row r="19" spans="1:12" ht="12.95" customHeight="1">
      <c r="A19" s="3">
        <v>16</v>
      </c>
      <c r="B19" s="9"/>
      <c r="C19" s="3"/>
      <c r="D19" s="3"/>
      <c r="E19" s="3"/>
      <c r="F19" s="3"/>
      <c r="G19" s="3">
        <f t="shared" si="0"/>
        <v>0</v>
      </c>
      <c r="H19" s="3"/>
      <c r="I19" s="3">
        <f t="shared" si="1"/>
        <v>0</v>
      </c>
      <c r="J19" s="3" t="str">
        <f t="shared" si="2"/>
        <v/>
      </c>
      <c r="K19" s="3" t="str">
        <f t="shared" si="3"/>
        <v/>
      </c>
      <c r="L19" s="3" t="str">
        <f t="shared" si="4"/>
        <v/>
      </c>
    </row>
    <row r="20" spans="1:12" ht="12.95" customHeight="1">
      <c r="A20" s="3">
        <v>17</v>
      </c>
      <c r="B20" s="9"/>
      <c r="C20" s="3"/>
      <c r="D20" s="3"/>
      <c r="E20" s="3"/>
      <c r="F20" s="3"/>
      <c r="G20" s="3">
        <f t="shared" si="0"/>
        <v>0</v>
      </c>
      <c r="H20" s="3"/>
      <c r="I20" s="3">
        <f t="shared" si="1"/>
        <v>0</v>
      </c>
      <c r="J20" s="3" t="str">
        <f t="shared" si="2"/>
        <v/>
      </c>
      <c r="K20" s="3" t="str">
        <f t="shared" si="3"/>
        <v/>
      </c>
      <c r="L20" s="3" t="str">
        <f t="shared" si="4"/>
        <v/>
      </c>
    </row>
    <row r="21" spans="1:12" ht="12.95" customHeight="1">
      <c r="A21" s="3">
        <v>18</v>
      </c>
      <c r="B21" s="9"/>
      <c r="C21" s="3"/>
      <c r="D21" s="3"/>
      <c r="E21" s="3"/>
      <c r="F21" s="3"/>
      <c r="G21" s="3">
        <f t="shared" si="0"/>
        <v>0</v>
      </c>
      <c r="H21" s="3"/>
      <c r="I21" s="3">
        <f t="shared" si="1"/>
        <v>0</v>
      </c>
      <c r="J21" s="3" t="str">
        <f t="shared" si="2"/>
        <v/>
      </c>
      <c r="K21" s="3" t="str">
        <f t="shared" si="3"/>
        <v/>
      </c>
      <c r="L21" s="3" t="str">
        <f t="shared" si="4"/>
        <v/>
      </c>
    </row>
    <row r="22" spans="1:12" ht="12.95" customHeight="1">
      <c r="A22" s="3">
        <v>19</v>
      </c>
      <c r="B22" s="9"/>
      <c r="C22" s="3"/>
      <c r="D22" s="3"/>
      <c r="E22" s="3"/>
      <c r="F22" s="3"/>
      <c r="G22" s="3">
        <f t="shared" si="0"/>
        <v>0</v>
      </c>
      <c r="H22" s="3"/>
      <c r="I22" s="3">
        <f t="shared" si="1"/>
        <v>0</v>
      </c>
      <c r="J22" s="3" t="str">
        <f t="shared" si="2"/>
        <v/>
      </c>
      <c r="K22" s="3" t="str">
        <f t="shared" si="3"/>
        <v/>
      </c>
      <c r="L22" s="3" t="str">
        <f t="shared" si="4"/>
        <v/>
      </c>
    </row>
    <row r="23" spans="1:12" ht="12.95" customHeight="1">
      <c r="A23" s="3">
        <v>20</v>
      </c>
      <c r="B23" s="9"/>
      <c r="C23" s="3"/>
      <c r="D23" s="3"/>
      <c r="E23" s="3"/>
      <c r="F23" s="3"/>
      <c r="G23" s="3">
        <f t="shared" si="0"/>
        <v>0</v>
      </c>
      <c r="H23" s="3"/>
      <c r="I23" s="3">
        <f t="shared" si="1"/>
        <v>0</v>
      </c>
      <c r="J23" s="3" t="str">
        <f t="shared" si="2"/>
        <v/>
      </c>
      <c r="K23" s="3" t="str">
        <f t="shared" si="3"/>
        <v/>
      </c>
      <c r="L23" s="3" t="str">
        <f t="shared" si="4"/>
        <v/>
      </c>
    </row>
    <row r="24" spans="1:12" ht="12.95" customHeight="1">
      <c r="A24" s="3">
        <v>21</v>
      </c>
      <c r="B24" s="9"/>
      <c r="C24" s="3"/>
      <c r="D24" s="3"/>
      <c r="E24" s="3"/>
      <c r="F24" s="3"/>
      <c r="G24" s="3">
        <f t="shared" si="0"/>
        <v>0</v>
      </c>
      <c r="H24" s="3"/>
      <c r="I24" s="3">
        <f t="shared" si="1"/>
        <v>0</v>
      </c>
      <c r="J24" s="3" t="str">
        <f t="shared" si="2"/>
        <v/>
      </c>
      <c r="K24" s="3" t="str">
        <f t="shared" si="3"/>
        <v/>
      </c>
      <c r="L24" s="3" t="str">
        <f t="shared" si="4"/>
        <v/>
      </c>
    </row>
    <row r="25" spans="1:12" ht="12.95" customHeight="1">
      <c r="A25" s="3">
        <v>22</v>
      </c>
      <c r="B25" s="9"/>
      <c r="C25" s="3"/>
      <c r="D25" s="3"/>
      <c r="E25" s="3"/>
      <c r="F25" s="3"/>
      <c r="G25" s="3">
        <f t="shared" si="0"/>
        <v>0</v>
      </c>
      <c r="H25" s="3"/>
      <c r="I25" s="3">
        <f t="shared" si="1"/>
        <v>0</v>
      </c>
      <c r="J25" s="3" t="str">
        <f t="shared" si="2"/>
        <v/>
      </c>
      <c r="K25" s="3" t="str">
        <f t="shared" si="3"/>
        <v/>
      </c>
      <c r="L25" s="3" t="str">
        <f t="shared" si="4"/>
        <v/>
      </c>
    </row>
    <row r="26" spans="1:12" ht="12.95" customHeight="1">
      <c r="A26" s="3">
        <v>23</v>
      </c>
      <c r="B26" s="9"/>
      <c r="C26" s="3"/>
      <c r="D26" s="3"/>
      <c r="E26" s="3"/>
      <c r="F26" s="3"/>
      <c r="G26" s="3">
        <f t="shared" si="0"/>
        <v>0</v>
      </c>
      <c r="H26" s="3"/>
      <c r="I26" s="3">
        <f t="shared" si="1"/>
        <v>0</v>
      </c>
      <c r="J26" s="3" t="str">
        <f t="shared" si="2"/>
        <v/>
      </c>
      <c r="K26" s="3" t="str">
        <f t="shared" si="3"/>
        <v/>
      </c>
      <c r="L26" s="3" t="str">
        <f t="shared" si="4"/>
        <v/>
      </c>
    </row>
    <row r="27" spans="1:12" ht="12.95" customHeight="1">
      <c r="A27" s="3">
        <v>24</v>
      </c>
      <c r="B27" s="9"/>
      <c r="C27" s="3"/>
      <c r="D27" s="3"/>
      <c r="E27" s="3"/>
      <c r="F27" s="3"/>
      <c r="G27" s="3">
        <f t="shared" si="0"/>
        <v>0</v>
      </c>
      <c r="H27" s="3"/>
      <c r="I27" s="3">
        <f t="shared" si="1"/>
        <v>0</v>
      </c>
      <c r="J27" s="3" t="str">
        <f t="shared" si="2"/>
        <v/>
      </c>
      <c r="K27" s="3" t="str">
        <f t="shared" si="3"/>
        <v/>
      </c>
      <c r="L27" s="3" t="str">
        <f t="shared" si="4"/>
        <v/>
      </c>
    </row>
    <row r="28" spans="1:12" ht="12.95" customHeight="1">
      <c r="A28" s="3">
        <v>25</v>
      </c>
      <c r="B28" s="9"/>
      <c r="C28" s="3"/>
      <c r="D28" s="3"/>
      <c r="E28" s="3"/>
      <c r="F28" s="3"/>
      <c r="G28" s="3">
        <f t="shared" si="0"/>
        <v>0</v>
      </c>
      <c r="H28" s="3"/>
      <c r="I28" s="3">
        <f t="shared" si="1"/>
        <v>0</v>
      </c>
      <c r="J28" s="3" t="str">
        <f t="shared" si="2"/>
        <v/>
      </c>
      <c r="K28" s="3" t="str">
        <f t="shared" si="3"/>
        <v/>
      </c>
      <c r="L28" s="3" t="str">
        <f t="shared" si="4"/>
        <v/>
      </c>
    </row>
    <row r="29" spans="1:12" ht="12.95" customHeight="1">
      <c r="A29" s="3">
        <v>26</v>
      </c>
      <c r="B29" s="9"/>
      <c r="C29" s="3"/>
      <c r="D29" s="3"/>
      <c r="E29" s="3"/>
      <c r="F29" s="3"/>
      <c r="G29" s="3">
        <f t="shared" si="0"/>
        <v>0</v>
      </c>
      <c r="H29" s="3"/>
      <c r="I29" s="3">
        <f t="shared" si="1"/>
        <v>0</v>
      </c>
      <c r="J29" s="3" t="str">
        <f t="shared" si="2"/>
        <v/>
      </c>
      <c r="K29" s="3" t="str">
        <f t="shared" si="3"/>
        <v/>
      </c>
      <c r="L29" s="3" t="str">
        <f t="shared" si="4"/>
        <v/>
      </c>
    </row>
    <row r="30" spans="1:12" ht="12.95" customHeight="1">
      <c r="A30" s="3">
        <v>27</v>
      </c>
      <c r="B30" s="9"/>
      <c r="C30" s="3"/>
      <c r="D30" s="3"/>
      <c r="E30" s="3"/>
      <c r="F30" s="3"/>
      <c r="G30" s="3">
        <f t="shared" si="0"/>
        <v>0</v>
      </c>
      <c r="H30" s="3"/>
      <c r="I30" s="3">
        <f t="shared" si="1"/>
        <v>0</v>
      </c>
      <c r="J30" s="3" t="str">
        <f t="shared" si="2"/>
        <v/>
      </c>
      <c r="K30" s="3" t="str">
        <f t="shared" si="3"/>
        <v/>
      </c>
      <c r="L30" s="3" t="str">
        <f t="shared" si="4"/>
        <v/>
      </c>
    </row>
    <row r="31" spans="1:12" ht="12.95" customHeight="1">
      <c r="A31" s="3">
        <v>28</v>
      </c>
      <c r="B31" s="9"/>
      <c r="C31" s="3"/>
      <c r="D31" s="3"/>
      <c r="E31" s="3"/>
      <c r="F31" s="3"/>
      <c r="G31" s="3">
        <f t="shared" si="0"/>
        <v>0</v>
      </c>
      <c r="H31" s="3"/>
      <c r="I31" s="3">
        <f t="shared" si="1"/>
        <v>0</v>
      </c>
      <c r="J31" s="3" t="str">
        <f t="shared" si="2"/>
        <v/>
      </c>
      <c r="K31" s="3" t="str">
        <f t="shared" si="3"/>
        <v/>
      </c>
      <c r="L31" s="3" t="str">
        <f t="shared" si="4"/>
        <v/>
      </c>
    </row>
    <row r="32" spans="1:12" ht="12.95" customHeight="1">
      <c r="A32" s="3">
        <v>29</v>
      </c>
      <c r="B32" s="9"/>
      <c r="C32" s="3"/>
      <c r="D32" s="3"/>
      <c r="E32" s="3"/>
      <c r="F32" s="3"/>
      <c r="G32" s="3">
        <f t="shared" ref="G32:G53" si="5">SUM(C32:F32)</f>
        <v>0</v>
      </c>
      <c r="H32" s="3"/>
      <c r="I32" s="3">
        <f t="shared" si="1"/>
        <v>0</v>
      </c>
      <c r="J32" s="3" t="str">
        <f t="shared" si="2"/>
        <v/>
      </c>
      <c r="K32" s="3" t="str">
        <f t="shared" si="3"/>
        <v/>
      </c>
      <c r="L32" s="3" t="str">
        <f t="shared" si="4"/>
        <v/>
      </c>
    </row>
    <row r="33" spans="1:12" ht="12.95" customHeight="1">
      <c r="A33" s="3">
        <v>30</v>
      </c>
      <c r="B33" s="9"/>
      <c r="C33" s="3"/>
      <c r="D33" s="3"/>
      <c r="E33" s="3"/>
      <c r="F33" s="3"/>
      <c r="G33" s="3">
        <f t="shared" si="5"/>
        <v>0</v>
      </c>
      <c r="H33" s="3"/>
      <c r="I33" s="3">
        <f t="shared" si="1"/>
        <v>0</v>
      </c>
      <c r="J33" s="3" t="str">
        <f t="shared" si="2"/>
        <v/>
      </c>
      <c r="K33" s="3" t="str">
        <f t="shared" si="3"/>
        <v/>
      </c>
      <c r="L33" s="3" t="str">
        <f t="shared" si="4"/>
        <v/>
      </c>
    </row>
    <row r="34" spans="1:12" ht="12.95" customHeight="1">
      <c r="A34" s="3">
        <v>31</v>
      </c>
      <c r="B34" s="9"/>
      <c r="C34" s="3"/>
      <c r="D34" s="3"/>
      <c r="E34" s="3"/>
      <c r="F34" s="3"/>
      <c r="G34" s="3">
        <f t="shared" si="5"/>
        <v>0</v>
      </c>
      <c r="H34" s="3"/>
      <c r="I34" s="3">
        <f t="shared" si="1"/>
        <v>0</v>
      </c>
      <c r="J34" s="3" t="str">
        <f t="shared" si="2"/>
        <v/>
      </c>
      <c r="K34" s="3" t="str">
        <f t="shared" si="3"/>
        <v/>
      </c>
      <c r="L34" s="3" t="str">
        <f t="shared" si="4"/>
        <v/>
      </c>
    </row>
    <row r="35" spans="1:12" ht="12.95" customHeight="1">
      <c r="A35" s="3">
        <v>32</v>
      </c>
      <c r="B35" s="9"/>
      <c r="C35" s="3"/>
      <c r="D35" s="3"/>
      <c r="E35" s="3"/>
      <c r="F35" s="3"/>
      <c r="G35" s="3">
        <f t="shared" si="5"/>
        <v>0</v>
      </c>
      <c r="H35" s="3"/>
      <c r="I35" s="3">
        <f t="shared" si="1"/>
        <v>0</v>
      </c>
      <c r="J35" s="3" t="str">
        <f t="shared" si="2"/>
        <v/>
      </c>
      <c r="K35" s="3" t="str">
        <f t="shared" si="3"/>
        <v/>
      </c>
      <c r="L35" s="3" t="str">
        <f t="shared" si="4"/>
        <v/>
      </c>
    </row>
    <row r="36" spans="1:12" ht="12.95" customHeight="1">
      <c r="A36" s="3">
        <v>33</v>
      </c>
      <c r="B36" s="9"/>
      <c r="C36" s="3"/>
      <c r="D36" s="3"/>
      <c r="E36" s="3"/>
      <c r="F36" s="3"/>
      <c r="G36" s="3">
        <f t="shared" si="5"/>
        <v>0</v>
      </c>
      <c r="H36" s="3"/>
      <c r="I36" s="3">
        <f t="shared" si="1"/>
        <v>0</v>
      </c>
      <c r="J36" s="3" t="str">
        <f t="shared" si="2"/>
        <v/>
      </c>
      <c r="K36" s="3" t="str">
        <f t="shared" si="3"/>
        <v/>
      </c>
      <c r="L36" s="3" t="str">
        <f t="shared" si="4"/>
        <v/>
      </c>
    </row>
    <row r="37" spans="1:12" ht="12.95" customHeight="1">
      <c r="A37" s="3">
        <v>34</v>
      </c>
      <c r="B37" s="9"/>
      <c r="C37" s="3"/>
      <c r="D37" s="3"/>
      <c r="E37" s="3"/>
      <c r="F37" s="3"/>
      <c r="G37" s="3">
        <f t="shared" si="5"/>
        <v>0</v>
      </c>
      <c r="H37" s="3"/>
      <c r="I37" s="3">
        <f t="shared" si="1"/>
        <v>0</v>
      </c>
      <c r="J37" s="3" t="str">
        <f t="shared" si="2"/>
        <v/>
      </c>
      <c r="K37" s="3" t="str">
        <f t="shared" si="3"/>
        <v/>
      </c>
      <c r="L37" s="3" t="str">
        <f t="shared" si="4"/>
        <v/>
      </c>
    </row>
    <row r="38" spans="1:12" ht="12.95" customHeight="1">
      <c r="A38" s="3">
        <v>35</v>
      </c>
      <c r="B38" s="9"/>
      <c r="C38" s="3"/>
      <c r="D38" s="3"/>
      <c r="E38" s="3"/>
      <c r="F38" s="3"/>
      <c r="G38" s="3">
        <f t="shared" si="5"/>
        <v>0</v>
      </c>
      <c r="H38" s="3"/>
      <c r="I38" s="3">
        <f t="shared" si="1"/>
        <v>0</v>
      </c>
      <c r="J38" s="3" t="str">
        <f t="shared" si="2"/>
        <v/>
      </c>
      <c r="K38" s="3" t="str">
        <f t="shared" si="3"/>
        <v/>
      </c>
      <c r="L38" s="3" t="str">
        <f t="shared" si="4"/>
        <v/>
      </c>
    </row>
    <row r="39" spans="1:12" ht="12.95" customHeight="1">
      <c r="A39" s="3">
        <v>36</v>
      </c>
      <c r="B39" s="9"/>
      <c r="C39" s="3"/>
      <c r="D39" s="3"/>
      <c r="E39" s="3"/>
      <c r="F39" s="3"/>
      <c r="G39" s="3">
        <f t="shared" si="5"/>
        <v>0</v>
      </c>
      <c r="H39" s="3"/>
      <c r="I39" s="3">
        <f t="shared" si="1"/>
        <v>0</v>
      </c>
      <c r="J39" s="3" t="str">
        <f t="shared" si="2"/>
        <v/>
      </c>
      <c r="K39" s="3" t="str">
        <f t="shared" si="3"/>
        <v/>
      </c>
      <c r="L39" s="3" t="str">
        <f t="shared" si="4"/>
        <v/>
      </c>
    </row>
    <row r="40" spans="1:12" ht="12.95" customHeight="1">
      <c r="A40" s="3">
        <v>37</v>
      </c>
      <c r="B40" s="9"/>
      <c r="C40" s="3"/>
      <c r="D40" s="3"/>
      <c r="E40" s="3"/>
      <c r="F40" s="3"/>
      <c r="G40" s="3">
        <f t="shared" si="5"/>
        <v>0</v>
      </c>
      <c r="H40" s="3"/>
      <c r="I40" s="3">
        <f t="shared" si="1"/>
        <v>0</v>
      </c>
      <c r="J40" s="3" t="str">
        <f t="shared" si="2"/>
        <v/>
      </c>
      <c r="K40" s="3" t="str">
        <f t="shared" si="3"/>
        <v/>
      </c>
      <c r="L40" s="3" t="str">
        <f t="shared" si="4"/>
        <v/>
      </c>
    </row>
    <row r="41" spans="1:12" ht="12.95" customHeight="1">
      <c r="A41" s="3">
        <v>38</v>
      </c>
      <c r="B41" s="9"/>
      <c r="C41" s="3"/>
      <c r="D41" s="3"/>
      <c r="E41" s="3"/>
      <c r="F41" s="3"/>
      <c r="G41" s="3">
        <f t="shared" si="5"/>
        <v>0</v>
      </c>
      <c r="H41" s="3"/>
      <c r="I41" s="3">
        <f t="shared" si="1"/>
        <v>0</v>
      </c>
      <c r="J41" s="3" t="str">
        <f t="shared" si="2"/>
        <v/>
      </c>
      <c r="K41" s="3" t="str">
        <f t="shared" si="3"/>
        <v/>
      </c>
      <c r="L41" s="3" t="str">
        <f t="shared" si="4"/>
        <v/>
      </c>
    </row>
    <row r="42" spans="1:12" ht="12.95" customHeight="1">
      <c r="A42" s="3">
        <v>39</v>
      </c>
      <c r="B42" s="9"/>
      <c r="C42" s="3"/>
      <c r="D42" s="3"/>
      <c r="E42" s="3"/>
      <c r="F42" s="3"/>
      <c r="G42" s="3">
        <f t="shared" si="5"/>
        <v>0</v>
      </c>
      <c r="H42" s="3"/>
      <c r="I42" s="3">
        <f t="shared" si="1"/>
        <v>0</v>
      </c>
      <c r="J42" s="3" t="str">
        <f t="shared" si="2"/>
        <v/>
      </c>
      <c r="K42" s="3" t="str">
        <f t="shared" si="3"/>
        <v/>
      </c>
      <c r="L42" s="3" t="str">
        <f t="shared" si="4"/>
        <v/>
      </c>
    </row>
    <row r="43" spans="1:12" ht="12.95" customHeight="1">
      <c r="A43" s="3">
        <v>40</v>
      </c>
      <c r="B43" s="9"/>
      <c r="C43" s="3"/>
      <c r="D43" s="3"/>
      <c r="E43" s="3"/>
      <c r="F43" s="3"/>
      <c r="G43" s="3">
        <f t="shared" si="5"/>
        <v>0</v>
      </c>
      <c r="H43" s="3"/>
      <c r="I43" s="3">
        <f t="shared" si="1"/>
        <v>0</v>
      </c>
      <c r="J43" s="3" t="str">
        <f t="shared" si="2"/>
        <v/>
      </c>
      <c r="K43" s="3" t="str">
        <f t="shared" si="3"/>
        <v/>
      </c>
      <c r="L43" s="3" t="str">
        <f t="shared" si="4"/>
        <v/>
      </c>
    </row>
    <row r="44" spans="1:12" ht="12.95" customHeight="1">
      <c r="A44" s="3">
        <v>41</v>
      </c>
      <c r="B44" s="9"/>
      <c r="C44" s="3"/>
      <c r="D44" s="3"/>
      <c r="E44" s="3"/>
      <c r="F44" s="3"/>
      <c r="G44" s="3">
        <f t="shared" si="5"/>
        <v>0</v>
      </c>
      <c r="H44" s="3"/>
      <c r="I44" s="3">
        <f t="shared" si="1"/>
        <v>0</v>
      </c>
      <c r="J44" s="3" t="str">
        <f t="shared" si="2"/>
        <v/>
      </c>
      <c r="K44" s="3" t="str">
        <f t="shared" si="3"/>
        <v/>
      </c>
      <c r="L44" s="3" t="str">
        <f t="shared" si="4"/>
        <v/>
      </c>
    </row>
    <row r="45" spans="1:12" ht="12.95" customHeight="1">
      <c r="A45" s="3">
        <v>42</v>
      </c>
      <c r="B45" s="9"/>
      <c r="C45" s="3"/>
      <c r="D45" s="3"/>
      <c r="E45" s="3"/>
      <c r="F45" s="3"/>
      <c r="G45" s="3">
        <f t="shared" si="5"/>
        <v>0</v>
      </c>
      <c r="H45" s="3"/>
      <c r="I45" s="3">
        <f t="shared" si="1"/>
        <v>0</v>
      </c>
      <c r="J45" s="3" t="str">
        <f t="shared" si="2"/>
        <v/>
      </c>
      <c r="K45" s="3" t="str">
        <f t="shared" si="3"/>
        <v/>
      </c>
      <c r="L45" s="3" t="str">
        <f t="shared" si="4"/>
        <v/>
      </c>
    </row>
    <row r="46" spans="1:12" ht="12.95" customHeight="1">
      <c r="A46" s="3">
        <v>43</v>
      </c>
      <c r="B46" s="9"/>
      <c r="C46" s="3"/>
      <c r="D46" s="3"/>
      <c r="E46" s="3"/>
      <c r="F46" s="3"/>
      <c r="G46" s="3">
        <f t="shared" si="5"/>
        <v>0</v>
      </c>
      <c r="H46" s="3"/>
      <c r="I46" s="3">
        <f t="shared" si="1"/>
        <v>0</v>
      </c>
      <c r="J46" s="3" t="str">
        <f t="shared" si="2"/>
        <v/>
      </c>
      <c r="K46" s="3" t="str">
        <f t="shared" si="3"/>
        <v/>
      </c>
      <c r="L46" s="3" t="str">
        <f t="shared" si="4"/>
        <v/>
      </c>
    </row>
    <row r="47" spans="1:12" ht="12.95" customHeight="1">
      <c r="A47" s="3">
        <v>44</v>
      </c>
      <c r="B47" s="10"/>
      <c r="C47" s="3"/>
      <c r="D47" s="3"/>
      <c r="E47" s="3"/>
      <c r="F47" s="3"/>
      <c r="G47" s="3">
        <f t="shared" si="5"/>
        <v>0</v>
      </c>
      <c r="H47" s="3"/>
      <c r="I47" s="3">
        <f t="shared" si="1"/>
        <v>0</v>
      </c>
      <c r="J47" s="3" t="str">
        <f t="shared" si="2"/>
        <v/>
      </c>
      <c r="K47" s="3" t="str">
        <f t="shared" si="3"/>
        <v/>
      </c>
      <c r="L47" s="3" t="str">
        <f t="shared" si="4"/>
        <v/>
      </c>
    </row>
    <row r="48" spans="1:12" ht="12.95" customHeight="1">
      <c r="A48" s="3">
        <v>45</v>
      </c>
      <c r="B48" s="10"/>
      <c r="C48" s="3"/>
      <c r="D48" s="3"/>
      <c r="E48" s="3"/>
      <c r="F48" s="3"/>
      <c r="G48" s="3">
        <f t="shared" si="5"/>
        <v>0</v>
      </c>
      <c r="H48" s="3"/>
      <c r="I48" s="3">
        <f t="shared" si="1"/>
        <v>0</v>
      </c>
      <c r="J48" s="3" t="str">
        <f t="shared" si="2"/>
        <v/>
      </c>
      <c r="K48" s="3" t="str">
        <f t="shared" si="3"/>
        <v/>
      </c>
      <c r="L48" s="3" t="str">
        <f t="shared" si="4"/>
        <v/>
      </c>
    </row>
    <row r="49" spans="1:12" ht="12.95" customHeight="1">
      <c r="A49" s="3">
        <v>46</v>
      </c>
      <c r="B49" s="10"/>
      <c r="C49" s="3"/>
      <c r="D49" s="3"/>
      <c r="E49" s="3"/>
      <c r="F49" s="3"/>
      <c r="G49" s="3">
        <f t="shared" si="5"/>
        <v>0</v>
      </c>
      <c r="H49" s="3"/>
      <c r="I49" s="3">
        <f t="shared" si="1"/>
        <v>0</v>
      </c>
      <c r="J49" s="3" t="str">
        <f t="shared" si="2"/>
        <v/>
      </c>
      <c r="K49" s="3" t="str">
        <f t="shared" si="3"/>
        <v/>
      </c>
      <c r="L49" s="3" t="str">
        <f t="shared" si="4"/>
        <v/>
      </c>
    </row>
    <row r="50" spans="1:12">
      <c r="A50" s="3">
        <v>47</v>
      </c>
      <c r="B50" s="3"/>
      <c r="C50" s="3"/>
      <c r="D50" s="3"/>
      <c r="E50" s="3"/>
      <c r="F50" s="3"/>
      <c r="G50" s="3">
        <f t="shared" si="5"/>
        <v>0</v>
      </c>
      <c r="H50" s="3"/>
      <c r="I50" s="3">
        <f t="shared" si="1"/>
        <v>0</v>
      </c>
      <c r="J50" s="3" t="str">
        <f t="shared" si="2"/>
        <v/>
      </c>
      <c r="K50" s="3" t="str">
        <f t="shared" si="3"/>
        <v/>
      </c>
      <c r="L50" s="3" t="str">
        <f t="shared" si="4"/>
        <v/>
      </c>
    </row>
    <row r="51" spans="1:12">
      <c r="A51" s="3">
        <v>48</v>
      </c>
      <c r="B51" s="3"/>
      <c r="C51" s="3"/>
      <c r="D51" s="3"/>
      <c r="E51" s="3"/>
      <c r="F51" s="3"/>
      <c r="G51" s="3">
        <f t="shared" si="5"/>
        <v>0</v>
      </c>
      <c r="H51" s="3"/>
      <c r="I51" s="3">
        <f t="shared" si="1"/>
        <v>0</v>
      </c>
      <c r="J51" s="3" t="str">
        <f t="shared" si="2"/>
        <v/>
      </c>
      <c r="K51" s="3" t="str">
        <f t="shared" si="3"/>
        <v/>
      </c>
      <c r="L51" s="3" t="str">
        <f t="shared" si="4"/>
        <v/>
      </c>
    </row>
    <row r="52" spans="1:12">
      <c r="A52" s="3">
        <v>49</v>
      </c>
      <c r="B52" s="3"/>
      <c r="C52" s="3"/>
      <c r="D52" s="3"/>
      <c r="E52" s="3"/>
      <c r="F52" s="3"/>
      <c r="G52" s="3">
        <f t="shared" si="5"/>
        <v>0</v>
      </c>
      <c r="H52" s="3"/>
      <c r="I52" s="3">
        <f t="shared" si="1"/>
        <v>0</v>
      </c>
      <c r="J52" s="3" t="str">
        <f t="shared" si="2"/>
        <v/>
      </c>
      <c r="K52" s="3" t="str">
        <f t="shared" si="3"/>
        <v/>
      </c>
      <c r="L52" s="3" t="str">
        <f t="shared" si="4"/>
        <v/>
      </c>
    </row>
    <row r="53" spans="1:12">
      <c r="A53" s="3">
        <v>50</v>
      </c>
      <c r="B53" s="3"/>
      <c r="C53" s="3"/>
      <c r="D53" s="3"/>
      <c r="E53" s="3"/>
      <c r="F53" s="3"/>
      <c r="G53" s="3">
        <f t="shared" si="5"/>
        <v>0</v>
      </c>
      <c r="H53" s="3"/>
      <c r="I53" s="3">
        <f t="shared" si="1"/>
        <v>0</v>
      </c>
      <c r="J53" s="3" t="str">
        <f t="shared" si="2"/>
        <v/>
      </c>
      <c r="K53" s="3" t="str">
        <f t="shared" si="3"/>
        <v/>
      </c>
      <c r="L53" s="3" t="str">
        <f t="shared" si="4"/>
        <v/>
      </c>
    </row>
  </sheetData>
  <sheetProtection formatColumns="0"/>
  <protectedRanges>
    <protectedRange sqref="H4:H53" name="Range2"/>
    <protectedRange sqref="C2 A2:B53 E2:F53 C3:D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61" t="s">
        <v>0</v>
      </c>
      <c r="B1" s="262"/>
      <c r="C1" s="262"/>
      <c r="D1" s="262"/>
      <c r="E1" s="262"/>
      <c r="F1" s="263"/>
      <c r="G1" s="263"/>
    </row>
    <row r="2" spans="1:7">
      <c r="A2" s="264" t="s">
        <v>1</v>
      </c>
      <c r="B2" s="264"/>
      <c r="C2" s="264" t="s">
        <v>2</v>
      </c>
      <c r="D2" s="264"/>
      <c r="E2" s="264"/>
      <c r="F2" s="265" t="s">
        <v>3</v>
      </c>
      <c r="G2" s="266"/>
    </row>
    <row r="3" spans="1:7" ht="15.75">
      <c r="A3" s="126" t="s">
        <v>4</v>
      </c>
      <c r="B3" s="126" t="s">
        <v>5</v>
      </c>
      <c r="C3" s="127" t="s">
        <v>6</v>
      </c>
      <c r="D3" s="127" t="s">
        <v>7</v>
      </c>
      <c r="E3" s="127" t="s">
        <v>8</v>
      </c>
      <c r="F3" s="127" t="s">
        <v>9</v>
      </c>
      <c r="G3" s="127" t="s">
        <v>10</v>
      </c>
    </row>
    <row r="4" spans="1:7" ht="15.75">
      <c r="A4" s="128">
        <v>1</v>
      </c>
      <c r="B4" s="77" t="str">
        <f>Data!B2</f>
        <v xml:space="preserve">ABBA FIRA ALINGADTHER </v>
      </c>
      <c r="C4" s="128"/>
      <c r="D4" s="128"/>
      <c r="E4" s="128"/>
      <c r="F4" s="128"/>
      <c r="G4" s="128"/>
    </row>
    <row r="5" spans="1:7" ht="15.75">
      <c r="A5" s="129">
        <v>2</v>
      </c>
      <c r="B5" s="77" t="str">
        <f>Data!B3</f>
        <v xml:space="preserve">AMINU MUHAMMED AL MUSTAPHA </v>
      </c>
      <c r="C5" s="129"/>
      <c r="D5" s="129"/>
      <c r="E5" s="129"/>
      <c r="F5" s="129"/>
      <c r="G5" s="129"/>
    </row>
    <row r="6" spans="1:7" ht="15.75">
      <c r="A6" s="129">
        <v>3</v>
      </c>
      <c r="B6" s="77" t="str">
        <f>Data!B4</f>
        <v xml:space="preserve">AMOS ANJILI STANLEY </v>
      </c>
      <c r="C6" s="129"/>
      <c r="D6" s="129"/>
      <c r="E6" s="129"/>
      <c r="F6" s="129"/>
      <c r="G6" s="129"/>
    </row>
    <row r="7" spans="1:7" ht="15.75">
      <c r="A7" s="129">
        <v>4</v>
      </c>
      <c r="B7" s="77" t="str">
        <f>Data!B5</f>
        <v>BABAKURA ABUBAKAR YUSUF</v>
      </c>
      <c r="C7" s="129"/>
      <c r="D7" s="129"/>
      <c r="E7" s="129"/>
      <c r="F7" s="129"/>
      <c r="G7" s="129"/>
    </row>
    <row r="8" spans="1:7" ht="15.75">
      <c r="A8" s="129">
        <v>5</v>
      </c>
      <c r="B8" s="77" t="str">
        <f>Data!B6</f>
        <v>BUKAR MOHAMMED KADI</v>
      </c>
      <c r="C8" s="129"/>
      <c r="D8" s="129"/>
      <c r="E8" s="129"/>
      <c r="F8" s="129"/>
      <c r="G8" s="129"/>
    </row>
    <row r="9" spans="1:7" ht="15.75">
      <c r="A9" s="129">
        <v>6</v>
      </c>
      <c r="B9" s="77" t="str">
        <f>Data!B7</f>
        <v xml:space="preserve">BUKAR MUSTAPHA AJI </v>
      </c>
      <c r="C9" s="129"/>
      <c r="D9" s="129"/>
      <c r="E9" s="129"/>
      <c r="F9" s="129"/>
      <c r="G9" s="129"/>
    </row>
    <row r="10" spans="1:7" ht="15.75">
      <c r="A10" s="129">
        <v>7</v>
      </c>
      <c r="B10" s="77" t="str">
        <f>Data!B8</f>
        <v>GADZAMA IJUDIGAL JOHN</v>
      </c>
      <c r="C10" s="129"/>
      <c r="D10" s="129"/>
      <c r="E10" s="129"/>
      <c r="F10" s="129"/>
      <c r="G10" s="129"/>
    </row>
    <row r="11" spans="1:7" ht="15.75">
      <c r="A11" s="129">
        <v>8</v>
      </c>
      <c r="B11" s="77" t="str">
        <f>Data!B9</f>
        <v xml:space="preserve">IBRAHIM EMMANUEL </v>
      </c>
      <c r="C11" s="129"/>
      <c r="D11" s="129"/>
      <c r="E11" s="129"/>
      <c r="F11" s="129"/>
      <c r="G11" s="129"/>
    </row>
    <row r="12" spans="1:7" ht="15.75">
      <c r="A12" s="129">
        <v>9</v>
      </c>
      <c r="B12" s="77" t="str">
        <f>Data!B10</f>
        <v xml:space="preserve">ISHAKU JOSHUA KWARI </v>
      </c>
      <c r="C12" s="129"/>
      <c r="D12" s="129"/>
      <c r="E12" s="129"/>
      <c r="F12" s="129"/>
      <c r="G12" s="129"/>
    </row>
    <row r="13" spans="1:7" ht="15.75">
      <c r="A13" s="129">
        <v>10</v>
      </c>
      <c r="B13" s="77" t="str">
        <f>Data!B11</f>
        <v xml:space="preserve">PETER SIMON WANDIYAHEL </v>
      </c>
      <c r="C13" s="129"/>
      <c r="D13" s="129"/>
      <c r="E13" s="129"/>
      <c r="F13" s="129"/>
      <c r="G13" s="129"/>
    </row>
    <row r="14" spans="1:7" ht="15.75">
      <c r="A14" s="129">
        <v>11</v>
      </c>
      <c r="B14" s="77" t="str">
        <f>Data!B12</f>
        <v>SAMUEL JOHN ABBAS</v>
      </c>
      <c r="C14" s="129"/>
      <c r="D14" s="129"/>
      <c r="E14" s="129"/>
      <c r="F14" s="129"/>
      <c r="G14" s="129"/>
    </row>
    <row r="15" spans="1:7" ht="15.75">
      <c r="A15" s="129">
        <v>12</v>
      </c>
      <c r="B15" s="77" t="str">
        <f>Data!B13</f>
        <v>SHETTIMA AHMED MOHAMMED</v>
      </c>
      <c r="C15" s="129"/>
      <c r="D15" s="129"/>
      <c r="E15" s="129"/>
      <c r="F15" s="129"/>
      <c r="G15" s="129"/>
    </row>
    <row r="16" spans="1:7" ht="15.75">
      <c r="A16" s="129">
        <v>13</v>
      </c>
      <c r="B16" s="77" t="str">
        <f>Data!B14</f>
        <v xml:space="preserve">SHUIABU FARUK UMAR </v>
      </c>
      <c r="C16" s="129"/>
      <c r="D16" s="129"/>
      <c r="E16" s="129"/>
      <c r="F16" s="129"/>
      <c r="G16" s="129"/>
    </row>
    <row r="17" spans="1:7" ht="15.75">
      <c r="A17" s="129">
        <v>14</v>
      </c>
      <c r="B17" s="77" t="str">
        <f>Data!B15</f>
        <v>STEPHEN HARUNA MALGWI</v>
      </c>
      <c r="C17" s="129"/>
      <c r="D17" s="129"/>
      <c r="E17" s="129"/>
      <c r="F17" s="129"/>
      <c r="G17" s="129"/>
    </row>
    <row r="18" spans="1:7" ht="15.75">
      <c r="A18" s="129">
        <v>15</v>
      </c>
      <c r="B18" s="77" t="str">
        <f>Data!B16</f>
        <v xml:space="preserve">SUNDAY SUCCESS </v>
      </c>
      <c r="C18" s="129"/>
      <c r="D18" s="129"/>
      <c r="E18" s="129"/>
      <c r="F18" s="129"/>
      <c r="G18" s="129"/>
    </row>
    <row r="19" spans="1:7" ht="15.75">
      <c r="A19" s="129">
        <v>16</v>
      </c>
      <c r="B19" s="77" t="str">
        <f>Data!B17</f>
        <v>USMAN UGULDE IBRAHIM</v>
      </c>
      <c r="C19" s="129"/>
      <c r="D19" s="129"/>
      <c r="E19" s="129"/>
      <c r="F19" s="129"/>
      <c r="G19" s="129"/>
    </row>
    <row r="20" spans="1:7" ht="15.75">
      <c r="A20" s="129">
        <v>17</v>
      </c>
      <c r="B20" s="77" t="str">
        <f>Data!B18</f>
        <v xml:space="preserve">USMAN YAHAYA ABUBAKAR </v>
      </c>
      <c r="C20" s="129"/>
      <c r="D20" s="129"/>
      <c r="E20" s="129"/>
      <c r="F20" s="129"/>
      <c r="G20" s="129"/>
    </row>
    <row r="21" spans="1:7" ht="15.75">
      <c r="A21" s="129">
        <v>18</v>
      </c>
      <c r="B21" s="77" t="str">
        <f>Data!B19</f>
        <v>WANANGU DAWA</v>
      </c>
      <c r="C21" s="129"/>
      <c r="D21" s="129"/>
      <c r="E21" s="129"/>
      <c r="F21" s="129"/>
      <c r="G21" s="129"/>
    </row>
    <row r="22" spans="1:7" ht="15.75">
      <c r="A22" s="129">
        <v>19</v>
      </c>
      <c r="B22" s="77" t="str">
        <f>Data!B20</f>
        <v xml:space="preserve">YAKUBU ALHAJI ALIYU </v>
      </c>
      <c r="C22" s="129"/>
      <c r="D22" s="129"/>
      <c r="E22" s="129"/>
      <c r="F22" s="129"/>
      <c r="G22" s="129"/>
    </row>
    <row r="23" spans="1:7" ht="15.75">
      <c r="A23" s="129">
        <v>20</v>
      </c>
      <c r="B23" s="77" t="str">
        <f>Data!B21</f>
        <v xml:space="preserve">ABBA AISHA YUSUF </v>
      </c>
      <c r="C23" s="129"/>
      <c r="D23" s="129"/>
      <c r="E23" s="129"/>
      <c r="F23" s="129"/>
      <c r="G23" s="129"/>
    </row>
    <row r="24" spans="1:7" ht="15.75">
      <c r="A24" s="129">
        <v>21</v>
      </c>
      <c r="B24" s="77" t="str">
        <f>Data!B22</f>
        <v xml:space="preserve">ABEDNEGO JOSEPH JANICE </v>
      </c>
      <c r="C24" s="129"/>
      <c r="D24" s="129"/>
      <c r="E24" s="129"/>
      <c r="F24" s="129"/>
      <c r="G24" s="129"/>
    </row>
    <row r="25" spans="1:7" ht="15.75">
      <c r="A25" s="129">
        <v>22</v>
      </c>
      <c r="B25" s="77" t="str">
        <f>Data!B23</f>
        <v xml:space="preserve">ABUBAKAR FATIMA </v>
      </c>
      <c r="C25" s="129"/>
      <c r="D25" s="129"/>
      <c r="E25" s="129"/>
      <c r="F25" s="129"/>
      <c r="G25" s="129"/>
    </row>
    <row r="26" spans="1:7" ht="15.75">
      <c r="A26" s="129">
        <v>23</v>
      </c>
      <c r="B26" s="77" t="str">
        <f>Data!B24</f>
        <v xml:space="preserve">ADAMU KAHDIJA ALIYU </v>
      </c>
      <c r="C26" s="129"/>
      <c r="D26" s="129"/>
      <c r="E26" s="129"/>
      <c r="F26" s="129"/>
      <c r="G26" s="129"/>
    </row>
    <row r="27" spans="1:7" ht="15.75">
      <c r="A27" s="129">
        <v>24</v>
      </c>
      <c r="B27" s="77" t="str">
        <f>Data!B25</f>
        <v xml:space="preserve">AHMED KHADIJA SHETTIMA </v>
      </c>
      <c r="C27" s="129"/>
      <c r="D27" s="129"/>
      <c r="E27" s="129"/>
      <c r="F27" s="129"/>
      <c r="G27" s="129"/>
    </row>
    <row r="28" spans="1:7" ht="15.75">
      <c r="A28" s="129">
        <v>25</v>
      </c>
      <c r="B28" s="77" t="str">
        <f>Data!B26</f>
        <v xml:space="preserve">BABAGONI FATIMA SHETTIMA </v>
      </c>
      <c r="C28" s="129"/>
      <c r="D28" s="129"/>
      <c r="E28" s="129"/>
      <c r="F28" s="129"/>
      <c r="G28" s="129"/>
    </row>
    <row r="29" spans="1:7" ht="15.75">
      <c r="A29" s="129">
        <v>26</v>
      </c>
      <c r="B29" s="77" t="str">
        <f>Data!B27</f>
        <v xml:space="preserve">BASHIR FATIMA </v>
      </c>
      <c r="C29" s="129"/>
      <c r="D29" s="129"/>
      <c r="E29" s="129"/>
      <c r="F29" s="129"/>
      <c r="G29" s="129"/>
    </row>
    <row r="30" spans="1:7" ht="15.75">
      <c r="A30" s="129">
        <v>27</v>
      </c>
      <c r="B30" s="77" t="str">
        <f>Data!B28</f>
        <v>BELLO AMINA ABDULLAHI</v>
      </c>
      <c r="C30" s="129"/>
      <c r="D30" s="129"/>
      <c r="E30" s="129"/>
      <c r="F30" s="129"/>
      <c r="G30" s="129"/>
    </row>
    <row r="31" spans="1:7" ht="15.75">
      <c r="A31" s="129">
        <v>28</v>
      </c>
      <c r="B31" s="77" t="str">
        <f>Data!B29</f>
        <v xml:space="preserve">BUKAR MARYARM UMAR </v>
      </c>
      <c r="C31" s="129"/>
      <c r="D31" s="129"/>
      <c r="E31" s="129"/>
      <c r="F31" s="129"/>
      <c r="G31" s="129"/>
    </row>
    <row r="32" spans="1:7" ht="15.75">
      <c r="A32" s="129">
        <v>29</v>
      </c>
      <c r="B32" s="77" t="str">
        <f>Data!B30</f>
        <v xml:space="preserve">DALA FATIMA AHMED </v>
      </c>
      <c r="C32" s="129"/>
      <c r="D32" s="129"/>
      <c r="E32" s="129"/>
      <c r="F32" s="129"/>
      <c r="G32" s="129"/>
    </row>
    <row r="33" spans="1:7" ht="15.75">
      <c r="A33" s="129">
        <v>30</v>
      </c>
      <c r="B33" s="77" t="str">
        <f>Data!B31</f>
        <v>DAUDA MARYAM UMMI</v>
      </c>
      <c r="C33" s="129"/>
      <c r="D33" s="129"/>
      <c r="E33" s="129"/>
      <c r="F33" s="129"/>
      <c r="G33" s="129"/>
    </row>
    <row r="34" spans="1:7" ht="15.75">
      <c r="A34" s="129">
        <v>31</v>
      </c>
      <c r="B34" s="77" t="str">
        <f>Data!B32</f>
        <v>DULOMI ZAINAB</v>
      </c>
      <c r="C34" s="129"/>
      <c r="D34" s="129"/>
      <c r="E34" s="129"/>
      <c r="F34" s="129"/>
      <c r="G34" s="129"/>
    </row>
    <row r="35" spans="1:7" ht="15.75">
      <c r="A35" s="129">
        <v>32</v>
      </c>
      <c r="B35" s="77" t="str">
        <f>Data!B33</f>
        <v>GADAU FATIMA ALI</v>
      </c>
      <c r="C35" s="129"/>
      <c r="D35" s="129"/>
      <c r="E35" s="129"/>
      <c r="F35" s="129"/>
      <c r="G35" s="129"/>
    </row>
    <row r="36" spans="1:7" ht="15.75">
      <c r="A36" s="129">
        <v>33</v>
      </c>
      <c r="B36" s="77" t="str">
        <f>Data!B34</f>
        <v xml:space="preserve">HUSSANI HADIZA MUSA </v>
      </c>
      <c r="C36" s="129"/>
      <c r="D36" s="129"/>
      <c r="E36" s="129"/>
      <c r="F36" s="129"/>
      <c r="G36" s="129"/>
    </row>
    <row r="37" spans="1:7" ht="15.75">
      <c r="A37" s="129">
        <v>34</v>
      </c>
      <c r="B37" s="77" t="str">
        <f>Data!B35</f>
        <v>HUSSANI ZAINAB A</v>
      </c>
      <c r="C37" s="129"/>
      <c r="D37" s="129"/>
      <c r="E37" s="129"/>
      <c r="F37" s="129"/>
      <c r="G37" s="129"/>
    </row>
    <row r="38" spans="1:7" ht="15.75">
      <c r="A38" s="129">
        <v>35</v>
      </c>
      <c r="B38" s="77" t="str">
        <f>Data!B36</f>
        <v xml:space="preserve">IDRIS HAJJARA MUHD </v>
      </c>
      <c r="C38" s="129"/>
      <c r="D38" s="129"/>
      <c r="E38" s="129"/>
      <c r="F38" s="129"/>
      <c r="G38" s="129"/>
    </row>
    <row r="39" spans="1:7" ht="15.75">
      <c r="A39" s="129">
        <v>36</v>
      </c>
      <c r="B39" s="77" t="str">
        <f>Data!B37</f>
        <v xml:space="preserve">JACOB PATIENCE </v>
      </c>
      <c r="C39" s="129"/>
      <c r="D39" s="129"/>
      <c r="E39" s="129"/>
      <c r="F39" s="129"/>
      <c r="G39" s="129"/>
    </row>
    <row r="40" spans="1:7" ht="15.75">
      <c r="A40" s="129">
        <v>37</v>
      </c>
      <c r="B40" s="77" t="str">
        <f>Data!B38</f>
        <v xml:space="preserve">JAPHETH MARTINA </v>
      </c>
      <c r="C40" s="129"/>
      <c r="D40" s="129"/>
      <c r="E40" s="129"/>
      <c r="F40" s="129"/>
      <c r="G40" s="129"/>
    </row>
    <row r="41" spans="1:7" ht="15.75">
      <c r="A41" s="129">
        <v>38</v>
      </c>
      <c r="B41" s="77" t="str">
        <f>Data!B39</f>
        <v>JOSEPH FAITH AKAN</v>
      </c>
      <c r="C41" s="129"/>
      <c r="D41" s="129"/>
      <c r="E41" s="129"/>
      <c r="F41" s="129"/>
      <c r="G41" s="129"/>
    </row>
    <row r="42" spans="1:7" ht="15.75">
      <c r="A42" s="129">
        <v>39</v>
      </c>
      <c r="B42" s="77" t="str">
        <f>Data!B40</f>
        <v xml:space="preserve">LAWAN NGAMA AMINA </v>
      </c>
      <c r="C42" s="129"/>
      <c r="D42" s="129"/>
      <c r="E42" s="129"/>
      <c r="F42" s="129"/>
      <c r="G42" s="129"/>
    </row>
    <row r="43" spans="1:7" ht="15.75">
      <c r="A43" s="129">
        <v>40</v>
      </c>
      <c r="B43" s="77" t="str">
        <f>Data!B41</f>
        <v xml:space="preserve">SAMSON CHIEMEZUO PRECIOUS  </v>
      </c>
      <c r="C43" s="129"/>
      <c r="D43" s="129"/>
      <c r="E43" s="129"/>
      <c r="F43" s="129"/>
      <c r="G43" s="129"/>
    </row>
    <row r="44" spans="1:7" ht="15.75">
      <c r="A44" s="129">
        <v>41</v>
      </c>
      <c r="B44" s="77" t="str">
        <f>Data!B42</f>
        <v>ABDULMUMINU MUHAMMAD USMAN</v>
      </c>
      <c r="C44" s="129"/>
      <c r="D44" s="129"/>
      <c r="E44" s="129"/>
      <c r="F44" s="129"/>
      <c r="G44" s="129"/>
    </row>
    <row r="45" spans="1:7" ht="15.75">
      <c r="A45" s="129">
        <v>42</v>
      </c>
      <c r="B45" s="77" t="str">
        <f>Data!B43</f>
        <v>Maryam Abba Tijjani</v>
      </c>
      <c r="C45" s="129"/>
      <c r="D45" s="129"/>
      <c r="E45" s="129"/>
      <c r="F45" s="129"/>
      <c r="G45" s="129"/>
    </row>
    <row r="46" spans="1:7" ht="15.75">
      <c r="A46" s="129">
        <v>43</v>
      </c>
      <c r="B46" s="77" t="str">
        <f>Data!B44</f>
        <v>Maryam Kadafur</v>
      </c>
      <c r="C46" s="129"/>
      <c r="D46" s="129"/>
      <c r="E46" s="129"/>
      <c r="F46" s="129"/>
      <c r="G46" s="129"/>
    </row>
    <row r="47" spans="1:7" ht="15.75">
      <c r="A47" s="129">
        <v>44</v>
      </c>
      <c r="B47" s="77" t="str">
        <f>Data!B45</f>
        <v>Mercy Ebuwoluwa Abraham</v>
      </c>
      <c r="C47" s="129"/>
      <c r="D47" s="129"/>
      <c r="E47" s="129"/>
      <c r="F47" s="129"/>
      <c r="G47" s="129"/>
    </row>
    <row r="48" spans="1:7" ht="15.75">
      <c r="A48" s="129">
        <v>45</v>
      </c>
      <c r="B48" s="77" t="str">
        <f>Data!B46</f>
        <v xml:space="preserve">Nana Aisha Mohammed </v>
      </c>
      <c r="C48" s="129"/>
      <c r="D48" s="129"/>
      <c r="E48" s="129"/>
      <c r="F48" s="129"/>
      <c r="G48" s="129"/>
    </row>
    <row r="49" spans="1:7" ht="15.75">
      <c r="A49" s="129">
        <v>46</v>
      </c>
      <c r="B49" s="77" t="str">
        <f>Data!B47</f>
        <v xml:space="preserve">Patience James </v>
      </c>
      <c r="C49" s="129"/>
      <c r="D49" s="129"/>
      <c r="E49" s="129"/>
      <c r="F49" s="129"/>
      <c r="G49" s="129"/>
    </row>
    <row r="50" spans="1:7" ht="15.75">
      <c r="A50" s="129">
        <v>47</v>
      </c>
      <c r="B50" s="77" t="str">
        <f>Data!B48</f>
        <v xml:space="preserve">Precious Yakubu Balami </v>
      </c>
      <c r="C50" s="129"/>
      <c r="D50" s="129"/>
      <c r="E50" s="129"/>
      <c r="F50" s="129"/>
      <c r="G50" s="129"/>
    </row>
    <row r="51" spans="1:7" ht="15.75">
      <c r="A51" s="129">
        <v>48</v>
      </c>
      <c r="B51" s="77" t="str">
        <f>Data!B49</f>
        <v>Ruqayya Tijjani Gubio</v>
      </c>
      <c r="C51" s="129"/>
      <c r="D51" s="129"/>
      <c r="E51" s="129"/>
      <c r="F51" s="129"/>
      <c r="G51" s="129"/>
    </row>
    <row r="52" spans="1:7" ht="15.75">
      <c r="A52" s="129">
        <v>49</v>
      </c>
      <c r="B52" s="77" t="str">
        <f>Data!B50</f>
        <v xml:space="preserve">Sohia George </v>
      </c>
      <c r="C52" s="130"/>
      <c r="D52" s="129"/>
      <c r="E52" s="129"/>
      <c r="F52" s="129"/>
      <c r="G52" s="129"/>
    </row>
    <row r="53" spans="1:7" ht="15.75">
      <c r="A53" s="129">
        <v>50</v>
      </c>
      <c r="B53" s="77" t="str">
        <f>Data!B51</f>
        <v>Zainab Ali Benisheik</v>
      </c>
      <c r="C53" s="130"/>
      <c r="D53" s="129"/>
      <c r="E53" s="129"/>
      <c r="F53" s="129"/>
      <c r="G53" s="129"/>
    </row>
    <row r="54" spans="1:7">
      <c r="B54" s="131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workbookViewId="0">
      <selection activeCell="F15" sqref="F15"/>
    </sheetView>
  </sheetViews>
  <sheetFormatPr defaultColWidth="9" defaultRowHeight="15"/>
  <cols>
    <col min="1" max="1" width="19.7109375" style="132" customWidth="1"/>
    <col min="2" max="2" width="5.42578125" style="132" customWidth="1"/>
    <col min="3" max="3" width="4.28515625" style="132" customWidth="1"/>
    <col min="4" max="4" width="5.5703125" style="132" customWidth="1"/>
    <col min="5" max="5" width="6.28515625" style="132" customWidth="1"/>
    <col min="6" max="6" width="5.7109375" style="132" customWidth="1"/>
    <col min="7" max="7" width="7" style="132" customWidth="1"/>
    <col min="8" max="8" width="4.85546875" style="132" customWidth="1"/>
    <col min="9" max="9" width="6.7109375" style="132" customWidth="1"/>
    <col min="10" max="10" width="5.28515625" style="132" customWidth="1"/>
    <col min="11" max="11" width="14.7109375" style="132" customWidth="1"/>
    <col min="12" max="12" width="2.28515625" style="132" customWidth="1"/>
    <col min="13" max="13" width="2.7109375" style="132" customWidth="1"/>
    <col min="14" max="14" width="10.5703125" style="132" customWidth="1"/>
    <col min="15" max="16384" width="9" style="132"/>
  </cols>
  <sheetData>
    <row r="2" spans="1:15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5"/>
    </row>
    <row r="3" spans="1:15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</row>
    <row r="4" spans="1:15">
      <c r="A4" s="136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8"/>
    </row>
    <row r="5" spans="1:15">
      <c r="A5" s="136"/>
      <c r="B5" s="137"/>
      <c r="C5" s="137"/>
      <c r="D5" s="137"/>
      <c r="E5" s="300" t="s">
        <v>103</v>
      </c>
      <c r="F5" s="300"/>
      <c r="G5" s="300"/>
      <c r="H5" s="300"/>
      <c r="I5" s="300"/>
      <c r="J5" s="300"/>
      <c r="K5" s="300"/>
      <c r="L5" s="300"/>
      <c r="M5" s="300"/>
      <c r="N5" s="308"/>
    </row>
    <row r="6" spans="1:15">
      <c r="A6" s="136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8"/>
    </row>
    <row r="7" spans="1:15">
      <c r="A7" s="136"/>
      <c r="B7" s="137"/>
      <c r="C7" s="137"/>
      <c r="D7" s="137"/>
      <c r="E7" s="137"/>
      <c r="F7" s="137"/>
      <c r="G7" s="137"/>
      <c r="H7" s="139"/>
      <c r="I7" s="137"/>
      <c r="J7" s="137"/>
      <c r="K7" s="137"/>
      <c r="L7" s="137"/>
      <c r="M7" s="137"/>
      <c r="N7" s="138"/>
    </row>
    <row r="8" spans="1:15">
      <c r="A8" s="140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2"/>
      <c r="O8" s="137"/>
    </row>
    <row r="9" spans="1:15">
      <c r="A9" s="136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8"/>
      <c r="O9" s="137"/>
    </row>
    <row r="10" spans="1:15">
      <c r="A10" s="143" t="s">
        <v>104</v>
      </c>
      <c r="B10" s="313" t="str">
        <f>VLOOKUP(B14,Data!A1:G51,2,0)</f>
        <v xml:space="preserve">ABBA FIRA ALINGADTHER </v>
      </c>
      <c r="C10" s="313"/>
      <c r="D10" s="313"/>
      <c r="E10" s="313"/>
      <c r="F10" s="313"/>
      <c r="G10" s="313"/>
      <c r="H10" s="137"/>
      <c r="I10" s="137"/>
      <c r="J10" s="137"/>
      <c r="K10" s="310" t="s">
        <v>105</v>
      </c>
      <c r="L10" s="310"/>
      <c r="M10" s="313" t="str">
        <f>VLOOKUP(B14,Data!A2:J50,7,0)</f>
        <v>1st</v>
      </c>
      <c r="N10" s="314"/>
    </row>
    <row r="11" spans="1:15">
      <c r="A11" s="143" t="s">
        <v>106</v>
      </c>
      <c r="B11" s="315">
        <f>VLOOKUP(B14,Data!A2:J50,5,0)</f>
        <v>14</v>
      </c>
      <c r="C11" s="315"/>
      <c r="D11" s="315"/>
      <c r="E11" s="315"/>
      <c r="F11" s="315"/>
      <c r="G11" s="315"/>
      <c r="H11" s="137"/>
      <c r="I11" s="137"/>
      <c r="J11" s="137"/>
      <c r="K11" s="310" t="s">
        <v>28</v>
      </c>
      <c r="L11" s="310"/>
      <c r="M11" s="313" t="str">
        <f>VLOOKUP(B14,Data!A2:J51,3,0)</f>
        <v>SS 2C</v>
      </c>
      <c r="N11" s="314"/>
    </row>
    <row r="12" spans="1:15">
      <c r="A12" s="143" t="s">
        <v>107</v>
      </c>
      <c r="B12" s="315" t="str">
        <f>VLOOKUP(B14,Data!A2:G51,4,0)</f>
        <v xml:space="preserve">Borno </v>
      </c>
      <c r="C12" s="315"/>
      <c r="D12" s="315"/>
      <c r="E12" s="315"/>
      <c r="F12" s="315"/>
      <c r="G12" s="315"/>
      <c r="H12" s="137"/>
      <c r="I12" s="137"/>
      <c r="J12" s="137"/>
      <c r="K12" s="310" t="s">
        <v>108</v>
      </c>
      <c r="L12" s="310"/>
      <c r="M12" s="313" t="str">
        <f>VLOOKUP(B14,Data!A2:J51,8,0)</f>
        <v>16th January, 2026</v>
      </c>
      <c r="N12" s="314"/>
    </row>
    <row r="13" spans="1:15">
      <c r="A13" s="143" t="s">
        <v>109</v>
      </c>
      <c r="B13" s="313" t="str">
        <f>VLOOKUP(B14,Data!A2:J50,6,0)</f>
        <v>Jere</v>
      </c>
      <c r="C13" s="313"/>
      <c r="D13" s="313"/>
      <c r="E13" s="313"/>
      <c r="F13" s="313"/>
      <c r="G13" s="313"/>
      <c r="H13" s="137"/>
      <c r="I13" s="137"/>
      <c r="J13" s="137"/>
      <c r="K13" s="310" t="s">
        <v>110</v>
      </c>
      <c r="L13" s="310"/>
      <c r="M13" s="311" t="str">
        <f>IF(M21&gt;=40,"Passed","Failed")</f>
        <v>Failed</v>
      </c>
      <c r="N13" s="312"/>
    </row>
    <row r="14" spans="1:15">
      <c r="A14" s="143" t="s">
        <v>111</v>
      </c>
      <c r="B14" s="309">
        <v>1</v>
      </c>
      <c r="C14" s="309"/>
      <c r="D14" s="137"/>
      <c r="E14" s="137"/>
      <c r="F14" s="137"/>
      <c r="G14" s="137"/>
      <c r="H14" s="137"/>
      <c r="I14" s="137"/>
      <c r="J14" s="137"/>
      <c r="K14" s="301"/>
      <c r="L14" s="301"/>
      <c r="M14" s="301"/>
      <c r="N14" s="302"/>
    </row>
    <row r="15" spans="1:15">
      <c r="A15" s="143" t="s">
        <v>112</v>
      </c>
      <c r="B15" s="144">
        <f>COUNTIF(H28:H51,"&gt;5")</f>
        <v>7</v>
      </c>
      <c r="C15" s="137"/>
      <c r="D15" s="137"/>
      <c r="E15" s="137"/>
      <c r="F15" s="137"/>
      <c r="G15" s="137"/>
      <c r="H15" s="137"/>
      <c r="I15" s="137"/>
      <c r="J15" s="137"/>
      <c r="K15" s="300"/>
      <c r="L15" s="300"/>
      <c r="M15" s="301"/>
      <c r="N15" s="302"/>
    </row>
    <row r="16" spans="1:15">
      <c r="A16" s="143" t="s">
        <v>113</v>
      </c>
      <c r="B16" s="144">
        <f>COUNTIF(H28:H51,"&gt;=40")</f>
        <v>5</v>
      </c>
      <c r="C16" s="137"/>
      <c r="D16" s="137"/>
      <c r="E16" s="137"/>
      <c r="F16" s="137"/>
      <c r="G16" s="137"/>
      <c r="H16" s="137"/>
      <c r="I16" s="137"/>
      <c r="J16" s="137"/>
      <c r="K16" s="145"/>
      <c r="L16" s="145"/>
      <c r="M16" s="137"/>
      <c r="N16" s="138"/>
    </row>
    <row r="17" spans="1:23">
      <c r="A17" s="136"/>
      <c r="B17" s="137"/>
      <c r="C17" s="137"/>
      <c r="D17" s="137"/>
      <c r="E17" s="137"/>
      <c r="F17" s="137"/>
      <c r="G17" s="137"/>
      <c r="H17" s="137"/>
      <c r="I17" s="137"/>
      <c r="J17" s="137"/>
      <c r="K17" s="145"/>
      <c r="L17" s="145"/>
      <c r="M17" s="137"/>
      <c r="N17" s="138"/>
      <c r="T17" s="272"/>
      <c r="U17" s="272"/>
      <c r="V17" s="272"/>
      <c r="W17" s="272"/>
    </row>
    <row r="18" spans="1:23">
      <c r="A18" s="146"/>
      <c r="B18" s="147"/>
      <c r="C18" s="147"/>
      <c r="D18" s="147"/>
      <c r="E18" s="147"/>
      <c r="F18" s="147"/>
      <c r="G18" s="147"/>
      <c r="H18" s="147"/>
      <c r="I18" s="147"/>
      <c r="J18" s="147"/>
      <c r="K18" s="148"/>
      <c r="L18" s="148"/>
      <c r="M18" s="147"/>
      <c r="N18" s="149" t="s">
        <v>114</v>
      </c>
    </row>
    <row r="19" spans="1:23" ht="15" customHeight="1">
      <c r="A19" s="303" t="s">
        <v>19</v>
      </c>
      <c r="B19" s="292" t="s">
        <v>115</v>
      </c>
      <c r="C19" s="292" t="s">
        <v>116</v>
      </c>
      <c r="D19" s="292" t="s">
        <v>117</v>
      </c>
      <c r="E19" s="292" t="s">
        <v>118</v>
      </c>
      <c r="F19" s="296" t="s">
        <v>119</v>
      </c>
      <c r="G19" s="292" t="s">
        <v>76</v>
      </c>
      <c r="H19" s="292" t="s">
        <v>24</v>
      </c>
      <c r="I19" s="296" t="s">
        <v>25</v>
      </c>
      <c r="J19" s="294" t="s">
        <v>26</v>
      </c>
      <c r="K19" s="318" t="s">
        <v>120</v>
      </c>
      <c r="L19" s="319"/>
      <c r="M19" s="320">
        <f>VLOOKUP(B14,BSheet!A1:AG51,30,0)</f>
        <v>384</v>
      </c>
      <c r="N19" s="321"/>
    </row>
    <row r="20" spans="1:23" ht="12" customHeight="1">
      <c r="A20" s="304"/>
      <c r="B20" s="293"/>
      <c r="C20" s="293"/>
      <c r="D20" s="293"/>
      <c r="E20" s="293"/>
      <c r="F20" s="297"/>
      <c r="G20" s="293"/>
      <c r="H20" s="293"/>
      <c r="I20" s="297"/>
      <c r="J20" s="295"/>
      <c r="K20" s="286" t="s">
        <v>121</v>
      </c>
      <c r="L20" s="287"/>
      <c r="M20" s="298">
        <f>VLOOKUP(B14,BSheet!A2:AF51,31,0)</f>
        <v>38.4</v>
      </c>
      <c r="N20" s="299"/>
    </row>
    <row r="21" spans="1:23" ht="15" customHeight="1">
      <c r="A21" s="304"/>
      <c r="B21" s="293"/>
      <c r="C21" s="293"/>
      <c r="D21" s="293"/>
      <c r="E21" s="293"/>
      <c r="F21" s="297"/>
      <c r="G21" s="293"/>
      <c r="H21" s="293"/>
      <c r="I21" s="297"/>
      <c r="J21" s="295"/>
      <c r="K21" s="286" t="s">
        <v>122</v>
      </c>
      <c r="L21" s="287"/>
      <c r="M21" s="277">
        <f>VLOOKUP(B14,BSheet!A2:AF51,32,0)</f>
        <v>16</v>
      </c>
      <c r="N21" s="278"/>
    </row>
    <row r="22" spans="1:23" ht="15" hidden="1" customHeight="1">
      <c r="A22" s="304"/>
      <c r="B22" s="293"/>
      <c r="C22" s="293"/>
      <c r="D22" s="293"/>
      <c r="E22" s="293"/>
      <c r="F22" s="297"/>
      <c r="G22" s="293"/>
      <c r="H22" s="293"/>
      <c r="I22" s="297"/>
      <c r="J22" s="295"/>
      <c r="K22" s="150"/>
      <c r="L22" s="150"/>
      <c r="M22" s="282"/>
      <c r="N22" s="283"/>
    </row>
    <row r="23" spans="1:23" ht="6.75" hidden="1" customHeight="1">
      <c r="A23" s="304"/>
      <c r="B23" s="293"/>
      <c r="C23" s="293"/>
      <c r="D23" s="293"/>
      <c r="E23" s="293"/>
      <c r="F23" s="297"/>
      <c r="G23" s="293"/>
      <c r="H23" s="293"/>
      <c r="I23" s="297"/>
      <c r="J23" s="295"/>
      <c r="K23" s="150"/>
      <c r="L23" s="150"/>
      <c r="M23" s="282"/>
      <c r="N23" s="283"/>
    </row>
    <row r="24" spans="1:23" ht="15" hidden="1" customHeight="1">
      <c r="A24" s="304"/>
      <c r="B24" s="293"/>
      <c r="C24" s="293"/>
      <c r="D24" s="293"/>
      <c r="E24" s="293"/>
      <c r="F24" s="297"/>
      <c r="G24" s="293"/>
      <c r="H24" s="293"/>
      <c r="I24" s="297"/>
      <c r="J24" s="295"/>
      <c r="K24" s="150"/>
      <c r="L24" s="150"/>
      <c r="M24" s="282"/>
      <c r="N24" s="283"/>
    </row>
    <row r="25" spans="1:23" ht="11.25" hidden="1" customHeight="1">
      <c r="A25" s="304"/>
      <c r="B25" s="293"/>
      <c r="C25" s="293"/>
      <c r="D25" s="293"/>
      <c r="E25" s="293"/>
      <c r="F25" s="297"/>
      <c r="G25" s="293"/>
      <c r="H25" s="293"/>
      <c r="I25" s="297"/>
      <c r="J25" s="295"/>
      <c r="K25" s="150"/>
      <c r="L25" s="150"/>
      <c r="M25" s="282"/>
      <c r="N25" s="283"/>
    </row>
    <row r="26" spans="1:23" ht="15" customHeight="1">
      <c r="A26" s="304"/>
      <c r="B26" s="293"/>
      <c r="C26" s="293"/>
      <c r="D26" s="293"/>
      <c r="E26" s="293"/>
      <c r="F26" s="297"/>
      <c r="G26" s="293"/>
      <c r="H26" s="293"/>
      <c r="I26" s="297"/>
      <c r="J26" s="295"/>
      <c r="K26" s="284" t="s">
        <v>123</v>
      </c>
      <c r="L26" s="285"/>
      <c r="M26" s="298">
        <f>VLOOKUP(B14,BSheet!A2:AH51,33,0)</f>
        <v>0</v>
      </c>
      <c r="N26" s="299"/>
    </row>
    <row r="27" spans="1:23" ht="16.5" customHeight="1">
      <c r="A27" s="304"/>
      <c r="B27" s="151" t="s">
        <v>124</v>
      </c>
      <c r="C27" s="151" t="s">
        <v>124</v>
      </c>
      <c r="D27" s="151" t="s">
        <v>124</v>
      </c>
      <c r="E27" s="151" t="s">
        <v>124</v>
      </c>
      <c r="F27" s="151" t="s">
        <v>125</v>
      </c>
      <c r="G27" s="151" t="s">
        <v>126</v>
      </c>
      <c r="H27" s="151" t="s">
        <v>127</v>
      </c>
      <c r="I27" s="152"/>
      <c r="J27" s="153"/>
      <c r="K27" s="316" t="s">
        <v>27</v>
      </c>
      <c r="L27" s="316"/>
      <c r="M27" s="316"/>
      <c r="N27" s="317"/>
    </row>
    <row r="28" spans="1:23">
      <c r="A28" s="154" t="s">
        <v>46</v>
      </c>
      <c r="B28" s="155" t="str">
        <f>VLOOKUP(B14,Scoresheet!A3:W52,3,0)</f>
        <v xml:space="preserve">ABBA FIRA ALINGADTHER </v>
      </c>
      <c r="C28" s="155">
        <f>VLOOKUP(B14,Scoresheet!A3:M52,4,0)</f>
        <v>7</v>
      </c>
      <c r="D28" s="155">
        <f>VLOOKUP(B14,Scoresheet!A3:M52,5,0)</f>
        <v>8</v>
      </c>
      <c r="E28" s="155">
        <f>VLOOKUP(B14,Scoresheet!A3:M52,6,0)</f>
        <v>8</v>
      </c>
      <c r="F28" s="155">
        <f>VLOOKUP(B14,Scoresheet!A3:M52,7,0)</f>
        <v>8</v>
      </c>
      <c r="G28" s="155">
        <f>VLOOKUP(B14,Scoresheet!A3:M52,8,0)</f>
        <v>31</v>
      </c>
      <c r="H28" s="155">
        <f>VLOOKUP(B14,Scoresheet!A3:L52,9,0)</f>
        <v>27</v>
      </c>
      <c r="I28" s="155">
        <f>VLOOKUP(B14,Scoresheet!A3:L52,10,0)</f>
        <v>58</v>
      </c>
      <c r="J28" s="155">
        <f>VLOOKUP(B14,Scoresheet!A3:L52,11,0)</f>
        <v>21</v>
      </c>
      <c r="K28" s="279" t="str">
        <f>VLOOKUP(B14,Scoresheet!A3:M52,12,0)</f>
        <v>C5</v>
      </c>
      <c r="L28" s="280"/>
      <c r="M28" s="280"/>
      <c r="N28" s="281"/>
    </row>
    <row r="29" spans="1:23">
      <c r="A29" s="154" t="s">
        <v>47</v>
      </c>
      <c r="B29" s="155">
        <f>VLOOKUP(B14,Scoresheet!N3:X52,3,0)</f>
        <v>0</v>
      </c>
      <c r="C29" s="155">
        <f>VLOOKUP(B14,Scoresheet!N3:X52,4,0)</f>
        <v>0</v>
      </c>
      <c r="D29" s="155">
        <f>VLOOKUP(B14,Scoresheet!N3:X52,5,0)</f>
        <v>0</v>
      </c>
      <c r="E29" s="155">
        <f>VLOOKUP(B14,Scoresheet!N3:X52,6,0)</f>
        <v>0</v>
      </c>
      <c r="F29" s="155">
        <f>VLOOKUP(B14,Scoresheet!N3:X52,7,0)</f>
        <v>0</v>
      </c>
      <c r="G29" s="155">
        <f>VLOOKUP(B14,Scoresheet!N3:X52,8,0)</f>
        <v>0</v>
      </c>
      <c r="H29" s="155">
        <f>VLOOKUP(B14,Scoresheet!N3:X52,9,0)</f>
        <v>0</v>
      </c>
      <c r="I29" s="155" t="str">
        <f>VLOOKUP(B14,Scoresheet!N3:X52,10,0)</f>
        <v/>
      </c>
      <c r="J29" s="155" t="str">
        <f>VLOOKUP(B14,Scoresheet!N3:X52,11,0)</f>
        <v/>
      </c>
      <c r="K29" s="279" t="str">
        <f>VLOOKUP(B14,Scoresheet!N3:Y52,12,0)</f>
        <v/>
      </c>
      <c r="L29" s="280"/>
      <c r="M29" s="280"/>
      <c r="N29" s="281"/>
    </row>
    <row r="30" spans="1:23">
      <c r="A30" s="154" t="s">
        <v>77</v>
      </c>
      <c r="B30" s="155">
        <f>VLOOKUP(B14,Scoresheet!Z3:AJ52,3,0)</f>
        <v>7</v>
      </c>
      <c r="C30" s="155">
        <f>VLOOKUP(B14,Scoresheet!Z3:AJ52,4,0)</f>
        <v>8</v>
      </c>
      <c r="D30" s="155">
        <f>VLOOKUP(B14,Scoresheet!Z3:AJ52,5,0)</f>
        <v>8</v>
      </c>
      <c r="E30" s="155">
        <f>VLOOKUP(B14,Scoresheet!Z3:AJ52,6,0)</f>
        <v>8</v>
      </c>
      <c r="F30" s="155">
        <f>VLOOKUP(B14,Scoresheet!Z3:AJ52,7,0)</f>
        <v>31</v>
      </c>
      <c r="G30" s="155">
        <f>VLOOKUP(B14,Scoresheet!Z3:AJ52,8,0)</f>
        <v>27</v>
      </c>
      <c r="H30" s="155">
        <f>VLOOKUP(B14,Scoresheet!Z3:AJ52,9,0)</f>
        <v>58</v>
      </c>
      <c r="I30" s="155">
        <f>VLOOKUP(B14,Scoresheet!Z3:AJ52,10,0)</f>
        <v>21</v>
      </c>
      <c r="J30" s="155" t="str">
        <f>VLOOKUP(B14,Scoresheet!Z3:AJ52,11,0)</f>
        <v>C5</v>
      </c>
      <c r="K30" s="279" t="str">
        <f>VLOOKUP(B14,Scoresheet!Z3:AK52,12,0)</f>
        <v>Credit</v>
      </c>
      <c r="L30" s="280"/>
      <c r="M30" s="280"/>
      <c r="N30" s="281"/>
    </row>
    <row r="31" spans="1:23">
      <c r="A31" s="154" t="s">
        <v>49</v>
      </c>
      <c r="B31" s="155">
        <f>VLOOKUP(B14,Scoresheet!AL3:AV52,3,0)</f>
        <v>7</v>
      </c>
      <c r="C31" s="155">
        <f>VLOOKUP(B14,Scoresheet!AL3:AV52,4,0)</f>
        <v>8</v>
      </c>
      <c r="D31" s="155">
        <f>VLOOKUP(B14,Scoresheet!AL3:AV52,5,0)</f>
        <v>8</v>
      </c>
      <c r="E31" s="155">
        <f>VLOOKUP(B14,Scoresheet!AL3:AV52,6,0)</f>
        <v>8</v>
      </c>
      <c r="F31" s="155">
        <f>VLOOKUP(B14,Scoresheet!AL3:AV52,7,0)</f>
        <v>31</v>
      </c>
      <c r="G31" s="155">
        <f>VLOOKUP(B14,Scoresheet!AL3:AV52,8,0)</f>
        <v>27</v>
      </c>
      <c r="H31" s="155">
        <f>VLOOKUP(B14,Scoresheet!AL3:AV52,9,0)</f>
        <v>58</v>
      </c>
      <c r="I31" s="155">
        <f>VLOOKUP(B14,Scoresheet!AL3:AV52,10,0)</f>
        <v>21</v>
      </c>
      <c r="J31" s="155" t="str">
        <f>VLOOKUP(B14,Scoresheet!AL3:AV52,11,0)</f>
        <v>C5</v>
      </c>
      <c r="K31" s="279" t="str">
        <f>VLOOKUP(B14,Scoresheet!AL3:AW52,12,0)</f>
        <v>Credit</v>
      </c>
      <c r="L31" s="280"/>
      <c r="M31" s="280"/>
      <c r="N31" s="281"/>
    </row>
    <row r="32" spans="1:23">
      <c r="A32" s="154" t="s">
        <v>78</v>
      </c>
      <c r="B32" s="155">
        <f>VLOOKUP(Report!B14,Scoresheet!AX3:BH52,3,0)</f>
        <v>7</v>
      </c>
      <c r="C32" s="155">
        <f>VLOOKUP(B14,Scoresheet!AX3:BH52,4,0)</f>
        <v>8</v>
      </c>
      <c r="D32" s="155">
        <f>VLOOKUP(B14,Scoresheet!AX3:BH52,5,0)</f>
        <v>8</v>
      </c>
      <c r="E32" s="155">
        <f>VLOOKUP(B14,Scoresheet!AX3:BJ52,6,0)</f>
        <v>8</v>
      </c>
      <c r="F32" s="155">
        <f>VLOOKUP(B14,Scoresheet!AX3:BH52,7,0)</f>
        <v>31</v>
      </c>
      <c r="G32" s="155">
        <f>VLOOKUP(B14,Scoresheet!AX3:BH52,8,0)</f>
        <v>27</v>
      </c>
      <c r="H32" s="155">
        <f>VLOOKUP(B14,Scoresheet!AX3:BH52,9,0)</f>
        <v>58</v>
      </c>
      <c r="I32" s="155">
        <f>VLOOKUP(B14,Scoresheet!AX3:BH52,10,0)</f>
        <v>21</v>
      </c>
      <c r="J32" s="155" t="str">
        <f>VLOOKUP(B14,Scoresheet!AX3:BH52,11,0)</f>
        <v>C5</v>
      </c>
      <c r="K32" s="279" t="str">
        <f>VLOOKUP(B14,Scoresheet!AX3:BI52,12,0)</f>
        <v>Credit</v>
      </c>
      <c r="L32" s="280"/>
      <c r="M32" s="280"/>
      <c r="N32" s="281"/>
    </row>
    <row r="33" spans="1:14">
      <c r="A33" s="154" t="s">
        <v>79</v>
      </c>
      <c r="B33" s="155">
        <f>VLOOKUP(B14,Scoresheet!BJ3:BT52,3,0)</f>
        <v>7</v>
      </c>
      <c r="C33" s="155">
        <f>VLOOKUP(B14,Scoresheet!BJ3:BT52,4,0)</f>
        <v>8</v>
      </c>
      <c r="D33" s="155">
        <f>VLOOKUP(B14,Scoresheet!BJ3:BT52,5,0)</f>
        <v>8</v>
      </c>
      <c r="E33" s="155">
        <f>VLOOKUP(B14,Scoresheet!BJ3:BT52,6,0)</f>
        <v>8</v>
      </c>
      <c r="F33" s="155">
        <f>VLOOKUP(B14,Scoresheet!BJ3:BT52,7,0)</f>
        <v>31</v>
      </c>
      <c r="G33" s="155">
        <f>VLOOKUP(B14,Scoresheet!BJ3:BT52,8,0)</f>
        <v>27</v>
      </c>
      <c r="H33" s="155">
        <f>VLOOKUP(B14,Scoresheet!BJ3:BT52,9,0)</f>
        <v>58</v>
      </c>
      <c r="I33" s="155">
        <f>VLOOKUP(B14,Scoresheet!BJ3:BT52,10,0)</f>
        <v>21</v>
      </c>
      <c r="J33" s="155" t="str">
        <f>VLOOKUP(B14,Scoresheet!BJ3:BV52,11,0)</f>
        <v>C5</v>
      </c>
      <c r="K33" s="279" t="str">
        <f>VLOOKUP(B14,Scoresheet!BJ3:BU52,12,0)</f>
        <v>Credit</v>
      </c>
      <c r="L33" s="280"/>
      <c r="M33" s="280"/>
      <c r="N33" s="281"/>
    </row>
    <row r="34" spans="1:14">
      <c r="A34" s="154" t="s">
        <v>80</v>
      </c>
      <c r="B34" s="155">
        <f>VLOOKUP(B14,Scoresheet!BV3:CF52,3,0)</f>
        <v>7</v>
      </c>
      <c r="C34" s="155">
        <f>VLOOKUP(B14,Scoresheet!BV3:CF52,4,0)</f>
        <v>8</v>
      </c>
      <c r="D34" s="155">
        <f>VLOOKUP(B14,Scoresheet!BV3:CF52,5,0)</f>
        <v>8</v>
      </c>
      <c r="E34" s="155">
        <f>VLOOKUP(B14,Scoresheet!BV3:CF52,6,0)</f>
        <v>8</v>
      </c>
      <c r="F34" s="155">
        <f>VLOOKUP(B14,Scoresheet!BV3:CF52,7,0)</f>
        <v>31</v>
      </c>
      <c r="G34" s="155">
        <f>VLOOKUP(B14,Scoresheet!BV3:CF52,8,0)</f>
        <v>27</v>
      </c>
      <c r="H34" s="155">
        <f>VLOOKUP(B14,Scoresheet!BV3:CF52,9,0)</f>
        <v>58</v>
      </c>
      <c r="I34" s="155">
        <f>VLOOKUP(B14,Scoresheet!BV3:CF52,10,0)</f>
        <v>21</v>
      </c>
      <c r="J34" s="155" t="str">
        <f>VLOOKUP(B14,Scoresheet!BV3:CF52,11,0)</f>
        <v>C5</v>
      </c>
      <c r="K34" s="279" t="str">
        <f>VLOOKUP(B14,Scoresheet!BV3:CG52,12,0)</f>
        <v>Credit</v>
      </c>
      <c r="L34" s="280"/>
      <c r="M34" s="280"/>
      <c r="N34" s="281"/>
    </row>
    <row r="35" spans="1:14">
      <c r="A35" s="154" t="s">
        <v>81</v>
      </c>
      <c r="B35" s="155">
        <f>VLOOKUP(B14,Scoresheet!CH3:CR52,3,0)</f>
        <v>0</v>
      </c>
      <c r="C35" s="155">
        <f>VLOOKUP(B14,Scoresheet!CH3:CR52,4,0)</f>
        <v>0</v>
      </c>
      <c r="D35" s="155">
        <f>VLOOKUP(B14,Scoresheet!CH3:CR52,5,0)</f>
        <v>0</v>
      </c>
      <c r="E35" s="155">
        <f>VLOOKUP(B14,Scoresheet!CH3:CR52,6,0)</f>
        <v>0</v>
      </c>
      <c r="F35" s="155">
        <f>VLOOKUP(B14,Scoresheet!CH3:CR52,7,0)</f>
        <v>0</v>
      </c>
      <c r="G35" s="155">
        <f>VLOOKUP(B14,Scoresheet!CH3:CR52,8,0)</f>
        <v>0</v>
      </c>
      <c r="H35" s="155">
        <f>VLOOKUP(B14,Scoresheet!CH3:CR52,9,0)</f>
        <v>0</v>
      </c>
      <c r="I35" s="155" t="str">
        <f>VLOOKUP(B14,Scoresheet!CH3:CR52,10,0)</f>
        <v/>
      </c>
      <c r="J35" s="155" t="str">
        <f>VLOOKUP(B14,Scoresheet!CH3:CR52,11,0)</f>
        <v/>
      </c>
      <c r="K35" s="279" t="str">
        <f>VLOOKUP(B14,Scoresheet!CH3:CS52,12,0)</f>
        <v/>
      </c>
      <c r="L35" s="280"/>
      <c r="M35" s="280"/>
      <c r="N35" s="281"/>
    </row>
    <row r="36" spans="1:14">
      <c r="A36" s="154" t="s">
        <v>82</v>
      </c>
      <c r="B36" s="155">
        <f>VLOOKUP(B14,Scoresheet!CT3:DD52,3,0)</f>
        <v>0</v>
      </c>
      <c r="C36" s="155">
        <f>VLOOKUP(B14,Scoresheet!CT3:DD52,4,0)</f>
        <v>0</v>
      </c>
      <c r="D36" s="155">
        <f>VLOOKUP(B14,Scoresheet!CT3:DD52,5,0)</f>
        <v>0</v>
      </c>
      <c r="E36" s="155">
        <f>VLOOKUP(B14,Scoresheet!CT3:DD52,6,0)</f>
        <v>0</v>
      </c>
      <c r="F36" s="155">
        <f>VLOOKUP(B14,Scoresheet!CT3:DD52,7,0)</f>
        <v>0</v>
      </c>
      <c r="G36" s="155">
        <f>VLOOKUP(B14,Scoresheet!CT3:DD52,8,0)</f>
        <v>0</v>
      </c>
      <c r="H36" s="155">
        <f>VLOOKUP(B14,Scoresheet!CT3:DD52,9,0)</f>
        <v>0</v>
      </c>
      <c r="I36" s="155" t="str">
        <f>VLOOKUP(B14,Scoresheet!CT3:DD52,10,0)</f>
        <v/>
      </c>
      <c r="J36" s="155" t="str">
        <f>VLOOKUP(B14,Scoresheet!CT3:DD52,11,0)</f>
        <v/>
      </c>
      <c r="K36" s="279" t="str">
        <f>VLOOKUP(B14,Scoresheet!CT3:DE52,12,0)</f>
        <v/>
      </c>
      <c r="L36" s="280"/>
      <c r="M36" s="280"/>
      <c r="N36" s="281"/>
    </row>
    <row r="37" spans="1:14">
      <c r="A37" s="154" t="s">
        <v>83</v>
      </c>
      <c r="B37" s="155">
        <f>VLOOKUP(B14,Scoresheet!DF3:DP52,3,0)</f>
        <v>7</v>
      </c>
      <c r="C37" s="155">
        <f>VLOOKUP(B14,Scoresheet!DF3:DP52,4,0)</f>
        <v>3</v>
      </c>
      <c r="D37" s="155">
        <f>VLOOKUP(B14,Scoresheet!DF3:DP52,5,0)</f>
        <v>2</v>
      </c>
      <c r="E37" s="155">
        <f>VLOOKUP(B14,Scoresheet!DF3:DP52,6,0)</f>
        <v>5</v>
      </c>
      <c r="F37" s="155">
        <f>VLOOKUP(B14,Scoresheet!DF3:DP52,7,0)</f>
        <v>17</v>
      </c>
      <c r="G37" s="155">
        <f>VLOOKUP(B14,Scoresheet!DF3:DP52,8,0)</f>
        <v>19</v>
      </c>
      <c r="H37" s="155">
        <f>VLOOKUP(B14,Scoresheet!DF3:DP52,9,0)</f>
        <v>36</v>
      </c>
      <c r="I37" s="155">
        <f>VLOOKUP(B14,Scoresheet!DF3:DP52,10,0)</f>
        <v>6</v>
      </c>
      <c r="J37" s="155" t="str">
        <f>VLOOKUP(B14,Scoresheet!DF3:DP52,11,0)</f>
        <v>F</v>
      </c>
      <c r="K37" s="279" t="str">
        <f>VLOOKUP(B14,Scoresheet!DF3:DQ52,12,0)</f>
        <v>Fail</v>
      </c>
      <c r="L37" s="280"/>
      <c r="M37" s="280"/>
      <c r="N37" s="281"/>
    </row>
    <row r="38" spans="1:14">
      <c r="A38" s="154" t="s">
        <v>84</v>
      </c>
      <c r="B38" s="155">
        <f>VLOOKUP(B14,Scoresheet!DR3:EB52,3,0)</f>
        <v>0</v>
      </c>
      <c r="C38" s="155">
        <f>VLOOKUP(B14,Scoresheet!DR3:EB52,4,0)</f>
        <v>0</v>
      </c>
      <c r="D38" s="155">
        <f>VLOOKUP(B14,Scoresheet!DR3:EB52,5,0)</f>
        <v>0</v>
      </c>
      <c r="E38" s="155">
        <f>VLOOKUP(B14,Scoresheet!DR3:EB52,6,0)</f>
        <v>0</v>
      </c>
      <c r="F38" s="155">
        <f>VLOOKUP(B14,Scoresheet!DR3:EB52,7,0)</f>
        <v>0</v>
      </c>
      <c r="G38" s="155">
        <f>VLOOKUP(B14,Scoresheet!DR3:EB52,8,0)</f>
        <v>0</v>
      </c>
      <c r="H38" s="155">
        <f>VLOOKUP(B14,Scoresheet!DR3:EB52,9,0)</f>
        <v>0</v>
      </c>
      <c r="I38" s="155" t="str">
        <f>VLOOKUP(B14,Scoresheet!DR3:EB52,10,0)</f>
        <v/>
      </c>
      <c r="J38" s="155" t="str">
        <f>VLOOKUP(B14,Scoresheet!DR3:EB52,11,0)</f>
        <v/>
      </c>
      <c r="K38" s="279" t="str">
        <f>VLOOKUP(B14,Scoresheet!DR3:EC52,12,0)</f>
        <v/>
      </c>
      <c r="L38" s="280"/>
      <c r="M38" s="280"/>
      <c r="N38" s="281"/>
    </row>
    <row r="39" spans="1:14">
      <c r="A39" s="154" t="s">
        <v>85</v>
      </c>
      <c r="B39" s="155">
        <f>VLOOKUP(B14,Scoresheet!ED3:EN52,3,0)</f>
        <v>0</v>
      </c>
      <c r="C39" s="155">
        <f>VLOOKUP(B14,Scoresheet!ED3:EN52,4,0)</f>
        <v>0</v>
      </c>
      <c r="D39" s="155">
        <f>VLOOKUP(B14,Scoresheet!ED3:EN52,5,0)</f>
        <v>0</v>
      </c>
      <c r="E39" s="155">
        <f>VLOOKUP(B14,Scoresheet!ED3:EN52,6,0)</f>
        <v>0</v>
      </c>
      <c r="F39" s="155">
        <f>VLOOKUP(B14,Scoresheet!ED3:EN52,7,0)</f>
        <v>0</v>
      </c>
      <c r="G39" s="155">
        <f>VLOOKUP(B14,Scoresheet!ED3:EN52,8,0)</f>
        <v>0</v>
      </c>
      <c r="H39" s="155">
        <f>VLOOKUP(B14,Scoresheet!ED3:EN52,9,0)</f>
        <v>0</v>
      </c>
      <c r="I39" s="155" t="str">
        <f>VLOOKUP(B14,Scoresheet!ED3:EN52,10,0)</f>
        <v/>
      </c>
      <c r="J39" s="155" t="str">
        <f>VLOOKUP(B14,Scoresheet!ED3:EN52,11,0)</f>
        <v/>
      </c>
      <c r="K39" s="279" t="str">
        <f>VLOOKUP(B14,Scoresheet!EP3:FA52,12,0)</f>
        <v/>
      </c>
      <c r="L39" s="280"/>
      <c r="M39" s="280"/>
      <c r="N39" s="281"/>
    </row>
    <row r="40" spans="1:14">
      <c r="A40" s="154" t="s">
        <v>86</v>
      </c>
      <c r="B40" s="155">
        <f>VLOOKUP(B14,Scoresheet!EP3:EZ52,3,0)</f>
        <v>0</v>
      </c>
      <c r="C40" s="155">
        <f>VLOOKUP(B14,Scoresheet!EP3:EZ52,4,0)</f>
        <v>0</v>
      </c>
      <c r="D40" s="155">
        <f>VLOOKUP(B14,Scoresheet!EP3:EZ52,5,0)</f>
        <v>0</v>
      </c>
      <c r="E40" s="155">
        <f>VLOOKUP(B14,Scoresheet!EP3:EZ52,6,0)</f>
        <v>0</v>
      </c>
      <c r="F40" s="155">
        <f>VLOOKUP(B14,Scoresheet!EP3:EZ52,7,0)</f>
        <v>0</v>
      </c>
      <c r="G40" s="155">
        <f>VLOOKUP(B14,Scoresheet!EP3:FB52,8,0)</f>
        <v>0</v>
      </c>
      <c r="H40" s="155">
        <f>VLOOKUP(B14,Scoresheet!EP3:EZ52,9,0)</f>
        <v>0</v>
      </c>
      <c r="I40" s="155" t="str">
        <f>VLOOKUP(B14,Scoresheet!EP3:EZ52,10,0)</f>
        <v/>
      </c>
      <c r="J40" s="155" t="str">
        <f>VLOOKUP(B14,Scoresheet!EP3:EZ52,11,0)</f>
        <v/>
      </c>
      <c r="K40" s="279" t="str">
        <f>VLOOKUP(B14,Scoresheet!EP3:FA52,12,0)</f>
        <v/>
      </c>
      <c r="L40" s="280"/>
      <c r="M40" s="280"/>
      <c r="N40" s="281"/>
    </row>
    <row r="41" spans="1:14">
      <c r="A41" s="154" t="s">
        <v>87</v>
      </c>
      <c r="B41" s="155">
        <f>VLOOKUP(B14,Scoresheet!FB3:FL52,3,0)</f>
        <v>0</v>
      </c>
      <c r="C41" s="155">
        <f>VLOOKUP(B14,Scoresheet!FB3:FL52,4,0)</f>
        <v>0</v>
      </c>
      <c r="D41" s="155">
        <f>VLOOKUP(B14,Scoresheet!FB3:FL52,5,0)</f>
        <v>0</v>
      </c>
      <c r="E41" s="155">
        <f>VLOOKUP(B14,Scoresheet!FB3:FL52,6,0)</f>
        <v>0</v>
      </c>
      <c r="F41" s="155">
        <f>VLOOKUP(B14,Scoresheet!FB3:FL52,7,0)</f>
        <v>0</v>
      </c>
      <c r="G41" s="155">
        <f>VLOOKUP(B14,Scoresheet!FB3:FL52,8,0)</f>
        <v>0</v>
      </c>
      <c r="H41" s="155">
        <f>VLOOKUP(B14,Scoresheet!FB3:FL52,9,0)</f>
        <v>0</v>
      </c>
      <c r="I41" s="155" t="str">
        <f>VLOOKUP(B14,Scoresheet!FB3:FL52,10,0)</f>
        <v/>
      </c>
      <c r="J41" s="155" t="str">
        <f>VLOOKUP(B14,Scoresheet!FB3:FL52,11,0)</f>
        <v/>
      </c>
      <c r="K41" s="279" t="str">
        <f>VLOOKUP(B14,Scoresheet!FB3:FM52,12,0)</f>
        <v/>
      </c>
      <c r="L41" s="280"/>
      <c r="M41" s="280"/>
      <c r="N41" s="281"/>
    </row>
    <row r="42" spans="1:14">
      <c r="A42" s="154" t="s">
        <v>88</v>
      </c>
      <c r="B42" s="155">
        <f>VLOOKUP(B14,Scoresheet!FN3:FY52,3,0)</f>
        <v>0</v>
      </c>
      <c r="C42" s="155">
        <f>VLOOKUP(B14,Scoresheet!FN3:FY52,4,0)</f>
        <v>0</v>
      </c>
      <c r="D42" s="155">
        <f>VLOOKUP(B14,Scoresheet!FN3:FY52,5,0)</f>
        <v>0</v>
      </c>
      <c r="E42" s="155">
        <f>VLOOKUP(B14,Scoresheet!FN3:FY52,6,0)</f>
        <v>0</v>
      </c>
      <c r="F42" s="155">
        <f>VLOOKUP(B14,Scoresheet!FN3:FY52,7,0)</f>
        <v>0</v>
      </c>
      <c r="G42" s="155">
        <f>VLOOKUP(B14,Scoresheet!FN3:FY52,8,0)</f>
        <v>0</v>
      </c>
      <c r="H42" s="155">
        <f>VLOOKUP(B14,Scoresheet!FN3:FY52,9,0)</f>
        <v>0</v>
      </c>
      <c r="I42" s="155" t="str">
        <f>VLOOKUP(B14,Scoresheet!FN3:FY52,10,0)</f>
        <v/>
      </c>
      <c r="J42" s="155" t="str">
        <f>VLOOKUP(B14,Scoresheet!FN3:FY52,11,0)</f>
        <v/>
      </c>
      <c r="K42" s="279" t="str">
        <f>VLOOKUP(B14,Scoresheet!FN3:FY52,12,0)</f>
        <v/>
      </c>
      <c r="L42" s="280"/>
      <c r="M42" s="280"/>
      <c r="N42" s="281"/>
    </row>
    <row r="43" spans="1:14">
      <c r="A43" s="154" t="s">
        <v>89</v>
      </c>
      <c r="B43" s="155">
        <f>VLOOKUP(B14,Scoresheet!FZ3:GJ52,3,0)</f>
        <v>0</v>
      </c>
      <c r="C43" s="155">
        <f>VLOOKUP(B14,Scoresheet!FZ3:GJ52,4,0)</f>
        <v>0</v>
      </c>
      <c r="D43" s="155">
        <f>VLOOKUP(B14,Scoresheet!FZ3:GJ52,5,0)</f>
        <v>0</v>
      </c>
      <c r="E43" s="155">
        <f>VLOOKUP(B14,Scoresheet!FZ3:GJ52,6,0)</f>
        <v>0</v>
      </c>
      <c r="F43" s="155">
        <f>VLOOKUP(B14,Scoresheet!FZ3:GJ52,7,0)</f>
        <v>0</v>
      </c>
      <c r="G43" s="155">
        <f>VLOOKUP(B14,Scoresheet!FZ3:GJ52,8,0)</f>
        <v>0</v>
      </c>
      <c r="H43" s="155">
        <f>VLOOKUP(B14,Scoresheet!FZ3:GJ52,9,0)</f>
        <v>0</v>
      </c>
      <c r="I43" s="155" t="str">
        <f>VLOOKUP(B14,Scoresheet!FZ3:GJ52,10,0)</f>
        <v/>
      </c>
      <c r="J43" s="155" t="str">
        <f>VLOOKUP(B14,Scoresheet!FZ3:GJ52,11,0)</f>
        <v/>
      </c>
      <c r="K43" s="279" t="str">
        <f>VLOOKUP(B14,Scoresheet!FZ3:GK52,12,0)</f>
        <v/>
      </c>
      <c r="L43" s="280"/>
      <c r="M43" s="280"/>
      <c r="N43" s="281"/>
    </row>
    <row r="44" spans="1:14">
      <c r="A44" s="154" t="s">
        <v>90</v>
      </c>
      <c r="B44" s="155">
        <f>VLOOKUP(B14,Scoresheet!GL3:GV52,3,0)</f>
        <v>0</v>
      </c>
      <c r="C44" s="155">
        <f>VLOOKUP(B14,Scoresheet!GL3:GV52,4,0)</f>
        <v>0</v>
      </c>
      <c r="D44" s="155">
        <f>VLOOKUP(B14,Scoresheet!GL3:GV52,5,0)</f>
        <v>0</v>
      </c>
      <c r="E44" s="155">
        <f>VLOOKUP(B14,Scoresheet!GL3:GV52,6,0)</f>
        <v>0</v>
      </c>
      <c r="F44" s="155">
        <f>VLOOKUP(B14,Scoresheet!GL3:GV52,7,0)</f>
        <v>0</v>
      </c>
      <c r="G44" s="155">
        <f>VLOOKUP(B14,Scoresheet!GL3:GV52,8,0)</f>
        <v>0</v>
      </c>
      <c r="H44" s="155">
        <f>VLOOKUP(B14,Scoresheet!GL3:GV52,9,0)</f>
        <v>0</v>
      </c>
      <c r="I44" s="155" t="str">
        <f>VLOOKUP(B14,Scoresheet!GL3:GV52,10,0)</f>
        <v/>
      </c>
      <c r="J44" s="155" t="str">
        <f>VLOOKUP(B14,Scoresheet!GL3:GV52,11,0)</f>
        <v/>
      </c>
      <c r="K44" s="279" t="str">
        <f>VLOOKUP(B14,Scoresheet!GL3:GW52,12,0)</f>
        <v/>
      </c>
      <c r="L44" s="280"/>
      <c r="M44" s="280"/>
      <c r="N44" s="281"/>
    </row>
    <row r="45" spans="1:14">
      <c r="A45" s="154" t="s">
        <v>91</v>
      </c>
      <c r="B45" s="155">
        <f>VLOOKUP(B14,Scoresheet!GX3:HH52,3,0)</f>
        <v>0</v>
      </c>
      <c r="C45" s="155">
        <f>VLOOKUP(B14,Scoresheet!GX3:HH52,4,0)</f>
        <v>0</v>
      </c>
      <c r="D45" s="155">
        <f>VLOOKUP(B14,Scoresheet!GX3:HH52,5,0)</f>
        <v>0</v>
      </c>
      <c r="E45" s="155">
        <f>VLOOKUP(B14,Scoresheet!GX3:HH52,6,0)</f>
        <v>0</v>
      </c>
      <c r="F45" s="155">
        <f>VLOOKUP(B14,Scoresheet!GX3:HH52,7,0)</f>
        <v>0</v>
      </c>
      <c r="G45" s="155">
        <f>VLOOKUP(B14,Scoresheet!GX3:HH52,8,0)</f>
        <v>0</v>
      </c>
      <c r="H45" s="155">
        <f>VLOOKUP(B14,Scoresheet!GX3:HH52,9,0)</f>
        <v>0</v>
      </c>
      <c r="I45" s="155" t="str">
        <f>VLOOKUP(B14,Scoresheet!GX3:HH52,10,0)</f>
        <v/>
      </c>
      <c r="J45" s="155" t="str">
        <f>VLOOKUP(B14,Scoresheet!GX3:HH52,11,0)</f>
        <v/>
      </c>
      <c r="K45" s="279" t="str">
        <f>VLOOKUP(B14,Scoresheet!GX3:HI52,12,0)</f>
        <v/>
      </c>
      <c r="L45" s="280"/>
      <c r="M45" s="280"/>
      <c r="N45" s="281"/>
    </row>
    <row r="46" spans="1:14">
      <c r="A46" s="154" t="s">
        <v>92</v>
      </c>
      <c r="B46" s="155">
        <f>VLOOKUP(B14,Scoresheet!HJ3:HT52,3,0)</f>
        <v>0</v>
      </c>
      <c r="C46" s="155">
        <f>VLOOKUP(B14,Scoresheet!HJ3:HT52,4,0)</f>
        <v>0</v>
      </c>
      <c r="D46" s="155">
        <f>VLOOKUP(B14,Scoresheet!HJ3:HT52,5,0)</f>
        <v>0</v>
      </c>
      <c r="E46" s="155">
        <f>VLOOKUP(B14,Scoresheet!HJ3:HT52,6,0)</f>
        <v>0</v>
      </c>
      <c r="F46" s="155">
        <f>VLOOKUP(B14,Scoresheet!HJ3:HT52,7,0)</f>
        <v>0</v>
      </c>
      <c r="G46" s="155">
        <f>VLOOKUP(B14,Scoresheet!HJ3:HT52,8,0)</f>
        <v>0</v>
      </c>
      <c r="H46" s="155">
        <f>VLOOKUP(B14,Scoresheet!HJ3:HT52,9,0)</f>
        <v>0</v>
      </c>
      <c r="I46" s="155" t="str">
        <f>VLOOKUP(B14,Scoresheet!HJ3:HT52,10,0)</f>
        <v/>
      </c>
      <c r="J46" s="155" t="str">
        <f>VLOOKUP(B14,Scoresheet!HJ3:HT52,11,0)</f>
        <v/>
      </c>
      <c r="K46" s="279" t="str">
        <f>VLOOKUP(B14,Scoresheet!HJ3:HU52,12,0)</f>
        <v/>
      </c>
      <c r="L46" s="280"/>
      <c r="M46" s="280"/>
      <c r="N46" s="281"/>
    </row>
    <row r="47" spans="1:14">
      <c r="A47" s="154" t="s">
        <v>93</v>
      </c>
      <c r="B47" s="155">
        <f>VLOOKUP(B14,Scoresheet!HV3:IE52,3,0)</f>
        <v>0</v>
      </c>
      <c r="C47" s="155">
        <f>VLOOKUP(B14,Scoresheet!HV3:ID52,4,0)</f>
        <v>0</v>
      </c>
      <c r="D47" s="155">
        <f>VLOOKUP(B14,Scoresheet!HV3:IF52,5,0)</f>
        <v>0</v>
      </c>
      <c r="E47" s="155">
        <f>VLOOKUP(B14,Scoresheet!HV3:IF52,6,0)</f>
        <v>0</v>
      </c>
      <c r="F47" s="155">
        <f>VLOOKUP(B14,Scoresheet!HV3:IF52,7,0)</f>
        <v>0</v>
      </c>
      <c r="G47" s="155">
        <f>VLOOKUP(B14,Scoresheet!HV3:IF52,8,0)</f>
        <v>0</v>
      </c>
      <c r="H47" s="155">
        <f>VLOOKUP(B14,Scoresheet!HV3:IF52,9,0)</f>
        <v>0</v>
      </c>
      <c r="I47" s="155" t="str">
        <f>VLOOKUP(B14,Scoresheet!HV3:IF52,10,0)</f>
        <v/>
      </c>
      <c r="J47" s="155" t="str">
        <f>VLOOKUP(B14,Scoresheet!HV3:IF52,11,0)</f>
        <v/>
      </c>
      <c r="K47" s="279" t="str">
        <f>VLOOKUP(B14,Scoresheet!HV3:IG52,12,0)</f>
        <v/>
      </c>
      <c r="L47" s="280"/>
      <c r="M47" s="280"/>
      <c r="N47" s="281"/>
    </row>
    <row r="48" spans="1:14">
      <c r="A48" s="154" t="s">
        <v>94</v>
      </c>
      <c r="B48" s="155">
        <f>VLOOKUP(B14,Scoresheet!IH3:IR52,3,0)</f>
        <v>0</v>
      </c>
      <c r="C48" s="155">
        <f>VLOOKUP(B14,Scoresheet!IH3:IR52,4,0)</f>
        <v>0</v>
      </c>
      <c r="D48" s="155">
        <f>VLOOKUP(B14,Scoresheet!IH3:IR52,5,0)</f>
        <v>0</v>
      </c>
      <c r="E48" s="155">
        <f>VLOOKUP(B14,Scoresheet!IH3:IR52,6,0)</f>
        <v>0</v>
      </c>
      <c r="F48" s="155">
        <f>VLOOKUP(B14,Scoresheet!IH3:IR52,7,0)</f>
        <v>0</v>
      </c>
      <c r="G48" s="155">
        <f>VLOOKUP(B14,Scoresheet!IH3:IR52,8,0)</f>
        <v>0</v>
      </c>
      <c r="H48" s="155">
        <f>VLOOKUP(B14,Scoresheet!IH3:IR52,9,0)</f>
        <v>0</v>
      </c>
      <c r="I48" s="155" t="str">
        <f>VLOOKUP(B14,Scoresheet!IH3:IR52,10,0)</f>
        <v/>
      </c>
      <c r="J48" s="155" t="str">
        <f>VLOOKUP(B14,Scoresheet!IH3:IR52,11,0)</f>
        <v/>
      </c>
      <c r="K48" s="279" t="str">
        <f>VLOOKUP(B14,Scoresheet!IH3:IS52,12,0)</f>
        <v/>
      </c>
      <c r="L48" s="280"/>
      <c r="M48" s="280"/>
      <c r="N48" s="281"/>
    </row>
    <row r="49" spans="1:20">
      <c r="A49" s="154" t="s">
        <v>95</v>
      </c>
      <c r="B49" s="155">
        <f>VLOOKUP(B14,Scoresheet!IT3:JD52,3,0)</f>
        <v>0</v>
      </c>
      <c r="C49" s="155">
        <f>VLOOKUP(B14,Scoresheet!IT3:JD52,4,0)</f>
        <v>0</v>
      </c>
      <c r="D49" s="155">
        <f>VLOOKUP(B14,Scoresheet!IT3:JD52,5,0)</f>
        <v>0</v>
      </c>
      <c r="E49" s="155">
        <f>VLOOKUP(B14,Scoresheet!IT3:JD52,6,0)</f>
        <v>0</v>
      </c>
      <c r="F49" s="155">
        <f>VLOOKUP(B14,Scoresheet!IT3:JD52,7,0)</f>
        <v>0</v>
      </c>
      <c r="G49" s="155">
        <f>VLOOKUP(B14,Scoresheet!IT3:JD52,8,0)</f>
        <v>0</v>
      </c>
      <c r="H49" s="155">
        <f>VLOOKUP(B14,Scoresheet!IT3:JD52,9,0)</f>
        <v>0</v>
      </c>
      <c r="I49" s="155" t="str">
        <f>VLOOKUP(B14,Scoresheet!IT3:JD52,10,0)</f>
        <v/>
      </c>
      <c r="J49" s="155" t="str">
        <f>VLOOKUP(B14,Scoresheet!IT3:JI52,11,0)</f>
        <v/>
      </c>
      <c r="K49" s="279" t="str">
        <f>VLOOKUP(B14,Scoresheet!IT3:JE52,12,0)</f>
        <v/>
      </c>
      <c r="L49" s="280"/>
      <c r="M49" s="280"/>
      <c r="N49" s="281"/>
    </row>
    <row r="50" spans="1:20">
      <c r="A50" s="154" t="s">
        <v>96</v>
      </c>
      <c r="B50" s="155">
        <f>VLOOKUP(B14,Scoresheet!JF3:JP52,3,0)</f>
        <v>0</v>
      </c>
      <c r="C50" s="155">
        <f>VLOOKUP(B14,Scoresheet!JF3:JP52,4,0)</f>
        <v>0</v>
      </c>
      <c r="D50" s="155">
        <f>VLOOKUP(B14,Scoresheet!JF3:JP52,5,0)</f>
        <v>0</v>
      </c>
      <c r="E50" s="155">
        <f>VLOOKUP(B14,Scoresheet!JF3:JP52,6,0)</f>
        <v>0</v>
      </c>
      <c r="F50" s="155">
        <f>VLOOKUP(B14,Scoresheet!JF3:JP52,7,0)</f>
        <v>0</v>
      </c>
      <c r="G50" s="155">
        <f>VLOOKUP(B14,Scoresheet!JF3:JP52,8,0)</f>
        <v>0</v>
      </c>
      <c r="H50" s="155">
        <f>VLOOKUP(B14,Scoresheet!JF3:JP52,9,0)</f>
        <v>0</v>
      </c>
      <c r="I50" s="155" t="str">
        <f>VLOOKUP(B14,Scoresheet!JF3:JP52,10,0)</f>
        <v/>
      </c>
      <c r="J50" s="155" t="str">
        <f>VLOOKUP(B14,Scoresheet!JF3:JP52,11,0)</f>
        <v/>
      </c>
      <c r="K50" s="279" t="str">
        <f>VLOOKUP(B14,Scoresheet!JF3:JQ52,12,0)</f>
        <v/>
      </c>
      <c r="L50" s="280"/>
      <c r="M50" s="280"/>
      <c r="N50" s="281"/>
    </row>
    <row r="51" spans="1:20">
      <c r="A51" s="156" t="s">
        <v>69</v>
      </c>
      <c r="B51" s="157">
        <f>VLOOKUP(B14,Scoresheet!JR3:KB52,3,0)</f>
        <v>0</v>
      </c>
      <c r="C51" s="157">
        <f>VLOOKUP(B14,Scoresheet!JR3:KB52,4,0)</f>
        <v>0</v>
      </c>
      <c r="D51" s="157">
        <f>VLOOKUP(B14,Scoresheet!JR3:KB52,5,0)</f>
        <v>0</v>
      </c>
      <c r="E51" s="157">
        <f>VLOOKUP(B14,Scoresheet!JR3:KB52,6,0)</f>
        <v>0</v>
      </c>
      <c r="F51" s="157">
        <f>VLOOKUP(B14,Scoresheet!JR3:KB52,7,0)</f>
        <v>0</v>
      </c>
      <c r="G51" s="157">
        <f>VLOOKUP(B14,Scoresheet!JR3:KB52,8,0)</f>
        <v>0</v>
      </c>
      <c r="H51" s="157">
        <f>VLOOKUP(B14,Scoresheet!JR3:KB52,9,0)</f>
        <v>0</v>
      </c>
      <c r="I51" s="157" t="str">
        <f>VLOOKUP(B14,Scoresheet!JR3:KB52,10,0)</f>
        <v/>
      </c>
      <c r="J51" s="157" t="str">
        <f>VLOOKUP(B14,Scoresheet!JR3:KB52,11,0)</f>
        <v/>
      </c>
      <c r="K51" s="305" t="str">
        <f>VLOOKUP(B14,Scoresheet!JR3:KC52,12,0)</f>
        <v/>
      </c>
      <c r="L51" s="306"/>
      <c r="M51" s="306"/>
      <c r="N51" s="307"/>
    </row>
    <row r="52" spans="1:20">
      <c r="A52" s="133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58"/>
      <c r="O52" s="137"/>
    </row>
    <row r="53" spans="1:20">
      <c r="A53" s="159" t="s">
        <v>128</v>
      </c>
      <c r="B53" s="160"/>
      <c r="C53" s="161"/>
      <c r="D53" s="288" t="s">
        <v>129</v>
      </c>
      <c r="E53" s="288"/>
      <c r="F53" s="162"/>
      <c r="G53" s="163"/>
      <c r="H53" s="276"/>
      <c r="I53" s="276"/>
      <c r="J53" s="276"/>
      <c r="K53" s="276"/>
      <c r="L53" s="276"/>
      <c r="M53" s="276"/>
      <c r="N53" s="164"/>
      <c r="O53" s="137"/>
    </row>
    <row r="54" spans="1:20">
      <c r="A54" s="159" t="s">
        <v>33</v>
      </c>
      <c r="B54" s="165">
        <f>VLOOKUP(B14,Behaviour!A2:I51,3,0)</f>
        <v>5</v>
      </c>
      <c r="C54" s="161"/>
      <c r="D54" s="288" t="s">
        <v>41</v>
      </c>
      <c r="E54" s="288"/>
      <c r="F54" s="162">
        <f>VLOOKUP(B14,Skills!A2:H51,3,0)</f>
        <v>4</v>
      </c>
      <c r="G54" s="163"/>
      <c r="H54" s="276"/>
      <c r="I54" s="276"/>
      <c r="J54" s="276"/>
      <c r="K54" s="276"/>
      <c r="L54" s="276"/>
      <c r="M54" s="276"/>
      <c r="N54" s="164"/>
      <c r="O54" s="137"/>
    </row>
    <row r="55" spans="1:20">
      <c r="A55" s="159" t="s">
        <v>34</v>
      </c>
      <c r="B55" s="165">
        <f>VLOOKUP(B14,Behaviour!A2:I51,4,0)</f>
        <v>4</v>
      </c>
      <c r="C55" s="161"/>
      <c r="D55" s="288" t="s">
        <v>42</v>
      </c>
      <c r="E55" s="288"/>
      <c r="F55" s="162">
        <f>VLOOKUP(B14,Skills!A2:H51,4,0)</f>
        <v>4</v>
      </c>
      <c r="G55" s="163"/>
      <c r="H55" s="276"/>
      <c r="I55" s="276"/>
      <c r="J55" s="276"/>
      <c r="K55" s="276"/>
      <c r="L55" s="276"/>
      <c r="M55" s="276"/>
      <c r="N55" s="164"/>
      <c r="O55" s="137"/>
    </row>
    <row r="56" spans="1:20">
      <c r="A56" s="159" t="s">
        <v>35</v>
      </c>
      <c r="B56" s="165">
        <f>VLOOKUP(B14,Behaviour!A2:I51,5,0)</f>
        <v>4</v>
      </c>
      <c r="C56" s="161"/>
      <c r="D56" s="288" t="s">
        <v>43</v>
      </c>
      <c r="E56" s="288"/>
      <c r="F56" s="162">
        <f>VLOOKUP(B14,Skills!A2:H51,5,0)</f>
        <v>4</v>
      </c>
      <c r="G56" s="163"/>
      <c r="H56" s="276"/>
      <c r="I56" s="276"/>
      <c r="J56" s="276"/>
      <c r="K56" s="276"/>
      <c r="L56" s="276"/>
      <c r="M56" s="276"/>
      <c r="N56" s="164"/>
      <c r="O56" s="137"/>
    </row>
    <row r="57" spans="1:20">
      <c r="A57" s="159" t="s">
        <v>36</v>
      </c>
      <c r="B57" s="165">
        <f>VLOOKUP(B14,Behaviour!A2:I51,6,0)</f>
        <v>4</v>
      </c>
      <c r="C57" s="161"/>
      <c r="D57" s="288" t="s">
        <v>44</v>
      </c>
      <c r="E57" s="288"/>
      <c r="F57" s="162">
        <f>VLOOKUP(B14,Skills!A2:H51,6,0)</f>
        <v>4</v>
      </c>
      <c r="G57" s="163"/>
      <c r="H57" s="163"/>
      <c r="I57" s="166" t="s">
        <v>130</v>
      </c>
      <c r="J57" s="167"/>
      <c r="K57" s="167"/>
      <c r="L57" s="167"/>
      <c r="M57" s="167"/>
      <c r="N57" s="164"/>
      <c r="O57" s="137"/>
    </row>
    <row r="58" spans="1:20">
      <c r="A58" s="159" t="s">
        <v>37</v>
      </c>
      <c r="B58" s="165">
        <f>VLOOKUP(B14,Behaviour!A2:I51,7,0)</f>
        <v>4</v>
      </c>
      <c r="C58" s="161"/>
      <c r="D58" s="288" t="s">
        <v>45</v>
      </c>
      <c r="E58" s="288"/>
      <c r="F58" s="162">
        <f>VLOOKUP(B14,Skills!A2:H51,7,0)</f>
        <v>0</v>
      </c>
      <c r="G58" s="163"/>
      <c r="H58" s="166"/>
      <c r="I58" s="289" t="str">
        <f t="array" ref="I58">IFERROR(INDEX($A$28:$A$51,SMALL(IF(($H$28:$H$51&gt;=5)*($H$28:$H$51&lt;=49)*($H$28:$H$51&lt;&gt;""),ROW($H$28:$H$51)-ROW($H$28)+1),ROW(1:1))),"")</f>
        <v>English Language</v>
      </c>
      <c r="J58" s="289"/>
      <c r="K58" s="289"/>
      <c r="L58" s="168"/>
      <c r="M58" s="168"/>
      <c r="N58" s="164"/>
      <c r="O58" s="137"/>
    </row>
    <row r="59" spans="1:20">
      <c r="A59" s="159" t="s">
        <v>38</v>
      </c>
      <c r="B59" s="165">
        <f>VLOOKUP(B14,Behaviour!A2:I51,8,0)</f>
        <v>4</v>
      </c>
      <c r="C59" s="161"/>
      <c r="D59" s="163"/>
      <c r="E59" s="163"/>
      <c r="F59" s="163"/>
      <c r="G59" s="163"/>
      <c r="H59" s="169"/>
      <c r="I59" s="289" t="str">
        <f t="array" ref="I59">IFERROR(INDEX($A$28:$A$51,SMALL(IF(($H$28:$H$51&gt;=5)*($H$28:$H$51&lt;=49)*($H$28:$H$51&lt;&gt;""),ROW($H$28:$H$51)-ROW($H$28)+1),ROW(2:2))),"")</f>
        <v>Agric Science</v>
      </c>
      <c r="J59" s="289"/>
      <c r="K59" s="289"/>
      <c r="L59" s="170"/>
      <c r="M59" s="163"/>
      <c r="N59" s="164"/>
      <c r="O59" s="137"/>
    </row>
    <row r="60" spans="1:20">
      <c r="A60" s="159" t="s">
        <v>39</v>
      </c>
      <c r="B60" s="165">
        <f>VLOOKUP(B14,Behaviour!A2:I51,9,0)</f>
        <v>4</v>
      </c>
      <c r="C60" s="161"/>
      <c r="D60" s="163"/>
      <c r="E60" s="163"/>
      <c r="F60" s="163"/>
      <c r="G60" s="163"/>
      <c r="H60" s="169"/>
      <c r="I60" s="289" t="str">
        <f t="array" ref="I60">IFERROR(INDEX($A$28:$A$51,SMALL(IF(($H$28:$H$51&gt;=5)*($H$28:$H$51&lt;=49)*($H$28:$H$51&lt;&gt;""),ROW($H$28:$H$51)-ROW($H$28)+1),ROW(3:3))),"")</f>
        <v/>
      </c>
      <c r="J60" s="289"/>
      <c r="K60" s="289"/>
      <c r="L60" s="163"/>
      <c r="M60" s="163"/>
      <c r="N60" s="164"/>
      <c r="O60" s="137"/>
    </row>
    <row r="61" spans="1:20">
      <c r="A61" s="159" t="s">
        <v>40</v>
      </c>
      <c r="B61" s="165" t="e">
        <f>VLOOKUP(B14,Behaviour!A2:I51,10,0)</f>
        <v>#REF!</v>
      </c>
      <c r="C61" s="161"/>
      <c r="D61" s="163"/>
      <c r="E61" s="163"/>
      <c r="F61" s="163"/>
      <c r="G61" s="163"/>
      <c r="H61" s="169"/>
      <c r="I61" s="289" t="str">
        <f t="array" ref="I61">IFERROR(INDEX($A$28:$A$51,SMALL(IF(($H$28:$H$51&gt;=5)*($H$28:$H$51&lt;=49)*($H$28:$H$51&lt;&gt;""),ROW($H$28:$H$51)-ROW($H$28)+1),ROW(4:4))),"")</f>
        <v/>
      </c>
      <c r="J61" s="289"/>
      <c r="K61" s="289"/>
      <c r="L61" s="163"/>
      <c r="M61" s="163"/>
      <c r="N61" s="164"/>
      <c r="O61" s="137"/>
    </row>
    <row r="62" spans="1:20">
      <c r="A62" s="136"/>
      <c r="H62" s="171"/>
      <c r="I62" s="270" t="str">
        <f t="array" ref="I62">IFERROR(INDEX($A$28:$A$51,SMALL(IF(($H$28:$H$51&gt;=5)*($H$28:$H$51&lt;=49)*($H$28:$H$51&lt;&gt;""),ROW($H$28:$H$51)-ROW($H$28)+1),ROW(5:5))),"")</f>
        <v/>
      </c>
      <c r="J62" s="270"/>
      <c r="K62" s="270"/>
      <c r="N62" s="172"/>
      <c r="O62" s="137"/>
    </row>
    <row r="63" spans="1:20">
      <c r="A63" s="136"/>
      <c r="H63" s="171"/>
      <c r="I63" s="270" t="str">
        <f t="array" ref="I63">IFERROR(INDEX($A$28:$A$51,SMALL(IF(($H$28:$H$51&gt;=5)*($H$28:$H$51&lt;=49)*($H$28:$H$51&lt;&gt;""),ROW($H$28:$H$51)-ROW($H$28)+1),ROW(6:6))),"")</f>
        <v/>
      </c>
      <c r="J63" s="270"/>
      <c r="K63" s="270"/>
      <c r="N63" s="172"/>
      <c r="O63" s="137"/>
    </row>
    <row r="64" spans="1:20">
      <c r="A64" s="271" t="s">
        <v>131</v>
      </c>
      <c r="B64" s="272"/>
      <c r="C64" s="272"/>
      <c r="D64" s="132" t="s">
        <v>132</v>
      </c>
      <c r="E64" s="290" t="e">
        <f>VLOOKUP(B14,Comments!A2:C51,4,0)</f>
        <v>#REF!</v>
      </c>
      <c r="F64" s="290"/>
      <c r="G64" s="290"/>
      <c r="H64" s="290"/>
      <c r="I64" s="270" t="str">
        <f t="array" ref="I64">IFERROR(INDEX($A$28:$A$51,SMALL(IF(($H$28:$H$51&gt;=5)*($H$28:$H$51&lt;=49)*($H$28:$H$51&lt;&gt;""),ROW($H$28:$H$51)-ROW($H$28)+1),ROW(7:7))),"")</f>
        <v/>
      </c>
      <c r="J64" s="270"/>
      <c r="K64" s="270"/>
      <c r="N64" s="172"/>
      <c r="O64" s="137"/>
      <c r="R64" s="272"/>
      <c r="S64" s="272"/>
      <c r="T64" s="272"/>
    </row>
    <row r="65" spans="1:20">
      <c r="A65" s="271" t="s">
        <v>133</v>
      </c>
      <c r="B65" s="272"/>
      <c r="C65" s="272"/>
      <c r="D65" s="132" t="s">
        <v>132</v>
      </c>
      <c r="H65" s="171"/>
      <c r="I65" s="270" t="str">
        <f t="array" ref="I65">IFERROR(INDEX($A$28:$A$51,SMALL(IF(($H$28:$H$51&gt;=5)*($H$28:$H$51&lt;=49)*($H$28:$H$51&lt;&gt;""),ROW($H$28:$H$51)-ROW($H$28)+1),ROW(8:8))),"")</f>
        <v/>
      </c>
      <c r="J65" s="270"/>
      <c r="K65" s="270"/>
      <c r="N65" s="172"/>
      <c r="O65" s="137"/>
      <c r="R65" s="272"/>
      <c r="S65" s="272"/>
      <c r="T65" s="272"/>
    </row>
    <row r="66" spans="1:20">
      <c r="A66" s="274" t="s">
        <v>134</v>
      </c>
      <c r="B66" s="275"/>
      <c r="C66" s="275"/>
      <c r="D66" s="173" t="s">
        <v>132</v>
      </c>
      <c r="E66" s="273" t="str">
        <f>VLOOKUP(B14,Comments!A2:C51,3,0)</f>
        <v>Nil</v>
      </c>
      <c r="F66" s="273"/>
      <c r="G66" s="273"/>
      <c r="H66" s="273"/>
      <c r="I66" s="291"/>
      <c r="J66" s="291"/>
      <c r="K66" s="291"/>
      <c r="L66" s="173"/>
      <c r="M66" s="173"/>
      <c r="N66" s="174"/>
      <c r="O66" s="137"/>
      <c r="R66" s="272"/>
      <c r="S66" s="272"/>
      <c r="T66" s="272"/>
    </row>
    <row r="67" spans="1:20">
      <c r="A67" s="267" t="s">
        <v>135</v>
      </c>
      <c r="B67" s="268"/>
      <c r="C67" s="268"/>
      <c r="D67" s="175" t="s">
        <v>132</v>
      </c>
      <c r="E67" s="269" t="str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There is an urgent need fo academic intervention</v>
      </c>
      <c r="F67" s="269"/>
      <c r="G67" s="269"/>
      <c r="H67" s="269"/>
      <c r="I67" s="269"/>
      <c r="J67" s="269"/>
      <c r="K67" s="269"/>
      <c r="L67" s="269"/>
      <c r="M67" s="269"/>
      <c r="N67" s="176"/>
      <c r="O67" s="137"/>
      <c r="R67" s="272"/>
      <c r="S67" s="272"/>
      <c r="T67" s="272"/>
    </row>
    <row r="68" spans="1:20">
      <c r="A68" s="146"/>
      <c r="B68" s="147"/>
      <c r="C68" s="147"/>
      <c r="D68" s="147"/>
      <c r="E68" s="147"/>
      <c r="F68" s="147"/>
      <c r="G68" s="147"/>
      <c r="H68" s="177"/>
      <c r="I68" s="177"/>
      <c r="J68" s="169"/>
      <c r="K68" s="169"/>
      <c r="L68" s="147"/>
      <c r="M68" s="147"/>
      <c r="N68" s="178"/>
      <c r="O68" s="137"/>
    </row>
    <row r="69" spans="1:20">
      <c r="A69" s="134"/>
      <c r="B69" s="134"/>
      <c r="E69" s="134"/>
      <c r="G69" s="134"/>
      <c r="J69" s="134"/>
      <c r="K69" s="134"/>
      <c r="L69" s="134"/>
      <c r="M69" s="134"/>
      <c r="O69" s="137"/>
    </row>
  </sheetData>
  <sheetProtection password="CC5F" sheet="1" objects="1" scenarios="1" formatCells="0" formatColumns="0" formatRows="0"/>
  <protectedRanges>
    <protectedRange sqref="E5:N5 B2:N4 B17:N18 L6:N16 B7:K16 A2:A18" name="Range1"/>
  </protectedRanges>
  <mergeCells count="96">
    <mergeCell ref="T17:W17"/>
    <mergeCell ref="K20:L20"/>
    <mergeCell ref="K31:N31"/>
    <mergeCell ref="K29:N29"/>
    <mergeCell ref="M26:N26"/>
    <mergeCell ref="K27:N27"/>
    <mergeCell ref="K19:L19"/>
    <mergeCell ref="M19:N19"/>
    <mergeCell ref="E5:N5"/>
    <mergeCell ref="B14:C14"/>
    <mergeCell ref="K11:L11"/>
    <mergeCell ref="M13:N13"/>
    <mergeCell ref="K13:L13"/>
    <mergeCell ref="B10:G10"/>
    <mergeCell ref="M11:N11"/>
    <mergeCell ref="B13:G13"/>
    <mergeCell ref="K14:L14"/>
    <mergeCell ref="K12:L12"/>
    <mergeCell ref="M14:N14"/>
    <mergeCell ref="B12:G12"/>
    <mergeCell ref="M10:N10"/>
    <mergeCell ref="M12:N12"/>
    <mergeCell ref="B11:G11"/>
    <mergeCell ref="K10:L10"/>
    <mergeCell ref="H54:M54"/>
    <mergeCell ref="D53:E53"/>
    <mergeCell ref="K40:N40"/>
    <mergeCell ref="K49:N49"/>
    <mergeCell ref="K41:N41"/>
    <mergeCell ref="K42:N42"/>
    <mergeCell ref="K43:N43"/>
    <mergeCell ref="K44:N44"/>
    <mergeCell ref="K45:N45"/>
    <mergeCell ref="K47:N47"/>
    <mergeCell ref="K51:N51"/>
    <mergeCell ref="H53:M53"/>
    <mergeCell ref="D54:E54"/>
    <mergeCell ref="K15:L15"/>
    <mergeCell ref="M15:N15"/>
    <mergeCell ref="A19:A27"/>
    <mergeCell ref="B19:B26"/>
    <mergeCell ref="C19:C26"/>
    <mergeCell ref="D19:D26"/>
    <mergeCell ref="K32:N32"/>
    <mergeCell ref="K34:N34"/>
    <mergeCell ref="K30:N30"/>
    <mergeCell ref="E19:E26"/>
    <mergeCell ref="K36:N36"/>
    <mergeCell ref="J19:J26"/>
    <mergeCell ref="I19:I26"/>
    <mergeCell ref="H19:H26"/>
    <mergeCell ref="G19:G26"/>
    <mergeCell ref="K33:N33"/>
    <mergeCell ref="M23:N23"/>
    <mergeCell ref="F19:F26"/>
    <mergeCell ref="M20:N20"/>
    <mergeCell ref="R67:T67"/>
    <mergeCell ref="R64:T64"/>
    <mergeCell ref="D57:E57"/>
    <mergeCell ref="I60:K60"/>
    <mergeCell ref="H55:M55"/>
    <mergeCell ref="I64:K64"/>
    <mergeCell ref="E64:H64"/>
    <mergeCell ref="I59:K59"/>
    <mergeCell ref="I58:K58"/>
    <mergeCell ref="I61:K61"/>
    <mergeCell ref="I63:K63"/>
    <mergeCell ref="D56:E56"/>
    <mergeCell ref="D55:E55"/>
    <mergeCell ref="D58:E58"/>
    <mergeCell ref="I66:K66"/>
    <mergeCell ref="R65:T65"/>
    <mergeCell ref="H56:M56"/>
    <mergeCell ref="R66:T66"/>
    <mergeCell ref="M21:N21"/>
    <mergeCell ref="K35:N35"/>
    <mergeCell ref="K39:N39"/>
    <mergeCell ref="M25:N25"/>
    <mergeCell ref="K37:N37"/>
    <mergeCell ref="K28:N28"/>
    <mergeCell ref="K46:N46"/>
    <mergeCell ref="K48:N48"/>
    <mergeCell ref="M24:N24"/>
    <mergeCell ref="K26:L26"/>
    <mergeCell ref="M22:N22"/>
    <mergeCell ref="K21:L21"/>
    <mergeCell ref="K50:N50"/>
    <mergeCell ref="K38:N38"/>
    <mergeCell ref="A67:C67"/>
    <mergeCell ref="E67:M67"/>
    <mergeCell ref="I62:K62"/>
    <mergeCell ref="A65:C65"/>
    <mergeCell ref="I65:K65"/>
    <mergeCell ref="A64:C64"/>
    <mergeCell ref="E66:H66"/>
    <mergeCell ref="A66:C66"/>
  </mergeCells>
  <conditionalFormatting sqref="M21:N21">
    <cfRule type="cellIs" dxfId="5" priority="3" operator="lessThan">
      <formula>40</formula>
    </cfRule>
  </conditionalFormatting>
  <conditionalFormatting sqref="K28:N51">
    <cfRule type="cellIs" dxfId="4" priority="5" operator="equal">
      <formula>"Fail"</formula>
    </cfRule>
    <cfRule type="cellIs" dxfId="3" priority="6" operator="notEqual">
      <formula>"Fail"</formula>
    </cfRule>
  </conditionalFormatting>
  <conditionalFormatting sqref="H28:H51">
    <cfRule type="cellIs" dxfId="2" priority="4" operator="lessThan">
      <formula>40</formula>
    </cfRule>
  </conditionalFormatting>
  <conditionalFormatting sqref="M13:N13">
    <cfRule type="cellIs" dxfId="1" priority="1" operator="equal">
      <formula>M13&lt;&gt;"Fail"</formula>
    </cfRule>
    <cfRule type="cellIs" dxfId="0" priority="2" stopIfTrue="1" operator="equal">
      <formula>"Failed"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Scoresheet!$A$3:$A$50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BSheet</vt:lpstr>
      <vt:lpstr>T  Score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SHUTDOWN</cp:lastModifiedBy>
  <dcterms:created xsi:type="dcterms:W3CDTF">2023-12-29T18:21:00Z</dcterms:created>
  <dcterms:modified xsi:type="dcterms:W3CDTF">2026-01-18T12:55:22Z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